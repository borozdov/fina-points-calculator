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лькулятор" sheetId="1" state="visible" r:id="rId3"/>
    <sheet name="Протокол" sheetId="2" state="visible" r:id="rId4"/>
    <sheet name="Базовые времена" sheetId="3" state="visible" r:id="rId5"/>
    <sheet name="Нормативы" sheetId="4" state="visible" r:id="rId6"/>
    <sheet name="Списки" sheetId="5" state="hidden" r:id="rId7"/>
  </sheets>
  <definedNames>
    <definedName function="false" hidden="true" localSheetId="1" name="_xlnm._FilterDatabase" vbProcedure="false">Протокол!$A$1:$M$501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fina.borozdov.ru</author>
  </authors>
  <commentList>
    <comment ref="F1" authorId="0">
      <text>
        <r>
          <rPr>
            <sz val="10"/>
            <rFont val="Arial"/>
            <family val="2"/>
          </rPr>
          <t xml:space="preserve">Пусто, если не заполнена строка или дистанции нет в этом бассейне (например, 100 м комплекс в 50 м).</t>
        </r>
      </text>
    </comment>
  </commentList>
</comments>
</file>

<file path=xl/sharedStrings.xml><?xml version="1.0" encoding="utf-8"?>
<sst xmlns="http://schemas.openxmlformats.org/spreadsheetml/2006/main" count="518" uniqueCount="66">
  <si>
    <t xml:space="preserve">Калькулятор очков FINA (World Aquatics Points)</t>
  </si>
  <si>
    <t xml:space="preserve">Всё выбирается из списков в серых ячейках. Можно и напечатать число в ячейку.</t>
  </si>
  <si>
    <t xml:space="preserve">Бассейн</t>
  </si>
  <si>
    <t xml:space="preserve">25 м</t>
  </si>
  <si>
    <t xml:space="preserve">Пол</t>
  </si>
  <si>
    <t xml:space="preserve">Мужчины</t>
  </si>
  <si>
    <t xml:space="preserve">Дистанция</t>
  </si>
  <si>
    <t xml:space="preserve">100 м вольный стиль</t>
  </si>
  <si>
    <t xml:space="preserve">Минуты</t>
  </si>
  <si>
    <t xml:space="preserve">Секунды</t>
  </si>
  <si>
    <t xml:space="preserve">Сотые</t>
  </si>
  <si>
    <t xml:space="preserve">Время</t>
  </si>
  <si>
    <t xml:space="preserve">Базовое время, с</t>
  </si>
  <si>
    <t xml:space="preserve">Время, с</t>
  </si>
  <si>
    <t xml:space="preserve">Очки FINA</t>
  </si>
  <si>
    <t xml:space="preserve">Разряд</t>
  </si>
  <si>
    <t xml:space="preserve">Следующий разряд</t>
  </si>
  <si>
    <t xml:space="preserve">Его норматив</t>
  </si>
  <si>
    <t xml:space="preserve">Обратный расчёт</t>
  </si>
  <si>
    <t xml:space="preserve">Нужные очки</t>
  </si>
  <si>
    <t xml:space="preserve">Нужное время</t>
  </si>
  <si>
    <t xml:space="preserve">Формула: очки = 1000 × (базовое время / время)³, дробная часть отбрасывается.</t>
  </si>
  <si>
    <t xml:space="preserve">Разряд — по нормативам ЕВСК (лист «Нормативы»). Сайт: https://fina.borozdov.ru — тот же расчёт.</t>
  </si>
  <si>
    <t xml:space="preserve">Спортсмен</t>
  </si>
  <si>
    <t xml:space="preserve">Строка нормативов</t>
  </si>
  <si>
    <t xml:space="preserve">Не закрыто разрядов</t>
  </si>
  <si>
    <t xml:space="preserve">Иванов Иван</t>
  </si>
  <si>
    <t xml:space="preserve">50.12</t>
  </si>
  <si>
    <t xml:space="preserve">Петрова Анна</t>
  </si>
  <si>
    <t xml:space="preserve">50 м</t>
  </si>
  <si>
    <t xml:space="preserve">Женщины</t>
  </si>
  <si>
    <t xml:space="preserve">200 м комплекс</t>
  </si>
  <si>
    <t xml:space="preserve">2:21.40</t>
  </si>
  <si>
    <t xml:space="preserve">Базовое время</t>
  </si>
  <si>
    <t xml:space="preserve">50 м вольный стиль</t>
  </si>
  <si>
    <t xml:space="preserve">200 м вольный стиль</t>
  </si>
  <si>
    <t xml:space="preserve">400 м вольный стиль</t>
  </si>
  <si>
    <t xml:space="preserve">800 м вольный стиль</t>
  </si>
  <si>
    <t xml:space="preserve">1500 м вольный стиль</t>
  </si>
  <si>
    <t xml:space="preserve">50 м на спине</t>
  </si>
  <si>
    <t xml:space="preserve">100 м на спине</t>
  </si>
  <si>
    <t xml:space="preserve">200 м на спине</t>
  </si>
  <si>
    <t xml:space="preserve">50 м брасс</t>
  </si>
  <si>
    <t xml:space="preserve">100 м брасс</t>
  </si>
  <si>
    <t xml:space="preserve">200 м брасс</t>
  </si>
  <si>
    <t xml:space="preserve">50 м баттерфляй</t>
  </si>
  <si>
    <t xml:space="preserve">100 м баттерфляй</t>
  </si>
  <si>
    <t xml:space="preserve">200 м баттерфляй</t>
  </si>
  <si>
    <t xml:space="preserve">100 м комплекс</t>
  </si>
  <si>
    <t xml:space="preserve">400 м комплекс</t>
  </si>
  <si>
    <t xml:space="preserve">Источник: World Aquatics Points — Base Times SCM and LCM. Редакции: SCM (25 м) 2026 действует 2026-09-01 — 2027-08-31; LCM (50 м) 2026 действует 2026-01-01 — 2026-12-31.</t>
  </si>
  <si>
    <t xml:space="preserve">https://resources.fina.org/fina/document/2026/09/05/9b48fb98-233c-4ce9-b67b-bc6163319bbd/Points-Base-times-SCM-and-LCM-2026_09.2026.pdf</t>
  </si>
  <si>
    <t xml:space="preserve">Когда редакция истечёт, замените числа в столбце D — остальные листы пересчитаются сами.</t>
  </si>
  <si>
    <t xml:space="preserve">МСМК</t>
  </si>
  <si>
    <t xml:space="preserve">МС</t>
  </si>
  <si>
    <t xml:space="preserve">КМС</t>
  </si>
  <si>
    <t xml:space="preserve">I разряд</t>
  </si>
  <si>
    <t xml:space="preserve">II разряд</t>
  </si>
  <si>
    <t xml:space="preserve">III разряд</t>
  </si>
  <si>
    <t xml:space="preserve">I юношеский</t>
  </si>
  <si>
    <t xml:space="preserve">II юношеский</t>
  </si>
  <si>
    <t xml:space="preserve">III юношеский</t>
  </si>
  <si>
    <t xml:space="preserve">Ключ</t>
  </si>
  <si>
    <t xml:space="preserve">Разрядные нормативы ЕВСК по плаванию: приказ Минспорта России от 06.11.2024 № 1092, действует с 26.11.2024. Время в секундах.</t>
  </si>
  <si>
    <t xml:space="preserve">http://publication.pravo.gov.ru/document/0001202411150002</t>
  </si>
  <si>
    <t xml:space="preserve">Очки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</si>
</sst>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0"/>
    <numFmt numFmtId="166" formatCode="0.00"/>
    <numFmt numFmtId="167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666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true" outlineLevel="0" max="5" min="5" style="0" width="13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5" t="s">
        <v>3</v>
      </c>
      <c r="C4" s="2"/>
      <c r="D4" s="2"/>
      <c r="E4" s="2"/>
    </row>
    <row r="5" customFormat="false" ht="15" hidden="false" customHeight="false" outlineLevel="0" collapsed="false">
      <c r="A5" s="4" t="s">
        <v>4</v>
      </c>
      <c r="B5" s="5" t="s">
        <v>5</v>
      </c>
      <c r="C5" s="2"/>
      <c r="D5" s="2"/>
      <c r="E5" s="2"/>
    </row>
    <row r="6" customFormat="false" ht="15" hidden="false" customHeight="false" outlineLevel="0" collapsed="false">
      <c r="A6" s="4" t="s">
        <v>6</v>
      </c>
      <c r="B6" s="5" t="s">
        <v>7</v>
      </c>
      <c r="C6" s="2"/>
      <c r="D6" s="2"/>
      <c r="E6" s="2"/>
    </row>
    <row r="7" customFormat="false" ht="15" hidden="false" customHeight="false" outlineLevel="0" collapsed="false">
      <c r="A7" s="4" t="s">
        <v>8</v>
      </c>
      <c r="B7" s="5" t="n">
        <v>0</v>
      </c>
      <c r="C7" s="2"/>
      <c r="D7" s="2"/>
      <c r="E7" s="2"/>
    </row>
    <row r="8" customFormat="false" ht="15" hidden="false" customHeight="false" outlineLevel="0" collapsed="false">
      <c r="A8" s="4" t="s">
        <v>9</v>
      </c>
      <c r="B8" s="6" t="n">
        <v>50</v>
      </c>
      <c r="C8" s="2"/>
      <c r="D8" s="2"/>
      <c r="E8" s="2"/>
    </row>
    <row r="9" customFormat="false" ht="15" hidden="false" customHeight="false" outlineLevel="0" collapsed="false">
      <c r="A9" s="4" t="s">
        <v>10</v>
      </c>
      <c r="B9" s="6" t="n">
        <v>12</v>
      </c>
      <c r="C9" s="2"/>
      <c r="D9" s="2"/>
      <c r="E9" s="2"/>
    </row>
    <row r="10" customFormat="false" ht="15" hidden="false" customHeight="false" outlineLevel="0" collapsed="false">
      <c r="A10" s="2"/>
      <c r="B10" s="2"/>
      <c r="C10" s="2"/>
      <c r="D10" s="2"/>
      <c r="E10" s="2"/>
    </row>
    <row r="11" customFormat="false" ht="15" hidden="false" customHeight="false" outlineLevel="0" collapsed="false">
      <c r="A11" s="2" t="s">
        <v>11</v>
      </c>
      <c r="B11" s="7" t="str">
        <f aca="false">IF(B13="","",IF(INT(ROUND(B13*100,0)/6000)&gt;0,INT(ROUND(B13*100,0)/6000)&amp;":"&amp;RIGHT("0"&amp;INT(MOD(ROUND(B13*100,0),6000)/100),2),INT(MOD(ROUND(B13*100,0),6000)/100))&amp;"."&amp;RIGHT("0"&amp;MOD(ROUND(B13*100,0),100),2))</f>
        <v>50.12</v>
      </c>
      <c r="C11" s="2"/>
      <c r="D11" s="2"/>
      <c r="E11" s="2"/>
    </row>
    <row r="12" customFormat="false" ht="15" hidden="false" customHeight="false" outlineLevel="0" collapsed="false">
      <c r="A12" s="2" t="s">
        <v>12</v>
      </c>
      <c r="B12" s="8" t="n">
        <f aca="false">SUMIFS('Базовые времена'!$D$2:$D$71,'Базовые времена'!$A$2:$A$71,$B$4,'Базовые времена'!$B$2:$B$71,$B$5,'Базовые времена'!$C$2:$C$71,$B$6)</f>
        <v>44.84</v>
      </c>
      <c r="C12" s="3" t="str">
        <f aca="false">IF(B12=0,"Такой дистанции нет в этом бассейне","")</f>
        <v/>
      </c>
      <c r="D12" s="2"/>
      <c r="E12" s="2"/>
    </row>
    <row r="13" customFormat="false" ht="15" hidden="false" customHeight="false" outlineLevel="0" collapsed="false">
      <c r="A13" s="2" t="s">
        <v>13</v>
      </c>
      <c r="B13" s="8" t="n">
        <f aca="false">IF(N(B7)*60+N(B8)+N(B9)/100&lt;=0,"",N(B7)*60+N(B8)+N(B9)/100)</f>
        <v>50.12</v>
      </c>
      <c r="C13" s="2"/>
      <c r="D13" s="2"/>
      <c r="E13" s="2"/>
    </row>
    <row r="14" customFormat="false" ht="19.7" hidden="false" customHeight="false" outlineLevel="0" collapsed="false">
      <c r="A14" s="4" t="s">
        <v>14</v>
      </c>
      <c r="B14" s="9" t="n">
        <f aca="false">IF(OR(B12=0,B13=""),"",ROUNDDOWN(1000*(B12/B13)^3,0))</f>
        <v>716</v>
      </c>
      <c r="C14" s="2"/>
      <c r="D14" s="2"/>
      <c r="E14" s="2"/>
    </row>
    <row r="15" customFormat="false" ht="15" hidden="false" customHeight="false" outlineLevel="0" collapsed="false">
      <c r="A15" s="4" t="s">
        <v>15</v>
      </c>
      <c r="B15" s="10" t="str">
        <f aca="false">IF(E16="","",IF(E16+1&gt;COUNT(INDEX(Нормативы!$D$2:$L$71,E15,0)),"Разряда нет",INDEX(Нормативы!$D$1:$L$1,1,E16+1)))</f>
        <v>КМС</v>
      </c>
      <c r="C15" s="3" t="str">
        <f aca="false">IF(AND(B13&lt;&gt;"",E15=""),"Разрядных нормативов на этой дистанции нет","")</f>
        <v/>
      </c>
      <c r="D15" s="2"/>
      <c r="E15" s="2" t="n">
        <f aca="false">IFERROR(MATCH($B$4&amp;"|"&amp;$B$5&amp;"|"&amp;$B$6,Нормативы!$M$2:$M$71,0),"")</f>
        <v>2</v>
      </c>
    </row>
    <row r="16" customFormat="false" ht="15" hidden="false" customHeight="false" outlineLevel="0" collapsed="false">
      <c r="A16" s="2" t="s">
        <v>16</v>
      </c>
      <c r="B16" s="7" t="str">
        <f aca="false">IF(E16="","",IF(E16=0,"—",INDEX(Нормативы!$D$1:$L$1,1,E16)))</f>
        <v>МС</v>
      </c>
      <c r="C16" s="2"/>
      <c r="D16" s="2"/>
      <c r="E16" s="2" t="n">
        <f aca="false">IF(OR(E15="",B13=""),"",SUMPRODUCT((INDEX(Нормативы!$D$2:$L$71,E15,0)&lt;B13)*ISNUMBER(INDEX(Нормативы!$D$2:$L$71,E15,0))))</f>
        <v>2</v>
      </c>
    </row>
    <row r="17" customFormat="false" ht="15" hidden="false" customHeight="false" outlineLevel="0" collapsed="false">
      <c r="A17" s="2" t="s">
        <v>17</v>
      </c>
      <c r="B17" s="7" t="str">
        <f aca="false">IF(E16="","",IF(E16=0,"",IF(INT(ROUND(INDEX(Нормативы!$D$2:$L$71,E15,E16)*100,0)/6000)&gt;0,INT(ROUND(INDEX(Нормативы!$D$2:$L$71,E15,E16)*100,0)/6000)&amp;":"&amp;RIGHT("0"&amp;INT(MOD(ROUND(INDEX(Нормативы!$D$2:$L$71,E15,E16)*100,0),6000)/100),2),INT(MOD(ROUND(INDEX(Нормативы!$D$2:$L$71,E15,E16)*100,0),6000)/100))&amp;"."&amp;RIGHT("0"&amp;MOD(ROUND(INDEX(Нормативы!$D$2:$L$71,E15,E16)*100,0),100),2)))</f>
        <v>50.00</v>
      </c>
      <c r="C17" s="2"/>
      <c r="D17" s="2"/>
      <c r="E17" s="2"/>
    </row>
    <row r="18" customFormat="false" ht="15" hidden="false" customHeight="false" outlineLevel="0" collapsed="false">
      <c r="A18" s="2"/>
      <c r="B18" s="2"/>
      <c r="C18" s="2"/>
      <c r="D18" s="2"/>
      <c r="E18" s="2"/>
    </row>
    <row r="19" customFormat="false" ht="15" hidden="false" customHeight="false" outlineLevel="0" collapsed="false">
      <c r="A19" s="4" t="s">
        <v>18</v>
      </c>
      <c r="B19" s="2"/>
      <c r="C19" s="2"/>
      <c r="D19" s="2"/>
      <c r="E19" s="2"/>
    </row>
    <row r="20" customFormat="false" ht="15" hidden="false" customHeight="false" outlineLevel="0" collapsed="false">
      <c r="A20" s="4" t="s">
        <v>19</v>
      </c>
      <c r="B20" s="5" t="n">
        <v>700</v>
      </c>
      <c r="C20" s="2"/>
      <c r="D20" s="2"/>
      <c r="E20" s="2"/>
    </row>
    <row r="21" customFormat="false" ht="19.7" hidden="false" customHeight="false" outlineLevel="0" collapsed="false">
      <c r="A21" s="4" t="s">
        <v>20</v>
      </c>
      <c r="B21" s="11" t="str">
        <f aca="false">IF(C21="","",IF(INT(ROUND(C21*100,0)/6000)&gt;0,INT(ROUND(C21*100,0)/6000)&amp;":"&amp;RIGHT("0"&amp;INT(MOD(ROUND(C21*100,0),6000)/100),2),INT(MOD(ROUND(C21*100,0),6000)/100))&amp;"."&amp;RIGHT("0"&amp;MOD(ROUND(C21*100,0),100),2))</f>
        <v>50.50</v>
      </c>
      <c r="C21" s="12" t="n">
        <f aca="false">IF(OR(B12=0,N(B20)&lt;=0),"",ROUNDDOWN(B12/(B20/1000)^(1/3)+0.000000001,2))</f>
        <v>50.5</v>
      </c>
      <c r="D21" s="2"/>
      <c r="E21" s="2"/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3" t="s">
        <v>21</v>
      </c>
      <c r="B23" s="2"/>
      <c r="C23" s="2"/>
      <c r="D23" s="2"/>
      <c r="E23" s="2"/>
    </row>
    <row r="24" customFormat="false" ht="15" hidden="false" customHeight="false" outlineLevel="0" collapsed="false">
      <c r="A24" s="3" t="s">
        <v>22</v>
      </c>
      <c r="B24" s="2"/>
      <c r="C24" s="2"/>
      <c r="D24" s="2"/>
      <c r="E24" s="2"/>
    </row>
  </sheetData>
  <dataValidations count="7">
    <dataValidation allowBlank="true" errorStyle="stop" operator="between" showDropDown="false" showErrorMessage="false" showInputMessage="false" sqref="B4" type="list">
      <formula1>Списки!$A$2:$A$3</formula1>
      <formula2>0</formula2>
    </dataValidation>
    <dataValidation allowBlank="true" errorStyle="stop" operator="between" showDropDown="false" showErrorMessage="false" showInputMessage="false" sqref="B5" type="list">
      <formula1>Списки!$B$2:$B$3</formula1>
      <formula2>0</formula2>
    </dataValidation>
    <dataValidation allowBlank="true" errorStyle="stop" operator="between" showDropDown="false" showErrorMessage="false" showInputMessage="false" sqref="B6" type="list">
      <formula1>Списки!$C$2:$C$19</formula1>
      <formula2>0</formula2>
    </dataValidation>
    <dataValidation allowBlank="true" errorStyle="stop" operator="between" showDropDown="false" showErrorMessage="false" showInputMessage="false" sqref="B7" type="list">
      <formula1>Списки!$D$2:$D$32</formula1>
      <formula2>0</formula2>
    </dataValidation>
    <dataValidation allowBlank="true" errorStyle="stop" operator="between" showDropDown="false" showErrorMessage="false" showInputMessage="false" sqref="B8" type="list">
      <formula1>Списки!$E$2:$E$61</formula1>
      <formula2>0</formula2>
    </dataValidation>
    <dataValidation allowBlank="true" errorStyle="stop" operator="between" showDropDown="false" showErrorMessage="false" showInputMessage="false" sqref="B9" type="list">
      <formula1>Списки!$F$2:$F$101</formula1>
      <formula2>0</formula2>
    </dataValidation>
    <dataValidation allowBlank="true" errorStyle="stop" operator="between" showDropDown="false" showErrorMessage="false" showInputMessage="false" sqref="B20" type="list">
      <formula1>Списки!$G$2:$G$92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6" min="5" style="0" width="12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true" outlineLevel="0" max="13" min="12" style="0" width="13"/>
  </cols>
  <sheetData>
    <row r="1" customFormat="false" ht="15" hidden="false" customHeight="false" outlineLevel="0" collapsed="false">
      <c r="A1" s="13" t="s">
        <v>23</v>
      </c>
      <c r="B1" s="13" t="s">
        <v>2</v>
      </c>
      <c r="C1" s="13" t="s">
        <v>4</v>
      </c>
      <c r="D1" s="13" t="s">
        <v>6</v>
      </c>
      <c r="E1" s="13" t="s">
        <v>11</v>
      </c>
      <c r="F1" s="13" t="s">
        <v>14</v>
      </c>
      <c r="G1" s="13" t="s">
        <v>15</v>
      </c>
      <c r="H1" s="13" t="s">
        <v>16</v>
      </c>
      <c r="I1" s="13" t="s">
        <v>17</v>
      </c>
      <c r="J1" s="13" t="s">
        <v>12</v>
      </c>
      <c r="K1" s="13" t="s">
        <v>13</v>
      </c>
      <c r="L1" s="13" t="s">
        <v>24</v>
      </c>
      <c r="M1" s="13" t="s">
        <v>25</v>
      </c>
    </row>
    <row r="2" customFormat="false" ht="15" hidden="false" customHeight="false" outlineLevel="0" collapsed="false">
      <c r="A2" s="5" t="s">
        <v>26</v>
      </c>
      <c r="B2" s="5" t="s">
        <v>3</v>
      </c>
      <c r="C2" s="5" t="s">
        <v>5</v>
      </c>
      <c r="D2" s="5" t="s">
        <v>7</v>
      </c>
      <c r="E2" s="14" t="s">
        <v>27</v>
      </c>
      <c r="F2" s="4" t="n">
        <f aca="false">IF(OR(J2="",K2="",N(J2)=0,N(K2)&lt;=0),"",ROUNDDOWN(1000*(J2/K2)^3,0))</f>
        <v>716</v>
      </c>
      <c r="G2" s="4" t="str">
        <f aca="false">IF(M2="","",IF(M2+1&gt;COUNT(INDEX(Нормативы!$D$2:$L$71,L2,0)),"Разряда нет",INDEX(Нормативы!$D$1:$L$1,1,M2+1)))</f>
        <v>КМС</v>
      </c>
      <c r="H2" s="2" t="str">
        <f aca="false">IF(M2="","",IF(M2=0,"—",INDEX(Нормативы!$D$1:$L$1,1,M2)))</f>
        <v>МС</v>
      </c>
      <c r="I2" s="7" t="str">
        <f aca="false">IF(M2="","",IF(M2=0,"",IF(INT(ROUND(INDEX(Нормативы!$D$2:$L$71,L2,M2)*100,0)/6000)&gt;0,INT(ROUND(INDEX(Нормативы!$D$2:$L$71,L2,M2)*100,0)/6000)&amp;":"&amp;RIGHT("0"&amp;INT(MOD(ROUND(INDEX(Нормативы!$D$2:$L$71,L2,M2)*100,0),6000)/100),2),INT(MOD(ROUND(INDEX(Нормативы!$D$2:$L$71,L2,M2)*100,0),6000)/100))&amp;"."&amp;RIGHT("0"&amp;MOD(ROUND(INDEX(Нормативы!$D$2:$L$71,L2,M2)*100,0),100),2)))</f>
        <v>50.00</v>
      </c>
      <c r="J2" s="12" t="n">
        <f aca="false">IF(D2="","",SUMIFS('Базовые времена'!$D$2:$D$71,'Базовые времена'!$A$2:$A$71,B2,'Базовые времена'!$B$2:$B$71,C2,'Базовые времена'!$C$2:$C$71,D2))</f>
        <v>44.84</v>
      </c>
      <c r="K2" s="12" t="n">
        <f aca="false">IF(E2="","",IF(ISNUMBER(E2),IF(E2&lt;1,E2*86400,E2),IFERROR(IF(ISNUMBER(FIND(":",SUBSTITUTE(TRIM(E2),",","."))),VALUE(LEFT(SUBSTITUTE(TRIM(E2),",","."),FIND(":",SUBSTITUTE(TRIM(E2),",","."))-1))*60+_xlfn.NUMBERVALUE(MID(SUBSTITUTE(TRIM(E2),",","."),FIND(":",SUBSTITUTE(TRIM(E2),",","."))+1,99),"."),_xlfn.NUMBERVALUE(SUBSTITUTE(TRIM(E2),",","."),".")),0)))</f>
        <v>50.12</v>
      </c>
      <c r="L2" s="3" t="n">
        <f aca="false">IF(OR(D2="",N(K2)&lt;=0),"",IFERROR(MATCH(B2&amp;"|"&amp;C2&amp;"|"&amp;D2,Нормативы!$M$2:$M$71,0),""))</f>
        <v>2</v>
      </c>
      <c r="M2" s="3" t="n">
        <f aca="false">IF(L2="","",SUMPRODUCT((INDEX(Нормативы!$D$2:$L$71,L2,0)&lt;K2)*ISNUMBER(INDEX(Нормативы!$D$2:$L$71,L2,0))))</f>
        <v>2</v>
      </c>
    </row>
    <row r="3" customFormat="false" ht="15" hidden="false" customHeight="false" outlineLevel="0" collapsed="false">
      <c r="A3" s="5" t="s">
        <v>28</v>
      </c>
      <c r="B3" s="5" t="s">
        <v>29</v>
      </c>
      <c r="C3" s="5" t="s">
        <v>30</v>
      </c>
      <c r="D3" s="5" t="s">
        <v>31</v>
      </c>
      <c r="E3" s="14" t="s">
        <v>32</v>
      </c>
      <c r="F3" s="4" t="n">
        <f aca="false">IF(OR(J3="",K3="",N(J3)=0,N(K3)&lt;=0),"",ROUNDDOWN(1000*(J3/K3)^3,0))</f>
        <v>702</v>
      </c>
      <c r="G3" s="4" t="str">
        <f aca="false">IF(M3="","",IF(M3+1&gt;COUNT(INDEX(Нормативы!$D$2:$L$71,L3,0)),"Разряда нет",INDEX(Нормативы!$D$1:$L$1,1,M3+1)))</f>
        <v>МС</v>
      </c>
      <c r="H3" s="2" t="str">
        <f aca="false">IF(M3="","",IF(M3=0,"—",INDEX(Нормативы!$D$1:$L$1,1,M3)))</f>
        <v>МСМК</v>
      </c>
      <c r="I3" s="7" t="str">
        <f aca="false">IF(M3="","",IF(M3=0,"",IF(INT(ROUND(INDEX(Нормативы!$D$2:$L$71,L3,M3)*100,0)/6000)&gt;0,INT(ROUND(INDEX(Нормативы!$D$2:$L$71,L3,M3)*100,0)/6000)&amp;":"&amp;RIGHT("0"&amp;INT(MOD(ROUND(INDEX(Нормативы!$D$2:$L$71,L3,M3)*100,0),6000)/100),2),INT(MOD(ROUND(INDEX(Нормативы!$D$2:$L$71,L3,M3)*100,0),6000)/100))&amp;"."&amp;RIGHT("0"&amp;MOD(ROUND(INDEX(Нормативы!$D$2:$L$71,L3,M3)*100,0),100),2)))</f>
        <v>2:12.12</v>
      </c>
      <c r="J3" s="12" t="n">
        <f aca="false">IF(D3="","",SUMIFS('Базовые времена'!$D$2:$D$71,'Базовые времена'!$A$2:$A$71,B3,'Базовые времена'!$B$2:$B$71,C3,'Базовые времена'!$C$2:$C$71,D3))</f>
        <v>125.7</v>
      </c>
      <c r="K3" s="12" t="n">
        <f aca="false">IF(E3="","",IF(ISNUMBER(E3),IF(E3&lt;1,E3*86400,E3),IFERROR(IF(ISNUMBER(FIND(":",SUBSTITUTE(TRIM(E3),",","."))),VALUE(LEFT(SUBSTITUTE(TRIM(E3),",","."),FIND(":",SUBSTITUTE(TRIM(E3),",","."))-1))*60+_xlfn.NUMBERVALUE(MID(SUBSTITUTE(TRIM(E3),",","."),FIND(":",SUBSTITUTE(TRIM(E3),",","."))+1,99),"."),_xlfn.NUMBERVALUE(SUBSTITUTE(TRIM(E3),",","."),".")),0)))</f>
        <v>141.4</v>
      </c>
      <c r="L3" s="3" t="n">
        <f aca="false">IF(OR(D3="",N(K3)&lt;=0),"",IFERROR(MATCH(B3&amp;"|"&amp;C3&amp;"|"&amp;D3,Нормативы!$M$2:$M$71,0),""))</f>
        <v>69</v>
      </c>
      <c r="M3" s="3" t="n">
        <f aca="false">IF(L3="","",SUMPRODUCT((INDEX(Нормативы!$D$2:$L$71,L3,0)&lt;K3)*ISNUMBER(INDEX(Нормативы!$D$2:$L$71,L3,0))))</f>
        <v>1</v>
      </c>
    </row>
    <row r="4" customFormat="false" ht="15" hidden="false" customHeight="false" outlineLevel="0" collapsed="false">
      <c r="A4" s="5"/>
      <c r="B4" s="5"/>
      <c r="C4" s="5"/>
      <c r="D4" s="5"/>
      <c r="E4" s="14"/>
      <c r="F4" s="4" t="str">
        <f aca="false">IF(OR(J4="",K4="",N(J4)=0,N(K4)&lt;=0),"",ROUNDDOWN(1000*(J4/K4)^3,0))</f>
        <v/>
      </c>
      <c r="G4" s="4" t="str">
        <f aca="false">IF(M4="","",IF(M4+1&gt;COUNT(INDEX(Нормативы!$D$2:$L$71,L4,0)),"Разряда нет",INDEX(Нормативы!$D$1:$L$1,1,M4+1)))</f>
        <v/>
      </c>
      <c r="H4" s="2" t="str">
        <f aca="false">IF(M4="","",IF(M4=0,"—",INDEX(Нормативы!$D$1:$L$1,1,M4)))</f>
        <v/>
      </c>
      <c r="I4" s="7" t="str">
        <f aca="false">IF(M4="","",IF(M4=0,"",IF(INT(ROUND(INDEX(Нормативы!$D$2:$L$71,L4,M4)*100,0)/6000)&gt;0,INT(ROUND(INDEX(Нормативы!$D$2:$L$71,L4,M4)*100,0)/6000)&amp;":"&amp;RIGHT("0"&amp;INT(MOD(ROUND(INDEX(Нормативы!$D$2:$L$71,L4,M4)*100,0),6000)/100),2),INT(MOD(ROUND(INDEX(Нормативы!$D$2:$L$71,L4,M4)*100,0),6000)/100))&amp;"."&amp;RIGHT("0"&amp;MOD(ROUND(INDEX(Нормативы!$D$2:$L$71,L4,M4)*100,0),100),2)))</f>
        <v/>
      </c>
      <c r="J4" s="12" t="str">
        <f aca="false">IF(D4="","",SUMIFS('Базовые времена'!$D$2:$D$71,'Базовые времена'!$A$2:$A$71,B4,'Базовые времена'!$B$2:$B$71,C4,'Базовые времена'!$C$2:$C$71,D4))</f>
        <v/>
      </c>
      <c r="K4" s="12" t="str">
        <f aca="false">IF(E4="","",IF(ISNUMBER(E4),IF(E4&lt;1,E4*86400,E4),IFERROR(IF(ISNUMBER(FIND(":",SUBSTITUTE(TRIM(E4),",","."))),VALUE(LEFT(SUBSTITUTE(TRIM(E4),",","."),FIND(":",SUBSTITUTE(TRIM(E4),",","."))-1))*60+_xlfn.NUMBERVALUE(MID(SUBSTITUTE(TRIM(E4),",","."),FIND(":",SUBSTITUTE(TRIM(E4),",","."))+1,99),"."),_xlfn.NUMBERVALUE(SUBSTITUTE(TRIM(E4),",","."),".")),0)))</f>
        <v/>
      </c>
      <c r="L4" s="3" t="str">
        <f aca="false">IF(OR(D4="",N(K4)&lt;=0),"",IFERROR(MATCH(B4&amp;"|"&amp;C4&amp;"|"&amp;D4,Нормативы!$M$2:$M$71,0),""))</f>
        <v/>
      </c>
      <c r="M4" s="3" t="str">
        <f aca="false">IF(L4="","",SUMPRODUCT((INDEX(Нормативы!$D$2:$L$71,L4,0)&lt;K4)*ISNUMBER(INDEX(Нормативы!$D$2:$L$71,L4,0))))</f>
        <v/>
      </c>
    </row>
    <row r="5" customFormat="false" ht="15" hidden="false" customHeight="false" outlineLevel="0" collapsed="false">
      <c r="A5" s="5"/>
      <c r="B5" s="5"/>
      <c r="C5" s="5"/>
      <c r="D5" s="5"/>
      <c r="E5" s="14"/>
      <c r="F5" s="4" t="str">
        <f aca="false">IF(OR(J5="",K5="",N(J5)=0,N(K5)&lt;=0),"",ROUNDDOWN(1000*(J5/K5)^3,0))</f>
        <v/>
      </c>
      <c r="G5" s="4" t="str">
        <f aca="false">IF(M5="","",IF(M5+1&gt;COUNT(INDEX(Нормативы!$D$2:$L$71,L5,0)),"Разряда нет",INDEX(Нормативы!$D$1:$L$1,1,M5+1)))</f>
        <v/>
      </c>
      <c r="H5" s="2" t="str">
        <f aca="false">IF(M5="","",IF(M5=0,"—",INDEX(Нормативы!$D$1:$L$1,1,M5)))</f>
        <v/>
      </c>
      <c r="I5" s="7" t="str">
        <f aca="false">IF(M5="","",IF(M5=0,"",IF(INT(ROUND(INDEX(Нормативы!$D$2:$L$71,L5,M5)*100,0)/6000)&gt;0,INT(ROUND(INDEX(Нормативы!$D$2:$L$71,L5,M5)*100,0)/6000)&amp;":"&amp;RIGHT("0"&amp;INT(MOD(ROUND(INDEX(Нормативы!$D$2:$L$71,L5,M5)*100,0),6000)/100),2),INT(MOD(ROUND(INDEX(Нормативы!$D$2:$L$71,L5,M5)*100,0),6000)/100))&amp;"."&amp;RIGHT("0"&amp;MOD(ROUND(INDEX(Нормативы!$D$2:$L$71,L5,M5)*100,0),100),2)))</f>
        <v/>
      </c>
      <c r="J5" s="12" t="str">
        <f aca="false">IF(D5="","",SUMIFS('Базовые времена'!$D$2:$D$71,'Базовые времена'!$A$2:$A$71,B5,'Базовые времена'!$B$2:$B$71,C5,'Базовые времена'!$C$2:$C$71,D5))</f>
        <v/>
      </c>
      <c r="K5" s="12" t="str">
        <f aca="false">IF(E5="","",IF(ISNUMBER(E5),IF(E5&lt;1,E5*86400,E5),IFERROR(IF(ISNUMBER(FIND(":",SUBSTITUTE(TRIM(E5),",","."))),VALUE(LEFT(SUBSTITUTE(TRIM(E5),",","."),FIND(":",SUBSTITUTE(TRIM(E5),",","."))-1))*60+_xlfn.NUMBERVALUE(MID(SUBSTITUTE(TRIM(E5),",","."),FIND(":",SUBSTITUTE(TRIM(E5),",","."))+1,99),"."),_xlfn.NUMBERVALUE(SUBSTITUTE(TRIM(E5),",","."),".")),0)))</f>
        <v/>
      </c>
      <c r="L5" s="3" t="str">
        <f aca="false">IF(OR(D5="",N(K5)&lt;=0),"",IFERROR(MATCH(B5&amp;"|"&amp;C5&amp;"|"&amp;D5,Нормативы!$M$2:$M$71,0),""))</f>
        <v/>
      </c>
      <c r="M5" s="3" t="str">
        <f aca="false">IF(L5="","",SUMPRODUCT((INDEX(Нормативы!$D$2:$L$71,L5,0)&lt;K5)*ISNUMBER(INDEX(Нормативы!$D$2:$L$71,L5,0))))</f>
        <v/>
      </c>
    </row>
    <row r="6" customFormat="false" ht="15" hidden="false" customHeight="false" outlineLevel="0" collapsed="false">
      <c r="A6" s="5"/>
      <c r="B6" s="5"/>
      <c r="C6" s="5"/>
      <c r="D6" s="5"/>
      <c r="E6" s="14"/>
      <c r="F6" s="4" t="str">
        <f aca="false">IF(OR(J6="",K6="",N(J6)=0,N(K6)&lt;=0),"",ROUNDDOWN(1000*(J6/K6)^3,0))</f>
        <v/>
      </c>
      <c r="G6" s="4" t="str">
        <f aca="false">IF(M6="","",IF(M6+1&gt;COUNT(INDEX(Нормативы!$D$2:$L$71,L6,0)),"Разряда нет",INDEX(Нормативы!$D$1:$L$1,1,M6+1)))</f>
        <v/>
      </c>
      <c r="H6" s="2" t="str">
        <f aca="false">IF(M6="","",IF(M6=0,"—",INDEX(Нормативы!$D$1:$L$1,1,M6)))</f>
        <v/>
      </c>
      <c r="I6" s="7" t="str">
        <f aca="false">IF(M6="","",IF(M6=0,"",IF(INT(ROUND(INDEX(Нормативы!$D$2:$L$71,L6,M6)*100,0)/6000)&gt;0,INT(ROUND(INDEX(Нормативы!$D$2:$L$71,L6,M6)*100,0)/6000)&amp;":"&amp;RIGHT("0"&amp;INT(MOD(ROUND(INDEX(Нормативы!$D$2:$L$71,L6,M6)*100,0),6000)/100),2),INT(MOD(ROUND(INDEX(Нормативы!$D$2:$L$71,L6,M6)*100,0),6000)/100))&amp;"."&amp;RIGHT("0"&amp;MOD(ROUND(INDEX(Нормативы!$D$2:$L$71,L6,M6)*100,0),100),2)))</f>
        <v/>
      </c>
      <c r="J6" s="12" t="str">
        <f aca="false">IF(D6="","",SUMIFS('Базовые времена'!$D$2:$D$71,'Базовые времена'!$A$2:$A$71,B6,'Базовые времена'!$B$2:$B$71,C6,'Базовые времена'!$C$2:$C$71,D6))</f>
        <v/>
      </c>
      <c r="K6" s="12" t="str">
        <f aca="false">IF(E6="","",IF(ISNUMBER(E6),IF(E6&lt;1,E6*86400,E6),IFERROR(IF(ISNUMBER(FIND(":",SUBSTITUTE(TRIM(E6),",","."))),VALUE(LEFT(SUBSTITUTE(TRIM(E6),",","."),FIND(":",SUBSTITUTE(TRIM(E6),",","."))-1))*60+_xlfn.NUMBERVALUE(MID(SUBSTITUTE(TRIM(E6),",","."),FIND(":",SUBSTITUTE(TRIM(E6),",","."))+1,99),"."),_xlfn.NUMBERVALUE(SUBSTITUTE(TRIM(E6),",","."),".")),0)))</f>
        <v/>
      </c>
      <c r="L6" s="3" t="str">
        <f aca="false">IF(OR(D6="",N(K6)&lt;=0),"",IFERROR(MATCH(B6&amp;"|"&amp;C6&amp;"|"&amp;D6,Нормативы!$M$2:$M$71,0),""))</f>
        <v/>
      </c>
      <c r="M6" s="3" t="str">
        <f aca="false">IF(L6="","",SUMPRODUCT((INDEX(Нормативы!$D$2:$L$71,L6,0)&lt;K6)*ISNUMBER(INDEX(Нормативы!$D$2:$L$71,L6,0))))</f>
        <v/>
      </c>
    </row>
    <row r="7" customFormat="false" ht="15" hidden="false" customHeight="false" outlineLevel="0" collapsed="false">
      <c r="A7" s="5"/>
      <c r="B7" s="5"/>
      <c r="C7" s="5"/>
      <c r="D7" s="5"/>
      <c r="E7" s="14"/>
      <c r="F7" s="4" t="str">
        <f aca="false">IF(OR(J7="",K7="",N(J7)=0,N(K7)&lt;=0),"",ROUNDDOWN(1000*(J7/K7)^3,0))</f>
        <v/>
      </c>
      <c r="G7" s="4" t="str">
        <f aca="false">IF(M7="","",IF(M7+1&gt;COUNT(INDEX(Нормативы!$D$2:$L$71,L7,0)),"Разряда нет",INDEX(Нормативы!$D$1:$L$1,1,M7+1)))</f>
        <v/>
      </c>
      <c r="H7" s="2" t="str">
        <f aca="false">IF(M7="","",IF(M7=0,"—",INDEX(Нормативы!$D$1:$L$1,1,M7)))</f>
        <v/>
      </c>
      <c r="I7" s="7" t="str">
        <f aca="false">IF(M7="","",IF(M7=0,"",IF(INT(ROUND(INDEX(Нормативы!$D$2:$L$71,L7,M7)*100,0)/6000)&gt;0,INT(ROUND(INDEX(Нормативы!$D$2:$L$71,L7,M7)*100,0)/6000)&amp;":"&amp;RIGHT("0"&amp;INT(MOD(ROUND(INDEX(Нормативы!$D$2:$L$71,L7,M7)*100,0),6000)/100),2),INT(MOD(ROUND(INDEX(Нормативы!$D$2:$L$71,L7,M7)*100,0),6000)/100))&amp;"."&amp;RIGHT("0"&amp;MOD(ROUND(INDEX(Нормативы!$D$2:$L$71,L7,M7)*100,0),100),2)))</f>
        <v/>
      </c>
      <c r="J7" s="12" t="str">
        <f aca="false">IF(D7="","",SUMIFS('Базовые времена'!$D$2:$D$71,'Базовые времена'!$A$2:$A$71,B7,'Базовые времена'!$B$2:$B$71,C7,'Базовые времена'!$C$2:$C$71,D7))</f>
        <v/>
      </c>
      <c r="K7" s="12" t="str">
        <f aca="false">IF(E7="","",IF(ISNUMBER(E7),IF(E7&lt;1,E7*86400,E7),IFERROR(IF(ISNUMBER(FIND(":",SUBSTITUTE(TRIM(E7),",","."))),VALUE(LEFT(SUBSTITUTE(TRIM(E7),",","."),FIND(":",SUBSTITUTE(TRIM(E7),",","."))-1))*60+_xlfn.NUMBERVALUE(MID(SUBSTITUTE(TRIM(E7),",","."),FIND(":",SUBSTITUTE(TRIM(E7),",","."))+1,99),"."),_xlfn.NUMBERVALUE(SUBSTITUTE(TRIM(E7),",","."),".")),0)))</f>
        <v/>
      </c>
      <c r="L7" s="3" t="str">
        <f aca="false">IF(OR(D7="",N(K7)&lt;=0),"",IFERROR(MATCH(B7&amp;"|"&amp;C7&amp;"|"&amp;D7,Нормативы!$M$2:$M$71,0),""))</f>
        <v/>
      </c>
      <c r="M7" s="3" t="str">
        <f aca="false">IF(L7="","",SUMPRODUCT((INDEX(Нормативы!$D$2:$L$71,L7,0)&lt;K7)*ISNUMBER(INDEX(Нормативы!$D$2:$L$71,L7,0))))</f>
        <v/>
      </c>
    </row>
    <row r="8" customFormat="false" ht="15" hidden="false" customHeight="false" outlineLevel="0" collapsed="false">
      <c r="A8" s="5"/>
      <c r="B8" s="5"/>
      <c r="C8" s="5"/>
      <c r="D8" s="5"/>
      <c r="E8" s="14"/>
      <c r="F8" s="4" t="str">
        <f aca="false">IF(OR(J8="",K8="",N(J8)=0,N(K8)&lt;=0),"",ROUNDDOWN(1000*(J8/K8)^3,0))</f>
        <v/>
      </c>
      <c r="G8" s="4" t="str">
        <f aca="false">IF(M8="","",IF(M8+1&gt;COUNT(INDEX(Нормативы!$D$2:$L$71,L8,0)),"Разряда нет",INDEX(Нормативы!$D$1:$L$1,1,M8+1)))</f>
        <v/>
      </c>
      <c r="H8" s="2" t="str">
        <f aca="false">IF(M8="","",IF(M8=0,"—",INDEX(Нормативы!$D$1:$L$1,1,M8)))</f>
        <v/>
      </c>
      <c r="I8" s="7" t="str">
        <f aca="false">IF(M8="","",IF(M8=0,"",IF(INT(ROUND(INDEX(Нормативы!$D$2:$L$71,L8,M8)*100,0)/6000)&gt;0,INT(ROUND(INDEX(Нормативы!$D$2:$L$71,L8,M8)*100,0)/6000)&amp;":"&amp;RIGHT("0"&amp;INT(MOD(ROUND(INDEX(Нормативы!$D$2:$L$71,L8,M8)*100,0),6000)/100),2),INT(MOD(ROUND(INDEX(Нормативы!$D$2:$L$71,L8,M8)*100,0),6000)/100))&amp;"."&amp;RIGHT("0"&amp;MOD(ROUND(INDEX(Нормативы!$D$2:$L$71,L8,M8)*100,0),100),2)))</f>
        <v/>
      </c>
      <c r="J8" s="12" t="str">
        <f aca="false">IF(D8="","",SUMIFS('Базовые времена'!$D$2:$D$71,'Базовые времена'!$A$2:$A$71,B8,'Базовые времена'!$B$2:$B$71,C8,'Базовые времена'!$C$2:$C$71,D8))</f>
        <v/>
      </c>
      <c r="K8" s="12" t="str">
        <f aca="false">IF(E8="","",IF(ISNUMBER(E8),IF(E8&lt;1,E8*86400,E8),IFERROR(IF(ISNUMBER(FIND(":",SUBSTITUTE(TRIM(E8),",","."))),VALUE(LEFT(SUBSTITUTE(TRIM(E8),",","."),FIND(":",SUBSTITUTE(TRIM(E8),",","."))-1))*60+_xlfn.NUMBERVALUE(MID(SUBSTITUTE(TRIM(E8),",","."),FIND(":",SUBSTITUTE(TRIM(E8),",","."))+1,99),"."),_xlfn.NUMBERVALUE(SUBSTITUTE(TRIM(E8),",","."),".")),0)))</f>
        <v/>
      </c>
      <c r="L8" s="3" t="str">
        <f aca="false">IF(OR(D8="",N(K8)&lt;=0),"",IFERROR(MATCH(B8&amp;"|"&amp;C8&amp;"|"&amp;D8,Нормативы!$M$2:$M$71,0),""))</f>
        <v/>
      </c>
      <c r="M8" s="3" t="str">
        <f aca="false">IF(L8="","",SUMPRODUCT((INDEX(Нормативы!$D$2:$L$71,L8,0)&lt;K8)*ISNUMBER(INDEX(Нормативы!$D$2:$L$71,L8,0))))</f>
        <v/>
      </c>
    </row>
    <row r="9" customFormat="false" ht="15" hidden="false" customHeight="false" outlineLevel="0" collapsed="false">
      <c r="A9" s="5"/>
      <c r="B9" s="5"/>
      <c r="C9" s="5"/>
      <c r="D9" s="5"/>
      <c r="E9" s="14"/>
      <c r="F9" s="4" t="str">
        <f aca="false">IF(OR(J9="",K9="",N(J9)=0,N(K9)&lt;=0),"",ROUNDDOWN(1000*(J9/K9)^3,0))</f>
        <v/>
      </c>
      <c r="G9" s="4" t="str">
        <f aca="false">IF(M9="","",IF(M9+1&gt;COUNT(INDEX(Нормативы!$D$2:$L$71,L9,0)),"Разряда нет",INDEX(Нормативы!$D$1:$L$1,1,M9+1)))</f>
        <v/>
      </c>
      <c r="H9" s="2" t="str">
        <f aca="false">IF(M9="","",IF(M9=0,"—",INDEX(Нормативы!$D$1:$L$1,1,M9)))</f>
        <v/>
      </c>
      <c r="I9" s="7" t="str">
        <f aca="false">IF(M9="","",IF(M9=0,"",IF(INT(ROUND(INDEX(Нормативы!$D$2:$L$71,L9,M9)*100,0)/6000)&gt;0,INT(ROUND(INDEX(Нормативы!$D$2:$L$71,L9,M9)*100,0)/6000)&amp;":"&amp;RIGHT("0"&amp;INT(MOD(ROUND(INDEX(Нормативы!$D$2:$L$71,L9,M9)*100,0),6000)/100),2),INT(MOD(ROUND(INDEX(Нормативы!$D$2:$L$71,L9,M9)*100,0),6000)/100))&amp;"."&amp;RIGHT("0"&amp;MOD(ROUND(INDEX(Нормативы!$D$2:$L$71,L9,M9)*100,0),100),2)))</f>
        <v/>
      </c>
      <c r="J9" s="12" t="str">
        <f aca="false">IF(D9="","",SUMIFS('Базовые времена'!$D$2:$D$71,'Базовые времена'!$A$2:$A$71,B9,'Базовые времена'!$B$2:$B$71,C9,'Базовые времена'!$C$2:$C$71,D9))</f>
        <v/>
      </c>
      <c r="K9" s="12" t="str">
        <f aca="false">IF(E9="","",IF(ISNUMBER(E9),IF(E9&lt;1,E9*86400,E9),IFERROR(IF(ISNUMBER(FIND(":",SUBSTITUTE(TRIM(E9),",","."))),VALUE(LEFT(SUBSTITUTE(TRIM(E9),",","."),FIND(":",SUBSTITUTE(TRIM(E9),",","."))-1))*60+_xlfn.NUMBERVALUE(MID(SUBSTITUTE(TRIM(E9),",","."),FIND(":",SUBSTITUTE(TRIM(E9),",","."))+1,99),"."),_xlfn.NUMBERVALUE(SUBSTITUTE(TRIM(E9),",","."),".")),0)))</f>
        <v/>
      </c>
      <c r="L9" s="3" t="str">
        <f aca="false">IF(OR(D9="",N(K9)&lt;=0),"",IFERROR(MATCH(B9&amp;"|"&amp;C9&amp;"|"&amp;D9,Нормативы!$M$2:$M$71,0),""))</f>
        <v/>
      </c>
      <c r="M9" s="3" t="str">
        <f aca="false">IF(L9="","",SUMPRODUCT((INDEX(Нормативы!$D$2:$L$71,L9,0)&lt;K9)*ISNUMBER(INDEX(Нормативы!$D$2:$L$71,L9,0))))</f>
        <v/>
      </c>
    </row>
    <row r="10" customFormat="false" ht="15" hidden="false" customHeight="false" outlineLevel="0" collapsed="false">
      <c r="A10" s="5"/>
      <c r="B10" s="5"/>
      <c r="C10" s="5"/>
      <c r="D10" s="5"/>
      <c r="E10" s="14"/>
      <c r="F10" s="4" t="str">
        <f aca="false">IF(OR(J10="",K10="",N(J10)=0,N(K10)&lt;=0),"",ROUNDDOWN(1000*(J10/K10)^3,0))</f>
        <v/>
      </c>
      <c r="G10" s="4" t="str">
        <f aca="false">IF(M10="","",IF(M10+1&gt;COUNT(INDEX(Нормативы!$D$2:$L$71,L10,0)),"Разряда нет",INDEX(Нормативы!$D$1:$L$1,1,M10+1)))</f>
        <v/>
      </c>
      <c r="H10" s="2" t="str">
        <f aca="false">IF(M10="","",IF(M10=0,"—",INDEX(Нормативы!$D$1:$L$1,1,M10)))</f>
        <v/>
      </c>
      <c r="I10" s="7" t="str">
        <f aca="false">IF(M10="","",IF(M10=0,"",IF(INT(ROUND(INDEX(Нормативы!$D$2:$L$71,L10,M10)*100,0)/6000)&gt;0,INT(ROUND(INDEX(Нормативы!$D$2:$L$71,L10,M10)*100,0)/6000)&amp;":"&amp;RIGHT("0"&amp;INT(MOD(ROUND(INDEX(Нормативы!$D$2:$L$71,L10,M10)*100,0),6000)/100),2),INT(MOD(ROUND(INDEX(Нормативы!$D$2:$L$71,L10,M10)*100,0),6000)/100))&amp;"."&amp;RIGHT("0"&amp;MOD(ROUND(INDEX(Нормативы!$D$2:$L$71,L10,M10)*100,0),100),2)))</f>
        <v/>
      </c>
      <c r="J10" s="12" t="str">
        <f aca="false">IF(D10="","",SUMIFS('Базовые времена'!$D$2:$D$71,'Базовые времена'!$A$2:$A$71,B10,'Базовые времена'!$B$2:$B$71,C10,'Базовые времена'!$C$2:$C$71,D10))</f>
        <v/>
      </c>
      <c r="K10" s="12" t="str">
        <f aca="false">IF(E10="","",IF(ISNUMBER(E10),IF(E10&lt;1,E10*86400,E10),IFERROR(IF(ISNUMBER(FIND(":",SUBSTITUTE(TRIM(E10),",","."))),VALUE(LEFT(SUBSTITUTE(TRIM(E10),",","."),FIND(":",SUBSTITUTE(TRIM(E10),",","."))-1))*60+_xlfn.NUMBERVALUE(MID(SUBSTITUTE(TRIM(E10),",","."),FIND(":",SUBSTITUTE(TRIM(E10),",","."))+1,99),"."),_xlfn.NUMBERVALUE(SUBSTITUTE(TRIM(E10),",","."),".")),0)))</f>
        <v/>
      </c>
      <c r="L10" s="3" t="str">
        <f aca="false">IF(OR(D10="",N(K10)&lt;=0),"",IFERROR(MATCH(B10&amp;"|"&amp;C10&amp;"|"&amp;D10,Нормативы!$M$2:$M$71,0),""))</f>
        <v/>
      </c>
      <c r="M10" s="3" t="str">
        <f aca="false">IF(L10="","",SUMPRODUCT((INDEX(Нормативы!$D$2:$L$71,L10,0)&lt;K10)*ISNUMBER(INDEX(Нормативы!$D$2:$L$71,L10,0))))</f>
        <v/>
      </c>
    </row>
    <row r="11" customFormat="false" ht="15" hidden="false" customHeight="false" outlineLevel="0" collapsed="false">
      <c r="A11" s="5"/>
      <c r="B11" s="5"/>
      <c r="C11" s="5"/>
      <c r="D11" s="5"/>
      <c r="E11" s="14"/>
      <c r="F11" s="4" t="str">
        <f aca="false">IF(OR(J11="",K11="",N(J11)=0,N(K11)&lt;=0),"",ROUNDDOWN(1000*(J11/K11)^3,0))</f>
        <v/>
      </c>
      <c r="G11" s="4" t="str">
        <f aca="false">IF(M11="","",IF(M11+1&gt;COUNT(INDEX(Нормативы!$D$2:$L$71,L11,0)),"Разряда нет",INDEX(Нормативы!$D$1:$L$1,1,M11+1)))</f>
        <v/>
      </c>
      <c r="H11" s="2" t="str">
        <f aca="false">IF(M11="","",IF(M11=0,"—",INDEX(Нормативы!$D$1:$L$1,1,M11)))</f>
        <v/>
      </c>
      <c r="I11" s="7" t="str">
        <f aca="false">IF(M11="","",IF(M11=0,"",IF(INT(ROUND(INDEX(Нормативы!$D$2:$L$71,L11,M11)*100,0)/6000)&gt;0,INT(ROUND(INDEX(Нормативы!$D$2:$L$71,L11,M11)*100,0)/6000)&amp;":"&amp;RIGHT("0"&amp;INT(MOD(ROUND(INDEX(Нормативы!$D$2:$L$71,L11,M11)*100,0),6000)/100),2),INT(MOD(ROUND(INDEX(Нормативы!$D$2:$L$71,L11,M11)*100,0),6000)/100))&amp;"."&amp;RIGHT("0"&amp;MOD(ROUND(INDEX(Нормативы!$D$2:$L$71,L11,M11)*100,0),100),2)))</f>
        <v/>
      </c>
      <c r="J11" s="12" t="str">
        <f aca="false">IF(D11="","",SUMIFS('Базовые времена'!$D$2:$D$71,'Базовые времена'!$A$2:$A$71,B11,'Базовые времена'!$B$2:$B$71,C11,'Базовые времена'!$C$2:$C$71,D11))</f>
        <v/>
      </c>
      <c r="K11" s="12" t="str">
        <f aca="false">IF(E11="","",IF(ISNUMBER(E11),IF(E11&lt;1,E11*86400,E11),IFERROR(IF(ISNUMBER(FIND(":",SUBSTITUTE(TRIM(E11),",","."))),VALUE(LEFT(SUBSTITUTE(TRIM(E11),",","."),FIND(":",SUBSTITUTE(TRIM(E11),",","."))-1))*60+_xlfn.NUMBERVALUE(MID(SUBSTITUTE(TRIM(E11),",","."),FIND(":",SUBSTITUTE(TRIM(E11),",","."))+1,99),"."),_xlfn.NUMBERVALUE(SUBSTITUTE(TRIM(E11),",","."),".")),0)))</f>
        <v/>
      </c>
      <c r="L11" s="3" t="str">
        <f aca="false">IF(OR(D11="",N(K11)&lt;=0),"",IFERROR(MATCH(B11&amp;"|"&amp;C11&amp;"|"&amp;D11,Нормативы!$M$2:$M$71,0),""))</f>
        <v/>
      </c>
      <c r="M11" s="3" t="str">
        <f aca="false">IF(L11="","",SUMPRODUCT((INDEX(Нормативы!$D$2:$L$71,L11,0)&lt;K11)*ISNUMBER(INDEX(Нормативы!$D$2:$L$71,L11,0))))</f>
        <v/>
      </c>
    </row>
    <row r="12" customFormat="false" ht="15" hidden="false" customHeight="false" outlineLevel="0" collapsed="false">
      <c r="A12" s="5"/>
      <c r="B12" s="5"/>
      <c r="C12" s="5"/>
      <c r="D12" s="5"/>
      <c r="E12" s="14"/>
      <c r="F12" s="4" t="str">
        <f aca="false">IF(OR(J12="",K12="",N(J12)=0,N(K12)&lt;=0),"",ROUNDDOWN(1000*(J12/K12)^3,0))</f>
        <v/>
      </c>
      <c r="G12" s="4" t="str">
        <f aca="false">IF(M12="","",IF(M12+1&gt;COUNT(INDEX(Нормативы!$D$2:$L$71,L12,0)),"Разряда нет",INDEX(Нормативы!$D$1:$L$1,1,M12+1)))</f>
        <v/>
      </c>
      <c r="H12" s="2" t="str">
        <f aca="false">IF(M12="","",IF(M12=0,"—",INDEX(Нормативы!$D$1:$L$1,1,M12)))</f>
        <v/>
      </c>
      <c r="I12" s="7" t="str">
        <f aca="false">IF(M12="","",IF(M12=0,"",IF(INT(ROUND(INDEX(Нормативы!$D$2:$L$71,L12,M12)*100,0)/6000)&gt;0,INT(ROUND(INDEX(Нормативы!$D$2:$L$71,L12,M12)*100,0)/6000)&amp;":"&amp;RIGHT("0"&amp;INT(MOD(ROUND(INDEX(Нормативы!$D$2:$L$71,L12,M12)*100,0),6000)/100),2),INT(MOD(ROUND(INDEX(Нормативы!$D$2:$L$71,L12,M12)*100,0),6000)/100))&amp;"."&amp;RIGHT("0"&amp;MOD(ROUND(INDEX(Нормативы!$D$2:$L$71,L12,M12)*100,0),100),2)))</f>
        <v/>
      </c>
      <c r="J12" s="12" t="str">
        <f aca="false">IF(D12="","",SUMIFS('Базовые времена'!$D$2:$D$71,'Базовые времена'!$A$2:$A$71,B12,'Базовые времена'!$B$2:$B$71,C12,'Базовые времена'!$C$2:$C$71,D12))</f>
        <v/>
      </c>
      <c r="K12" s="12" t="str">
        <f aca="false">IF(E12="","",IF(ISNUMBER(E12),IF(E12&lt;1,E12*86400,E12),IFERROR(IF(ISNUMBER(FIND(":",SUBSTITUTE(TRIM(E12),",","."))),VALUE(LEFT(SUBSTITUTE(TRIM(E12),",","."),FIND(":",SUBSTITUTE(TRIM(E12),",","."))-1))*60+_xlfn.NUMBERVALUE(MID(SUBSTITUTE(TRIM(E12),",","."),FIND(":",SUBSTITUTE(TRIM(E12),",","."))+1,99),"."),_xlfn.NUMBERVALUE(SUBSTITUTE(TRIM(E12),",","."),".")),0)))</f>
        <v/>
      </c>
      <c r="L12" s="3" t="str">
        <f aca="false">IF(OR(D12="",N(K12)&lt;=0),"",IFERROR(MATCH(B12&amp;"|"&amp;C12&amp;"|"&amp;D12,Нормативы!$M$2:$M$71,0),""))</f>
        <v/>
      </c>
      <c r="M12" s="3" t="str">
        <f aca="false">IF(L12="","",SUMPRODUCT((INDEX(Нормативы!$D$2:$L$71,L12,0)&lt;K12)*ISNUMBER(INDEX(Нормативы!$D$2:$L$71,L12,0))))</f>
        <v/>
      </c>
    </row>
    <row r="13" customFormat="false" ht="15" hidden="false" customHeight="false" outlineLevel="0" collapsed="false">
      <c r="A13" s="5"/>
      <c r="B13" s="5"/>
      <c r="C13" s="5"/>
      <c r="D13" s="5"/>
      <c r="E13" s="14"/>
      <c r="F13" s="4" t="str">
        <f aca="false">IF(OR(J13="",K13="",N(J13)=0,N(K13)&lt;=0),"",ROUNDDOWN(1000*(J13/K13)^3,0))</f>
        <v/>
      </c>
      <c r="G13" s="4" t="str">
        <f aca="false">IF(M13="","",IF(M13+1&gt;COUNT(INDEX(Нормативы!$D$2:$L$71,L13,0)),"Разряда нет",INDEX(Нормативы!$D$1:$L$1,1,M13+1)))</f>
        <v/>
      </c>
      <c r="H13" s="2" t="str">
        <f aca="false">IF(M13="","",IF(M13=0,"—",INDEX(Нормативы!$D$1:$L$1,1,M13)))</f>
        <v/>
      </c>
      <c r="I13" s="7" t="str">
        <f aca="false">IF(M13="","",IF(M13=0,"",IF(INT(ROUND(INDEX(Нормативы!$D$2:$L$71,L13,M13)*100,0)/6000)&gt;0,INT(ROUND(INDEX(Нормативы!$D$2:$L$71,L13,M13)*100,0)/6000)&amp;":"&amp;RIGHT("0"&amp;INT(MOD(ROUND(INDEX(Нормативы!$D$2:$L$71,L13,M13)*100,0),6000)/100),2),INT(MOD(ROUND(INDEX(Нормативы!$D$2:$L$71,L13,M13)*100,0),6000)/100))&amp;"."&amp;RIGHT("0"&amp;MOD(ROUND(INDEX(Нормативы!$D$2:$L$71,L13,M13)*100,0),100),2)))</f>
        <v/>
      </c>
      <c r="J13" s="12" t="str">
        <f aca="false">IF(D13="","",SUMIFS('Базовые времена'!$D$2:$D$71,'Базовые времена'!$A$2:$A$71,B13,'Базовые времена'!$B$2:$B$71,C13,'Базовые времена'!$C$2:$C$71,D13))</f>
        <v/>
      </c>
      <c r="K13" s="12" t="str">
        <f aca="false">IF(E13="","",IF(ISNUMBER(E13),IF(E13&lt;1,E13*86400,E13),IFERROR(IF(ISNUMBER(FIND(":",SUBSTITUTE(TRIM(E13),",","."))),VALUE(LEFT(SUBSTITUTE(TRIM(E13),",","."),FIND(":",SUBSTITUTE(TRIM(E13),",","."))-1))*60+_xlfn.NUMBERVALUE(MID(SUBSTITUTE(TRIM(E13),",","."),FIND(":",SUBSTITUTE(TRIM(E13),",","."))+1,99),"."),_xlfn.NUMBERVALUE(SUBSTITUTE(TRIM(E13),",","."),".")),0)))</f>
        <v/>
      </c>
      <c r="L13" s="3" t="str">
        <f aca="false">IF(OR(D13="",N(K13)&lt;=0),"",IFERROR(MATCH(B13&amp;"|"&amp;C13&amp;"|"&amp;D13,Нормативы!$M$2:$M$71,0),""))</f>
        <v/>
      </c>
      <c r="M13" s="3" t="str">
        <f aca="false">IF(L13="","",SUMPRODUCT((INDEX(Нормативы!$D$2:$L$71,L13,0)&lt;K13)*ISNUMBER(INDEX(Нормативы!$D$2:$L$71,L13,0))))</f>
        <v/>
      </c>
    </row>
    <row r="14" customFormat="false" ht="15" hidden="false" customHeight="false" outlineLevel="0" collapsed="false">
      <c r="A14" s="5"/>
      <c r="B14" s="5"/>
      <c r="C14" s="5"/>
      <c r="D14" s="5"/>
      <c r="E14" s="14"/>
      <c r="F14" s="4" t="str">
        <f aca="false">IF(OR(J14="",K14="",N(J14)=0,N(K14)&lt;=0),"",ROUNDDOWN(1000*(J14/K14)^3,0))</f>
        <v/>
      </c>
      <c r="G14" s="4" t="str">
        <f aca="false">IF(M14="","",IF(M14+1&gt;COUNT(INDEX(Нормативы!$D$2:$L$71,L14,0)),"Разряда нет",INDEX(Нормативы!$D$1:$L$1,1,M14+1)))</f>
        <v/>
      </c>
      <c r="H14" s="2" t="str">
        <f aca="false">IF(M14="","",IF(M14=0,"—",INDEX(Нормативы!$D$1:$L$1,1,M14)))</f>
        <v/>
      </c>
      <c r="I14" s="7" t="str">
        <f aca="false">IF(M14="","",IF(M14=0,"",IF(INT(ROUND(INDEX(Нормативы!$D$2:$L$71,L14,M14)*100,0)/6000)&gt;0,INT(ROUND(INDEX(Нормативы!$D$2:$L$71,L14,M14)*100,0)/6000)&amp;":"&amp;RIGHT("0"&amp;INT(MOD(ROUND(INDEX(Нормативы!$D$2:$L$71,L14,M14)*100,0),6000)/100),2),INT(MOD(ROUND(INDEX(Нормативы!$D$2:$L$71,L14,M14)*100,0),6000)/100))&amp;"."&amp;RIGHT("0"&amp;MOD(ROUND(INDEX(Нормативы!$D$2:$L$71,L14,M14)*100,0),100),2)))</f>
        <v/>
      </c>
      <c r="J14" s="12" t="str">
        <f aca="false">IF(D14="","",SUMIFS('Базовые времена'!$D$2:$D$71,'Базовые времена'!$A$2:$A$71,B14,'Базовые времена'!$B$2:$B$71,C14,'Базовые времена'!$C$2:$C$71,D14))</f>
        <v/>
      </c>
      <c r="K14" s="12" t="str">
        <f aca="false">IF(E14="","",IF(ISNUMBER(E14),IF(E14&lt;1,E14*86400,E14),IFERROR(IF(ISNUMBER(FIND(":",SUBSTITUTE(TRIM(E14),",","."))),VALUE(LEFT(SUBSTITUTE(TRIM(E14),",","."),FIND(":",SUBSTITUTE(TRIM(E14),",","."))-1))*60+_xlfn.NUMBERVALUE(MID(SUBSTITUTE(TRIM(E14),",","."),FIND(":",SUBSTITUTE(TRIM(E14),",","."))+1,99),"."),_xlfn.NUMBERVALUE(SUBSTITUTE(TRIM(E14),",","."),".")),0)))</f>
        <v/>
      </c>
      <c r="L14" s="3" t="str">
        <f aca="false">IF(OR(D14="",N(K14)&lt;=0),"",IFERROR(MATCH(B14&amp;"|"&amp;C14&amp;"|"&amp;D14,Нормативы!$M$2:$M$71,0),""))</f>
        <v/>
      </c>
      <c r="M14" s="3" t="str">
        <f aca="false">IF(L14="","",SUMPRODUCT((INDEX(Нормативы!$D$2:$L$71,L14,0)&lt;K14)*ISNUMBER(INDEX(Нормативы!$D$2:$L$71,L14,0))))</f>
        <v/>
      </c>
    </row>
    <row r="15" customFormat="false" ht="15" hidden="false" customHeight="false" outlineLevel="0" collapsed="false">
      <c r="A15" s="5"/>
      <c r="B15" s="5"/>
      <c r="C15" s="5"/>
      <c r="D15" s="5"/>
      <c r="E15" s="14"/>
      <c r="F15" s="4" t="str">
        <f aca="false">IF(OR(J15="",K15="",N(J15)=0,N(K15)&lt;=0),"",ROUNDDOWN(1000*(J15/K15)^3,0))</f>
        <v/>
      </c>
      <c r="G15" s="4" t="str">
        <f aca="false">IF(M15="","",IF(M15+1&gt;COUNT(INDEX(Нормативы!$D$2:$L$71,L15,0)),"Разряда нет",INDEX(Нормативы!$D$1:$L$1,1,M15+1)))</f>
        <v/>
      </c>
      <c r="H15" s="2" t="str">
        <f aca="false">IF(M15="","",IF(M15=0,"—",INDEX(Нормативы!$D$1:$L$1,1,M15)))</f>
        <v/>
      </c>
      <c r="I15" s="7" t="str">
        <f aca="false">IF(M15="","",IF(M15=0,"",IF(INT(ROUND(INDEX(Нормативы!$D$2:$L$71,L15,M15)*100,0)/6000)&gt;0,INT(ROUND(INDEX(Нормативы!$D$2:$L$71,L15,M15)*100,0)/6000)&amp;":"&amp;RIGHT("0"&amp;INT(MOD(ROUND(INDEX(Нормативы!$D$2:$L$71,L15,M15)*100,0),6000)/100),2),INT(MOD(ROUND(INDEX(Нормативы!$D$2:$L$71,L15,M15)*100,0),6000)/100))&amp;"."&amp;RIGHT("0"&amp;MOD(ROUND(INDEX(Нормативы!$D$2:$L$71,L15,M15)*100,0),100),2)))</f>
        <v/>
      </c>
      <c r="J15" s="12" t="str">
        <f aca="false">IF(D15="","",SUMIFS('Базовые времена'!$D$2:$D$71,'Базовые времена'!$A$2:$A$71,B15,'Базовые времена'!$B$2:$B$71,C15,'Базовые времена'!$C$2:$C$71,D15))</f>
        <v/>
      </c>
      <c r="K15" s="12" t="str">
        <f aca="false">IF(E15="","",IF(ISNUMBER(E15),IF(E15&lt;1,E15*86400,E15),IFERROR(IF(ISNUMBER(FIND(":",SUBSTITUTE(TRIM(E15),",","."))),VALUE(LEFT(SUBSTITUTE(TRIM(E15),",","."),FIND(":",SUBSTITUTE(TRIM(E15),",","."))-1))*60+_xlfn.NUMBERVALUE(MID(SUBSTITUTE(TRIM(E15),",","."),FIND(":",SUBSTITUTE(TRIM(E15),",","."))+1,99),"."),_xlfn.NUMBERVALUE(SUBSTITUTE(TRIM(E15),",","."),".")),0)))</f>
        <v/>
      </c>
      <c r="L15" s="3" t="str">
        <f aca="false">IF(OR(D15="",N(K15)&lt;=0),"",IFERROR(MATCH(B15&amp;"|"&amp;C15&amp;"|"&amp;D15,Нормативы!$M$2:$M$71,0),""))</f>
        <v/>
      </c>
      <c r="M15" s="3" t="str">
        <f aca="false">IF(L15="","",SUMPRODUCT((INDEX(Нормативы!$D$2:$L$71,L15,0)&lt;K15)*ISNUMBER(INDEX(Нормативы!$D$2:$L$71,L15,0))))</f>
        <v/>
      </c>
    </row>
    <row r="16" customFormat="false" ht="15" hidden="false" customHeight="false" outlineLevel="0" collapsed="false">
      <c r="A16" s="5"/>
      <c r="B16" s="5"/>
      <c r="C16" s="5"/>
      <c r="D16" s="5"/>
      <c r="E16" s="14"/>
      <c r="F16" s="4" t="str">
        <f aca="false">IF(OR(J16="",K16="",N(J16)=0,N(K16)&lt;=0),"",ROUNDDOWN(1000*(J16/K16)^3,0))</f>
        <v/>
      </c>
      <c r="G16" s="4" t="str">
        <f aca="false">IF(M16="","",IF(M16+1&gt;COUNT(INDEX(Нормативы!$D$2:$L$71,L16,0)),"Разряда нет",INDEX(Нормативы!$D$1:$L$1,1,M16+1)))</f>
        <v/>
      </c>
      <c r="H16" s="2" t="str">
        <f aca="false">IF(M16="","",IF(M16=0,"—",INDEX(Нормативы!$D$1:$L$1,1,M16)))</f>
        <v/>
      </c>
      <c r="I16" s="7" t="str">
        <f aca="false">IF(M16="","",IF(M16=0,"",IF(INT(ROUND(INDEX(Нормативы!$D$2:$L$71,L16,M16)*100,0)/6000)&gt;0,INT(ROUND(INDEX(Нормативы!$D$2:$L$71,L16,M16)*100,0)/6000)&amp;":"&amp;RIGHT("0"&amp;INT(MOD(ROUND(INDEX(Нормативы!$D$2:$L$71,L16,M16)*100,0),6000)/100),2),INT(MOD(ROUND(INDEX(Нормативы!$D$2:$L$71,L16,M16)*100,0),6000)/100))&amp;"."&amp;RIGHT("0"&amp;MOD(ROUND(INDEX(Нормативы!$D$2:$L$71,L16,M16)*100,0),100),2)))</f>
        <v/>
      </c>
      <c r="J16" s="12" t="str">
        <f aca="false">IF(D16="","",SUMIFS('Базовые времена'!$D$2:$D$71,'Базовые времена'!$A$2:$A$71,B16,'Базовые времена'!$B$2:$B$71,C16,'Базовые времена'!$C$2:$C$71,D16))</f>
        <v/>
      </c>
      <c r="K16" s="12" t="str">
        <f aca="false">IF(E16="","",IF(ISNUMBER(E16),IF(E16&lt;1,E16*86400,E16),IFERROR(IF(ISNUMBER(FIND(":",SUBSTITUTE(TRIM(E16),",","."))),VALUE(LEFT(SUBSTITUTE(TRIM(E16),",","."),FIND(":",SUBSTITUTE(TRIM(E16),",","."))-1))*60+_xlfn.NUMBERVALUE(MID(SUBSTITUTE(TRIM(E16),",","."),FIND(":",SUBSTITUTE(TRIM(E16),",","."))+1,99),"."),_xlfn.NUMBERVALUE(SUBSTITUTE(TRIM(E16),",","."),".")),0)))</f>
        <v/>
      </c>
      <c r="L16" s="3" t="str">
        <f aca="false">IF(OR(D16="",N(K16)&lt;=0),"",IFERROR(MATCH(B16&amp;"|"&amp;C16&amp;"|"&amp;D16,Нормативы!$M$2:$M$71,0),""))</f>
        <v/>
      </c>
      <c r="M16" s="3" t="str">
        <f aca="false">IF(L16="","",SUMPRODUCT((INDEX(Нормативы!$D$2:$L$71,L16,0)&lt;K16)*ISNUMBER(INDEX(Нормативы!$D$2:$L$71,L16,0))))</f>
        <v/>
      </c>
    </row>
    <row r="17" customFormat="false" ht="15" hidden="false" customHeight="false" outlineLevel="0" collapsed="false">
      <c r="A17" s="5"/>
      <c r="B17" s="5"/>
      <c r="C17" s="5"/>
      <c r="D17" s="5"/>
      <c r="E17" s="14"/>
      <c r="F17" s="4" t="str">
        <f aca="false">IF(OR(J17="",K17="",N(J17)=0,N(K17)&lt;=0),"",ROUNDDOWN(1000*(J17/K17)^3,0))</f>
        <v/>
      </c>
      <c r="G17" s="4" t="str">
        <f aca="false">IF(M17="","",IF(M17+1&gt;COUNT(INDEX(Нормативы!$D$2:$L$71,L17,0)),"Разряда нет",INDEX(Нормативы!$D$1:$L$1,1,M17+1)))</f>
        <v/>
      </c>
      <c r="H17" s="2" t="str">
        <f aca="false">IF(M17="","",IF(M17=0,"—",INDEX(Нормативы!$D$1:$L$1,1,M17)))</f>
        <v/>
      </c>
      <c r="I17" s="7" t="str">
        <f aca="false">IF(M17="","",IF(M17=0,"",IF(INT(ROUND(INDEX(Нормативы!$D$2:$L$71,L17,M17)*100,0)/6000)&gt;0,INT(ROUND(INDEX(Нормативы!$D$2:$L$71,L17,M17)*100,0)/6000)&amp;":"&amp;RIGHT("0"&amp;INT(MOD(ROUND(INDEX(Нормативы!$D$2:$L$71,L17,M17)*100,0),6000)/100),2),INT(MOD(ROUND(INDEX(Нормативы!$D$2:$L$71,L17,M17)*100,0),6000)/100))&amp;"."&amp;RIGHT("0"&amp;MOD(ROUND(INDEX(Нормативы!$D$2:$L$71,L17,M17)*100,0),100),2)))</f>
        <v/>
      </c>
      <c r="J17" s="12" t="str">
        <f aca="false">IF(D17="","",SUMIFS('Базовые времена'!$D$2:$D$71,'Базовые времена'!$A$2:$A$71,B17,'Базовые времена'!$B$2:$B$71,C17,'Базовые времена'!$C$2:$C$71,D17))</f>
        <v/>
      </c>
      <c r="K17" s="12" t="str">
        <f aca="false">IF(E17="","",IF(ISNUMBER(E17),IF(E17&lt;1,E17*86400,E17),IFERROR(IF(ISNUMBER(FIND(":",SUBSTITUTE(TRIM(E17),",","."))),VALUE(LEFT(SUBSTITUTE(TRIM(E17),",","."),FIND(":",SUBSTITUTE(TRIM(E17),",","."))-1))*60+_xlfn.NUMBERVALUE(MID(SUBSTITUTE(TRIM(E17),",","."),FIND(":",SUBSTITUTE(TRIM(E17),",","."))+1,99),"."),_xlfn.NUMBERVALUE(SUBSTITUTE(TRIM(E17),",","."),".")),0)))</f>
        <v/>
      </c>
      <c r="L17" s="3" t="str">
        <f aca="false">IF(OR(D17="",N(K17)&lt;=0),"",IFERROR(MATCH(B17&amp;"|"&amp;C17&amp;"|"&amp;D17,Нормативы!$M$2:$M$71,0),""))</f>
        <v/>
      </c>
      <c r="M17" s="3" t="str">
        <f aca="false">IF(L17="","",SUMPRODUCT((INDEX(Нормативы!$D$2:$L$71,L17,0)&lt;K17)*ISNUMBER(INDEX(Нормативы!$D$2:$L$71,L17,0))))</f>
        <v/>
      </c>
    </row>
    <row r="18" customFormat="false" ht="15" hidden="false" customHeight="false" outlineLevel="0" collapsed="false">
      <c r="A18" s="5"/>
      <c r="B18" s="5"/>
      <c r="C18" s="5"/>
      <c r="D18" s="5"/>
      <c r="E18" s="14"/>
      <c r="F18" s="4" t="str">
        <f aca="false">IF(OR(J18="",K18="",N(J18)=0,N(K18)&lt;=0),"",ROUNDDOWN(1000*(J18/K18)^3,0))</f>
        <v/>
      </c>
      <c r="G18" s="4" t="str">
        <f aca="false">IF(M18="","",IF(M18+1&gt;COUNT(INDEX(Нормативы!$D$2:$L$71,L18,0)),"Разряда нет",INDEX(Нормативы!$D$1:$L$1,1,M18+1)))</f>
        <v/>
      </c>
      <c r="H18" s="2" t="str">
        <f aca="false">IF(M18="","",IF(M18=0,"—",INDEX(Нормативы!$D$1:$L$1,1,M18)))</f>
        <v/>
      </c>
      <c r="I18" s="7" t="str">
        <f aca="false">IF(M18="","",IF(M18=0,"",IF(INT(ROUND(INDEX(Нормативы!$D$2:$L$71,L18,M18)*100,0)/6000)&gt;0,INT(ROUND(INDEX(Нормативы!$D$2:$L$71,L18,M18)*100,0)/6000)&amp;":"&amp;RIGHT("0"&amp;INT(MOD(ROUND(INDEX(Нормативы!$D$2:$L$71,L18,M18)*100,0),6000)/100),2),INT(MOD(ROUND(INDEX(Нормативы!$D$2:$L$71,L18,M18)*100,0),6000)/100))&amp;"."&amp;RIGHT("0"&amp;MOD(ROUND(INDEX(Нормативы!$D$2:$L$71,L18,M18)*100,0),100),2)))</f>
        <v/>
      </c>
      <c r="J18" s="12" t="str">
        <f aca="false">IF(D18="","",SUMIFS('Базовые времена'!$D$2:$D$71,'Базовые времена'!$A$2:$A$71,B18,'Базовые времена'!$B$2:$B$71,C18,'Базовые времена'!$C$2:$C$71,D18))</f>
        <v/>
      </c>
      <c r="K18" s="12" t="str">
        <f aca="false">IF(E18="","",IF(ISNUMBER(E18),IF(E18&lt;1,E18*86400,E18),IFERROR(IF(ISNUMBER(FIND(":",SUBSTITUTE(TRIM(E18),",","."))),VALUE(LEFT(SUBSTITUTE(TRIM(E18),",","."),FIND(":",SUBSTITUTE(TRIM(E18),",","."))-1))*60+_xlfn.NUMBERVALUE(MID(SUBSTITUTE(TRIM(E18),",","."),FIND(":",SUBSTITUTE(TRIM(E18),",","."))+1,99),"."),_xlfn.NUMBERVALUE(SUBSTITUTE(TRIM(E18),",","."),".")),0)))</f>
        <v/>
      </c>
      <c r="L18" s="3" t="str">
        <f aca="false">IF(OR(D18="",N(K18)&lt;=0),"",IFERROR(MATCH(B18&amp;"|"&amp;C18&amp;"|"&amp;D18,Нормативы!$M$2:$M$71,0),""))</f>
        <v/>
      </c>
      <c r="M18" s="3" t="str">
        <f aca="false">IF(L18="","",SUMPRODUCT((INDEX(Нормативы!$D$2:$L$71,L18,0)&lt;K18)*ISNUMBER(INDEX(Нормативы!$D$2:$L$71,L18,0))))</f>
        <v/>
      </c>
    </row>
    <row r="19" customFormat="false" ht="15" hidden="false" customHeight="false" outlineLevel="0" collapsed="false">
      <c r="A19" s="5"/>
      <c r="B19" s="5"/>
      <c r="C19" s="5"/>
      <c r="D19" s="5"/>
      <c r="E19" s="14"/>
      <c r="F19" s="4" t="str">
        <f aca="false">IF(OR(J19="",K19="",N(J19)=0,N(K19)&lt;=0),"",ROUNDDOWN(1000*(J19/K19)^3,0))</f>
        <v/>
      </c>
      <c r="G19" s="4" t="str">
        <f aca="false">IF(M19="","",IF(M19+1&gt;COUNT(INDEX(Нормативы!$D$2:$L$71,L19,0)),"Разряда нет",INDEX(Нормативы!$D$1:$L$1,1,M19+1)))</f>
        <v/>
      </c>
      <c r="H19" s="2" t="str">
        <f aca="false">IF(M19="","",IF(M19=0,"—",INDEX(Нормативы!$D$1:$L$1,1,M19)))</f>
        <v/>
      </c>
      <c r="I19" s="7" t="str">
        <f aca="false">IF(M19="","",IF(M19=0,"",IF(INT(ROUND(INDEX(Нормативы!$D$2:$L$71,L19,M19)*100,0)/6000)&gt;0,INT(ROUND(INDEX(Нормативы!$D$2:$L$71,L19,M19)*100,0)/6000)&amp;":"&amp;RIGHT("0"&amp;INT(MOD(ROUND(INDEX(Нормативы!$D$2:$L$71,L19,M19)*100,0),6000)/100),2),INT(MOD(ROUND(INDEX(Нормативы!$D$2:$L$71,L19,M19)*100,0),6000)/100))&amp;"."&amp;RIGHT("0"&amp;MOD(ROUND(INDEX(Нормативы!$D$2:$L$71,L19,M19)*100,0),100),2)))</f>
        <v/>
      </c>
      <c r="J19" s="12" t="str">
        <f aca="false">IF(D19="","",SUMIFS('Базовые времена'!$D$2:$D$71,'Базовые времена'!$A$2:$A$71,B19,'Базовые времена'!$B$2:$B$71,C19,'Базовые времена'!$C$2:$C$71,D19))</f>
        <v/>
      </c>
      <c r="K19" s="12" t="str">
        <f aca="false">IF(E19="","",IF(ISNUMBER(E19),IF(E19&lt;1,E19*86400,E19),IFERROR(IF(ISNUMBER(FIND(":",SUBSTITUTE(TRIM(E19),",","."))),VALUE(LEFT(SUBSTITUTE(TRIM(E19),",","."),FIND(":",SUBSTITUTE(TRIM(E19),",","."))-1))*60+_xlfn.NUMBERVALUE(MID(SUBSTITUTE(TRIM(E19),",","."),FIND(":",SUBSTITUTE(TRIM(E19),",","."))+1,99),"."),_xlfn.NUMBERVALUE(SUBSTITUTE(TRIM(E19),",","."),".")),0)))</f>
        <v/>
      </c>
      <c r="L19" s="3" t="str">
        <f aca="false">IF(OR(D19="",N(K19)&lt;=0),"",IFERROR(MATCH(B19&amp;"|"&amp;C19&amp;"|"&amp;D19,Нормативы!$M$2:$M$71,0),""))</f>
        <v/>
      </c>
      <c r="M19" s="3" t="str">
        <f aca="false">IF(L19="","",SUMPRODUCT((INDEX(Нормативы!$D$2:$L$71,L19,0)&lt;K19)*ISNUMBER(INDEX(Нормативы!$D$2:$L$71,L19,0))))</f>
        <v/>
      </c>
    </row>
    <row r="20" customFormat="false" ht="15" hidden="false" customHeight="false" outlineLevel="0" collapsed="false">
      <c r="A20" s="5"/>
      <c r="B20" s="5"/>
      <c r="C20" s="5"/>
      <c r="D20" s="5"/>
      <c r="E20" s="14"/>
      <c r="F20" s="4" t="str">
        <f aca="false">IF(OR(J20="",K20="",N(J20)=0,N(K20)&lt;=0),"",ROUNDDOWN(1000*(J20/K20)^3,0))</f>
        <v/>
      </c>
      <c r="G20" s="4" t="str">
        <f aca="false">IF(M20="","",IF(M20+1&gt;COUNT(INDEX(Нормативы!$D$2:$L$71,L20,0)),"Разряда нет",INDEX(Нормативы!$D$1:$L$1,1,M20+1)))</f>
        <v/>
      </c>
      <c r="H20" s="2" t="str">
        <f aca="false">IF(M20="","",IF(M20=0,"—",INDEX(Нормативы!$D$1:$L$1,1,M20)))</f>
        <v/>
      </c>
      <c r="I20" s="7" t="str">
        <f aca="false">IF(M20="","",IF(M20=0,"",IF(INT(ROUND(INDEX(Нормативы!$D$2:$L$71,L20,M20)*100,0)/6000)&gt;0,INT(ROUND(INDEX(Нормативы!$D$2:$L$71,L20,M20)*100,0)/6000)&amp;":"&amp;RIGHT("0"&amp;INT(MOD(ROUND(INDEX(Нормативы!$D$2:$L$71,L20,M20)*100,0),6000)/100),2),INT(MOD(ROUND(INDEX(Нормативы!$D$2:$L$71,L20,M20)*100,0),6000)/100))&amp;"."&amp;RIGHT("0"&amp;MOD(ROUND(INDEX(Нормативы!$D$2:$L$71,L20,M20)*100,0),100),2)))</f>
        <v/>
      </c>
      <c r="J20" s="12" t="str">
        <f aca="false">IF(D20="","",SUMIFS('Базовые времена'!$D$2:$D$71,'Базовые времена'!$A$2:$A$71,B20,'Базовые времена'!$B$2:$B$71,C20,'Базовые времена'!$C$2:$C$71,D20))</f>
        <v/>
      </c>
      <c r="K20" s="12" t="str">
        <f aca="false">IF(E20="","",IF(ISNUMBER(E20),IF(E20&lt;1,E20*86400,E20),IFERROR(IF(ISNUMBER(FIND(":",SUBSTITUTE(TRIM(E20),",","."))),VALUE(LEFT(SUBSTITUTE(TRIM(E20),",","."),FIND(":",SUBSTITUTE(TRIM(E20),",","."))-1))*60+_xlfn.NUMBERVALUE(MID(SUBSTITUTE(TRIM(E20),",","."),FIND(":",SUBSTITUTE(TRIM(E20),",","."))+1,99),"."),_xlfn.NUMBERVALUE(SUBSTITUTE(TRIM(E20),",","."),".")),0)))</f>
        <v/>
      </c>
      <c r="L20" s="3" t="str">
        <f aca="false">IF(OR(D20="",N(K20)&lt;=0),"",IFERROR(MATCH(B20&amp;"|"&amp;C20&amp;"|"&amp;D20,Нормативы!$M$2:$M$71,0),""))</f>
        <v/>
      </c>
      <c r="M20" s="3" t="str">
        <f aca="false">IF(L20="","",SUMPRODUCT((INDEX(Нормативы!$D$2:$L$71,L20,0)&lt;K20)*ISNUMBER(INDEX(Нормативы!$D$2:$L$71,L20,0))))</f>
        <v/>
      </c>
    </row>
    <row r="21" customFormat="false" ht="15" hidden="false" customHeight="false" outlineLevel="0" collapsed="false">
      <c r="A21" s="5"/>
      <c r="B21" s="5"/>
      <c r="C21" s="5"/>
      <c r="D21" s="5"/>
      <c r="E21" s="14"/>
      <c r="F21" s="4" t="str">
        <f aca="false">IF(OR(J21="",K21="",N(J21)=0,N(K21)&lt;=0),"",ROUNDDOWN(1000*(J21/K21)^3,0))</f>
        <v/>
      </c>
      <c r="G21" s="4" t="str">
        <f aca="false">IF(M21="","",IF(M21+1&gt;COUNT(INDEX(Нормативы!$D$2:$L$71,L21,0)),"Разряда нет",INDEX(Нормативы!$D$1:$L$1,1,M21+1)))</f>
        <v/>
      </c>
      <c r="H21" s="2" t="str">
        <f aca="false">IF(M21="","",IF(M21=0,"—",INDEX(Нормативы!$D$1:$L$1,1,M21)))</f>
        <v/>
      </c>
      <c r="I21" s="7" t="str">
        <f aca="false">IF(M21="","",IF(M21=0,"",IF(INT(ROUND(INDEX(Нормативы!$D$2:$L$71,L21,M21)*100,0)/6000)&gt;0,INT(ROUND(INDEX(Нормативы!$D$2:$L$71,L21,M21)*100,0)/6000)&amp;":"&amp;RIGHT("0"&amp;INT(MOD(ROUND(INDEX(Нормативы!$D$2:$L$71,L21,M21)*100,0),6000)/100),2),INT(MOD(ROUND(INDEX(Нормативы!$D$2:$L$71,L21,M21)*100,0),6000)/100))&amp;"."&amp;RIGHT("0"&amp;MOD(ROUND(INDEX(Нормативы!$D$2:$L$71,L21,M21)*100,0),100),2)))</f>
        <v/>
      </c>
      <c r="J21" s="12" t="str">
        <f aca="false">IF(D21="","",SUMIFS('Базовые времена'!$D$2:$D$71,'Базовые времена'!$A$2:$A$71,B21,'Базовые времена'!$B$2:$B$71,C21,'Базовые времена'!$C$2:$C$71,D21))</f>
        <v/>
      </c>
      <c r="K21" s="12" t="str">
        <f aca="false">IF(E21="","",IF(ISNUMBER(E21),IF(E21&lt;1,E21*86400,E21),IFERROR(IF(ISNUMBER(FIND(":",SUBSTITUTE(TRIM(E21),",","."))),VALUE(LEFT(SUBSTITUTE(TRIM(E21),",","."),FIND(":",SUBSTITUTE(TRIM(E21),",","."))-1))*60+_xlfn.NUMBERVALUE(MID(SUBSTITUTE(TRIM(E21),",","."),FIND(":",SUBSTITUTE(TRIM(E21),",","."))+1,99),"."),_xlfn.NUMBERVALUE(SUBSTITUTE(TRIM(E21),",","."),".")),0)))</f>
        <v/>
      </c>
      <c r="L21" s="3" t="str">
        <f aca="false">IF(OR(D21="",N(K21)&lt;=0),"",IFERROR(MATCH(B21&amp;"|"&amp;C21&amp;"|"&amp;D21,Нормативы!$M$2:$M$71,0),""))</f>
        <v/>
      </c>
      <c r="M21" s="3" t="str">
        <f aca="false">IF(L21="","",SUMPRODUCT((INDEX(Нормативы!$D$2:$L$71,L21,0)&lt;K21)*ISNUMBER(INDEX(Нормативы!$D$2:$L$71,L21,0))))</f>
        <v/>
      </c>
    </row>
    <row r="22" customFormat="false" ht="15" hidden="false" customHeight="false" outlineLevel="0" collapsed="false">
      <c r="A22" s="5"/>
      <c r="B22" s="5"/>
      <c r="C22" s="5"/>
      <c r="D22" s="5"/>
      <c r="E22" s="14"/>
      <c r="F22" s="4" t="str">
        <f aca="false">IF(OR(J22="",K22="",N(J22)=0,N(K22)&lt;=0),"",ROUNDDOWN(1000*(J22/K22)^3,0))</f>
        <v/>
      </c>
      <c r="G22" s="4" t="str">
        <f aca="false">IF(M22="","",IF(M22+1&gt;COUNT(INDEX(Нормативы!$D$2:$L$71,L22,0)),"Разряда нет",INDEX(Нормативы!$D$1:$L$1,1,M22+1)))</f>
        <v/>
      </c>
      <c r="H22" s="2" t="str">
        <f aca="false">IF(M22="","",IF(M22=0,"—",INDEX(Нормативы!$D$1:$L$1,1,M22)))</f>
        <v/>
      </c>
      <c r="I22" s="7" t="str">
        <f aca="false">IF(M22="","",IF(M22=0,"",IF(INT(ROUND(INDEX(Нормативы!$D$2:$L$71,L22,M22)*100,0)/6000)&gt;0,INT(ROUND(INDEX(Нормативы!$D$2:$L$71,L22,M22)*100,0)/6000)&amp;":"&amp;RIGHT("0"&amp;INT(MOD(ROUND(INDEX(Нормативы!$D$2:$L$71,L22,M22)*100,0),6000)/100),2),INT(MOD(ROUND(INDEX(Нормативы!$D$2:$L$71,L22,M22)*100,0),6000)/100))&amp;"."&amp;RIGHT("0"&amp;MOD(ROUND(INDEX(Нормативы!$D$2:$L$71,L22,M22)*100,0),100),2)))</f>
        <v/>
      </c>
      <c r="J22" s="12" t="str">
        <f aca="false">IF(D22="","",SUMIFS('Базовые времена'!$D$2:$D$71,'Базовые времена'!$A$2:$A$71,B22,'Базовые времена'!$B$2:$B$71,C22,'Базовые времена'!$C$2:$C$71,D22))</f>
        <v/>
      </c>
      <c r="K22" s="12" t="str">
        <f aca="false">IF(E22="","",IF(ISNUMBER(E22),IF(E22&lt;1,E22*86400,E22),IFERROR(IF(ISNUMBER(FIND(":",SUBSTITUTE(TRIM(E22),",","."))),VALUE(LEFT(SUBSTITUTE(TRIM(E22),",","."),FIND(":",SUBSTITUTE(TRIM(E22),",","."))-1))*60+_xlfn.NUMBERVALUE(MID(SUBSTITUTE(TRIM(E22),",","."),FIND(":",SUBSTITUTE(TRIM(E22),",","."))+1,99),"."),_xlfn.NUMBERVALUE(SUBSTITUTE(TRIM(E22),",","."),".")),0)))</f>
        <v/>
      </c>
      <c r="L22" s="3" t="str">
        <f aca="false">IF(OR(D22="",N(K22)&lt;=0),"",IFERROR(MATCH(B22&amp;"|"&amp;C22&amp;"|"&amp;D22,Нормативы!$M$2:$M$71,0),""))</f>
        <v/>
      </c>
      <c r="M22" s="3" t="str">
        <f aca="false">IF(L22="","",SUMPRODUCT((INDEX(Нормативы!$D$2:$L$71,L22,0)&lt;K22)*ISNUMBER(INDEX(Нормативы!$D$2:$L$71,L22,0))))</f>
        <v/>
      </c>
    </row>
    <row r="23" customFormat="false" ht="15" hidden="false" customHeight="false" outlineLevel="0" collapsed="false">
      <c r="A23" s="5"/>
      <c r="B23" s="5"/>
      <c r="C23" s="5"/>
      <c r="D23" s="5"/>
      <c r="E23" s="14"/>
      <c r="F23" s="4" t="str">
        <f aca="false">IF(OR(J23="",K23="",N(J23)=0,N(K23)&lt;=0),"",ROUNDDOWN(1000*(J23/K23)^3,0))</f>
        <v/>
      </c>
      <c r="G23" s="4" t="str">
        <f aca="false">IF(M23="","",IF(M23+1&gt;COUNT(INDEX(Нормативы!$D$2:$L$71,L23,0)),"Разряда нет",INDEX(Нормативы!$D$1:$L$1,1,M23+1)))</f>
        <v/>
      </c>
      <c r="H23" s="2" t="str">
        <f aca="false">IF(M23="","",IF(M23=0,"—",INDEX(Нормативы!$D$1:$L$1,1,M23)))</f>
        <v/>
      </c>
      <c r="I23" s="7" t="str">
        <f aca="false">IF(M23="","",IF(M23=0,"",IF(INT(ROUND(INDEX(Нормативы!$D$2:$L$71,L23,M23)*100,0)/6000)&gt;0,INT(ROUND(INDEX(Нормативы!$D$2:$L$71,L23,M23)*100,0)/6000)&amp;":"&amp;RIGHT("0"&amp;INT(MOD(ROUND(INDEX(Нормативы!$D$2:$L$71,L23,M23)*100,0),6000)/100),2),INT(MOD(ROUND(INDEX(Нормативы!$D$2:$L$71,L23,M23)*100,0),6000)/100))&amp;"."&amp;RIGHT("0"&amp;MOD(ROUND(INDEX(Нормативы!$D$2:$L$71,L23,M23)*100,0),100),2)))</f>
        <v/>
      </c>
      <c r="J23" s="12" t="str">
        <f aca="false">IF(D23="","",SUMIFS('Базовые времена'!$D$2:$D$71,'Базовые времена'!$A$2:$A$71,B23,'Базовые времена'!$B$2:$B$71,C23,'Базовые времена'!$C$2:$C$71,D23))</f>
        <v/>
      </c>
      <c r="K23" s="12" t="str">
        <f aca="false">IF(E23="","",IF(ISNUMBER(E23),IF(E23&lt;1,E23*86400,E23),IFERROR(IF(ISNUMBER(FIND(":",SUBSTITUTE(TRIM(E23),",","."))),VALUE(LEFT(SUBSTITUTE(TRIM(E23),",","."),FIND(":",SUBSTITUTE(TRIM(E23),",","."))-1))*60+_xlfn.NUMBERVALUE(MID(SUBSTITUTE(TRIM(E23),",","."),FIND(":",SUBSTITUTE(TRIM(E23),",","."))+1,99),"."),_xlfn.NUMBERVALUE(SUBSTITUTE(TRIM(E23),",","."),".")),0)))</f>
        <v/>
      </c>
      <c r="L23" s="3" t="str">
        <f aca="false">IF(OR(D23="",N(K23)&lt;=0),"",IFERROR(MATCH(B23&amp;"|"&amp;C23&amp;"|"&amp;D23,Нормативы!$M$2:$M$71,0),""))</f>
        <v/>
      </c>
      <c r="M23" s="3" t="str">
        <f aca="false">IF(L23="","",SUMPRODUCT((INDEX(Нормативы!$D$2:$L$71,L23,0)&lt;K23)*ISNUMBER(INDEX(Нормативы!$D$2:$L$71,L23,0))))</f>
        <v/>
      </c>
    </row>
    <row r="24" customFormat="false" ht="15" hidden="false" customHeight="false" outlineLevel="0" collapsed="false">
      <c r="A24" s="5"/>
      <c r="B24" s="5"/>
      <c r="C24" s="5"/>
      <c r="D24" s="5"/>
      <c r="E24" s="14"/>
      <c r="F24" s="4" t="str">
        <f aca="false">IF(OR(J24="",K24="",N(J24)=0,N(K24)&lt;=0),"",ROUNDDOWN(1000*(J24/K24)^3,0))</f>
        <v/>
      </c>
      <c r="G24" s="4" t="str">
        <f aca="false">IF(M24="","",IF(M24+1&gt;COUNT(INDEX(Нормативы!$D$2:$L$71,L24,0)),"Разряда нет",INDEX(Нормативы!$D$1:$L$1,1,M24+1)))</f>
        <v/>
      </c>
      <c r="H24" s="2" t="str">
        <f aca="false">IF(M24="","",IF(M24=0,"—",INDEX(Нормативы!$D$1:$L$1,1,M24)))</f>
        <v/>
      </c>
      <c r="I24" s="7" t="str">
        <f aca="false">IF(M24="","",IF(M24=0,"",IF(INT(ROUND(INDEX(Нормативы!$D$2:$L$71,L24,M24)*100,0)/6000)&gt;0,INT(ROUND(INDEX(Нормативы!$D$2:$L$71,L24,M24)*100,0)/6000)&amp;":"&amp;RIGHT("0"&amp;INT(MOD(ROUND(INDEX(Нормативы!$D$2:$L$71,L24,M24)*100,0),6000)/100),2),INT(MOD(ROUND(INDEX(Нормативы!$D$2:$L$71,L24,M24)*100,0),6000)/100))&amp;"."&amp;RIGHT("0"&amp;MOD(ROUND(INDEX(Нормативы!$D$2:$L$71,L24,M24)*100,0),100),2)))</f>
        <v/>
      </c>
      <c r="J24" s="12" t="str">
        <f aca="false">IF(D24="","",SUMIFS('Базовые времена'!$D$2:$D$71,'Базовые времена'!$A$2:$A$71,B24,'Базовые времена'!$B$2:$B$71,C24,'Базовые времена'!$C$2:$C$71,D24))</f>
        <v/>
      </c>
      <c r="K24" s="12" t="str">
        <f aca="false">IF(E24="","",IF(ISNUMBER(E24),IF(E24&lt;1,E24*86400,E24),IFERROR(IF(ISNUMBER(FIND(":",SUBSTITUTE(TRIM(E24),",","."))),VALUE(LEFT(SUBSTITUTE(TRIM(E24),",","."),FIND(":",SUBSTITUTE(TRIM(E24),",","."))-1))*60+_xlfn.NUMBERVALUE(MID(SUBSTITUTE(TRIM(E24),",","."),FIND(":",SUBSTITUTE(TRIM(E24),",","."))+1,99),"."),_xlfn.NUMBERVALUE(SUBSTITUTE(TRIM(E24),",","."),".")),0)))</f>
        <v/>
      </c>
      <c r="L24" s="3" t="str">
        <f aca="false">IF(OR(D24="",N(K24)&lt;=0),"",IFERROR(MATCH(B24&amp;"|"&amp;C24&amp;"|"&amp;D24,Нормативы!$M$2:$M$71,0),""))</f>
        <v/>
      </c>
      <c r="M24" s="3" t="str">
        <f aca="false">IF(L24="","",SUMPRODUCT((INDEX(Нормативы!$D$2:$L$71,L24,0)&lt;K24)*ISNUMBER(INDEX(Нормативы!$D$2:$L$71,L24,0))))</f>
        <v/>
      </c>
    </row>
    <row r="25" customFormat="false" ht="15" hidden="false" customHeight="false" outlineLevel="0" collapsed="false">
      <c r="A25" s="5"/>
      <c r="B25" s="5"/>
      <c r="C25" s="5"/>
      <c r="D25" s="5"/>
      <c r="E25" s="14"/>
      <c r="F25" s="4" t="str">
        <f aca="false">IF(OR(J25="",K25="",N(J25)=0,N(K25)&lt;=0),"",ROUNDDOWN(1000*(J25/K25)^3,0))</f>
        <v/>
      </c>
      <c r="G25" s="4" t="str">
        <f aca="false">IF(M25="","",IF(M25+1&gt;COUNT(INDEX(Нормативы!$D$2:$L$71,L25,0)),"Разряда нет",INDEX(Нормативы!$D$1:$L$1,1,M25+1)))</f>
        <v/>
      </c>
      <c r="H25" s="2" t="str">
        <f aca="false">IF(M25="","",IF(M25=0,"—",INDEX(Нормативы!$D$1:$L$1,1,M25)))</f>
        <v/>
      </c>
      <c r="I25" s="7" t="str">
        <f aca="false">IF(M25="","",IF(M25=0,"",IF(INT(ROUND(INDEX(Нормативы!$D$2:$L$71,L25,M25)*100,0)/6000)&gt;0,INT(ROUND(INDEX(Нормативы!$D$2:$L$71,L25,M25)*100,0)/6000)&amp;":"&amp;RIGHT("0"&amp;INT(MOD(ROUND(INDEX(Нормативы!$D$2:$L$71,L25,M25)*100,0),6000)/100),2),INT(MOD(ROUND(INDEX(Нормативы!$D$2:$L$71,L25,M25)*100,0),6000)/100))&amp;"."&amp;RIGHT("0"&amp;MOD(ROUND(INDEX(Нормативы!$D$2:$L$71,L25,M25)*100,0),100),2)))</f>
        <v/>
      </c>
      <c r="J25" s="12" t="str">
        <f aca="false">IF(D25="","",SUMIFS('Базовые времена'!$D$2:$D$71,'Базовые времена'!$A$2:$A$71,B25,'Базовые времена'!$B$2:$B$71,C25,'Базовые времена'!$C$2:$C$71,D25))</f>
        <v/>
      </c>
      <c r="K25" s="12" t="str">
        <f aca="false">IF(E25="","",IF(ISNUMBER(E25),IF(E25&lt;1,E25*86400,E25),IFERROR(IF(ISNUMBER(FIND(":",SUBSTITUTE(TRIM(E25),",","."))),VALUE(LEFT(SUBSTITUTE(TRIM(E25),",","."),FIND(":",SUBSTITUTE(TRIM(E25),",","."))-1))*60+_xlfn.NUMBERVALUE(MID(SUBSTITUTE(TRIM(E25),",","."),FIND(":",SUBSTITUTE(TRIM(E25),",","."))+1,99),"."),_xlfn.NUMBERVALUE(SUBSTITUTE(TRIM(E25),",","."),".")),0)))</f>
        <v/>
      </c>
      <c r="L25" s="3" t="str">
        <f aca="false">IF(OR(D25="",N(K25)&lt;=0),"",IFERROR(MATCH(B25&amp;"|"&amp;C25&amp;"|"&amp;D25,Нормативы!$M$2:$M$71,0),""))</f>
        <v/>
      </c>
      <c r="M25" s="3" t="str">
        <f aca="false">IF(L25="","",SUMPRODUCT((INDEX(Нормативы!$D$2:$L$71,L25,0)&lt;K25)*ISNUMBER(INDEX(Нормативы!$D$2:$L$71,L25,0))))</f>
        <v/>
      </c>
    </row>
    <row r="26" customFormat="false" ht="15" hidden="false" customHeight="false" outlineLevel="0" collapsed="false">
      <c r="A26" s="5"/>
      <c r="B26" s="5"/>
      <c r="C26" s="5"/>
      <c r="D26" s="5"/>
      <c r="E26" s="14"/>
      <c r="F26" s="4" t="str">
        <f aca="false">IF(OR(J26="",K26="",N(J26)=0,N(K26)&lt;=0),"",ROUNDDOWN(1000*(J26/K26)^3,0))</f>
        <v/>
      </c>
      <c r="G26" s="4" t="str">
        <f aca="false">IF(M26="","",IF(M26+1&gt;COUNT(INDEX(Нормативы!$D$2:$L$71,L26,0)),"Разряда нет",INDEX(Нормативы!$D$1:$L$1,1,M26+1)))</f>
        <v/>
      </c>
      <c r="H26" s="2" t="str">
        <f aca="false">IF(M26="","",IF(M26=0,"—",INDEX(Нормативы!$D$1:$L$1,1,M26)))</f>
        <v/>
      </c>
      <c r="I26" s="7" t="str">
        <f aca="false">IF(M26="","",IF(M26=0,"",IF(INT(ROUND(INDEX(Нормативы!$D$2:$L$71,L26,M26)*100,0)/6000)&gt;0,INT(ROUND(INDEX(Нормативы!$D$2:$L$71,L26,M26)*100,0)/6000)&amp;":"&amp;RIGHT("0"&amp;INT(MOD(ROUND(INDEX(Нормативы!$D$2:$L$71,L26,M26)*100,0),6000)/100),2),INT(MOD(ROUND(INDEX(Нормативы!$D$2:$L$71,L26,M26)*100,0),6000)/100))&amp;"."&amp;RIGHT("0"&amp;MOD(ROUND(INDEX(Нормативы!$D$2:$L$71,L26,M26)*100,0),100),2)))</f>
        <v/>
      </c>
      <c r="J26" s="12" t="str">
        <f aca="false">IF(D26="","",SUMIFS('Базовые времена'!$D$2:$D$71,'Базовые времена'!$A$2:$A$71,B26,'Базовые времена'!$B$2:$B$71,C26,'Базовые времена'!$C$2:$C$71,D26))</f>
        <v/>
      </c>
      <c r="K26" s="12" t="str">
        <f aca="false">IF(E26="","",IF(ISNUMBER(E26),IF(E26&lt;1,E26*86400,E26),IFERROR(IF(ISNUMBER(FIND(":",SUBSTITUTE(TRIM(E26),",","."))),VALUE(LEFT(SUBSTITUTE(TRIM(E26),",","."),FIND(":",SUBSTITUTE(TRIM(E26),",","."))-1))*60+_xlfn.NUMBERVALUE(MID(SUBSTITUTE(TRIM(E26),",","."),FIND(":",SUBSTITUTE(TRIM(E26),",","."))+1,99),"."),_xlfn.NUMBERVALUE(SUBSTITUTE(TRIM(E26),",","."),".")),0)))</f>
        <v/>
      </c>
      <c r="L26" s="3" t="str">
        <f aca="false">IF(OR(D26="",N(K26)&lt;=0),"",IFERROR(MATCH(B26&amp;"|"&amp;C26&amp;"|"&amp;D26,Нормативы!$M$2:$M$71,0),""))</f>
        <v/>
      </c>
      <c r="M26" s="3" t="str">
        <f aca="false">IF(L26="","",SUMPRODUCT((INDEX(Нормативы!$D$2:$L$71,L26,0)&lt;K26)*ISNUMBER(INDEX(Нормативы!$D$2:$L$71,L26,0))))</f>
        <v/>
      </c>
    </row>
    <row r="27" customFormat="false" ht="15" hidden="false" customHeight="false" outlineLevel="0" collapsed="false">
      <c r="A27" s="5"/>
      <c r="B27" s="5"/>
      <c r="C27" s="5"/>
      <c r="D27" s="5"/>
      <c r="E27" s="14"/>
      <c r="F27" s="4" t="str">
        <f aca="false">IF(OR(J27="",K27="",N(J27)=0,N(K27)&lt;=0),"",ROUNDDOWN(1000*(J27/K27)^3,0))</f>
        <v/>
      </c>
      <c r="G27" s="4" t="str">
        <f aca="false">IF(M27="","",IF(M27+1&gt;COUNT(INDEX(Нормативы!$D$2:$L$71,L27,0)),"Разряда нет",INDEX(Нормативы!$D$1:$L$1,1,M27+1)))</f>
        <v/>
      </c>
      <c r="H27" s="2" t="str">
        <f aca="false">IF(M27="","",IF(M27=0,"—",INDEX(Нормативы!$D$1:$L$1,1,M27)))</f>
        <v/>
      </c>
      <c r="I27" s="7" t="str">
        <f aca="false">IF(M27="","",IF(M27=0,"",IF(INT(ROUND(INDEX(Нормативы!$D$2:$L$71,L27,M27)*100,0)/6000)&gt;0,INT(ROUND(INDEX(Нормативы!$D$2:$L$71,L27,M27)*100,0)/6000)&amp;":"&amp;RIGHT("0"&amp;INT(MOD(ROUND(INDEX(Нормативы!$D$2:$L$71,L27,M27)*100,0),6000)/100),2),INT(MOD(ROUND(INDEX(Нормативы!$D$2:$L$71,L27,M27)*100,0),6000)/100))&amp;"."&amp;RIGHT("0"&amp;MOD(ROUND(INDEX(Нормативы!$D$2:$L$71,L27,M27)*100,0),100),2)))</f>
        <v/>
      </c>
      <c r="J27" s="12" t="str">
        <f aca="false">IF(D27="","",SUMIFS('Базовые времена'!$D$2:$D$71,'Базовые времена'!$A$2:$A$71,B27,'Базовые времена'!$B$2:$B$71,C27,'Базовые времена'!$C$2:$C$71,D27))</f>
        <v/>
      </c>
      <c r="K27" s="12" t="str">
        <f aca="false">IF(E27="","",IF(ISNUMBER(E27),IF(E27&lt;1,E27*86400,E27),IFERROR(IF(ISNUMBER(FIND(":",SUBSTITUTE(TRIM(E27),",","."))),VALUE(LEFT(SUBSTITUTE(TRIM(E27),",","."),FIND(":",SUBSTITUTE(TRIM(E27),",","."))-1))*60+_xlfn.NUMBERVALUE(MID(SUBSTITUTE(TRIM(E27),",","."),FIND(":",SUBSTITUTE(TRIM(E27),",","."))+1,99),"."),_xlfn.NUMBERVALUE(SUBSTITUTE(TRIM(E27),",","."),".")),0)))</f>
        <v/>
      </c>
      <c r="L27" s="3" t="str">
        <f aca="false">IF(OR(D27="",N(K27)&lt;=0),"",IFERROR(MATCH(B27&amp;"|"&amp;C27&amp;"|"&amp;D27,Нормативы!$M$2:$M$71,0),""))</f>
        <v/>
      </c>
      <c r="M27" s="3" t="str">
        <f aca="false">IF(L27="","",SUMPRODUCT((INDEX(Нормативы!$D$2:$L$71,L27,0)&lt;K27)*ISNUMBER(INDEX(Нормативы!$D$2:$L$71,L27,0))))</f>
        <v/>
      </c>
    </row>
    <row r="28" customFormat="false" ht="15" hidden="false" customHeight="false" outlineLevel="0" collapsed="false">
      <c r="A28" s="5"/>
      <c r="B28" s="5"/>
      <c r="C28" s="5"/>
      <c r="D28" s="5"/>
      <c r="E28" s="14"/>
      <c r="F28" s="4" t="str">
        <f aca="false">IF(OR(J28="",K28="",N(J28)=0,N(K28)&lt;=0),"",ROUNDDOWN(1000*(J28/K28)^3,0))</f>
        <v/>
      </c>
      <c r="G28" s="4" t="str">
        <f aca="false">IF(M28="","",IF(M28+1&gt;COUNT(INDEX(Нормативы!$D$2:$L$71,L28,0)),"Разряда нет",INDEX(Нормативы!$D$1:$L$1,1,M28+1)))</f>
        <v/>
      </c>
      <c r="H28" s="2" t="str">
        <f aca="false">IF(M28="","",IF(M28=0,"—",INDEX(Нормативы!$D$1:$L$1,1,M28)))</f>
        <v/>
      </c>
      <c r="I28" s="7" t="str">
        <f aca="false">IF(M28="","",IF(M28=0,"",IF(INT(ROUND(INDEX(Нормативы!$D$2:$L$71,L28,M28)*100,0)/6000)&gt;0,INT(ROUND(INDEX(Нормативы!$D$2:$L$71,L28,M28)*100,0)/6000)&amp;":"&amp;RIGHT("0"&amp;INT(MOD(ROUND(INDEX(Нормативы!$D$2:$L$71,L28,M28)*100,0),6000)/100),2),INT(MOD(ROUND(INDEX(Нормативы!$D$2:$L$71,L28,M28)*100,0),6000)/100))&amp;"."&amp;RIGHT("0"&amp;MOD(ROUND(INDEX(Нормативы!$D$2:$L$71,L28,M28)*100,0),100),2)))</f>
        <v/>
      </c>
      <c r="J28" s="12" t="str">
        <f aca="false">IF(D28="","",SUMIFS('Базовые времена'!$D$2:$D$71,'Базовые времена'!$A$2:$A$71,B28,'Базовые времена'!$B$2:$B$71,C28,'Базовые времена'!$C$2:$C$71,D28))</f>
        <v/>
      </c>
      <c r="K28" s="12" t="str">
        <f aca="false">IF(E28="","",IF(ISNUMBER(E28),IF(E28&lt;1,E28*86400,E28),IFERROR(IF(ISNUMBER(FIND(":",SUBSTITUTE(TRIM(E28),",","."))),VALUE(LEFT(SUBSTITUTE(TRIM(E28),",","."),FIND(":",SUBSTITUTE(TRIM(E28),",","."))-1))*60+_xlfn.NUMBERVALUE(MID(SUBSTITUTE(TRIM(E28),",","."),FIND(":",SUBSTITUTE(TRIM(E28),",","."))+1,99),"."),_xlfn.NUMBERVALUE(SUBSTITUTE(TRIM(E28),",","."),".")),0)))</f>
        <v/>
      </c>
      <c r="L28" s="3" t="str">
        <f aca="false">IF(OR(D28="",N(K28)&lt;=0),"",IFERROR(MATCH(B28&amp;"|"&amp;C28&amp;"|"&amp;D28,Нормативы!$M$2:$M$71,0),""))</f>
        <v/>
      </c>
      <c r="M28" s="3" t="str">
        <f aca="false">IF(L28="","",SUMPRODUCT((INDEX(Нормативы!$D$2:$L$71,L28,0)&lt;K28)*ISNUMBER(INDEX(Нормативы!$D$2:$L$71,L28,0))))</f>
        <v/>
      </c>
    </row>
    <row r="29" customFormat="false" ht="15" hidden="false" customHeight="false" outlineLevel="0" collapsed="false">
      <c r="A29" s="5"/>
      <c r="B29" s="5"/>
      <c r="C29" s="5"/>
      <c r="D29" s="5"/>
      <c r="E29" s="14"/>
      <c r="F29" s="4" t="str">
        <f aca="false">IF(OR(J29="",K29="",N(J29)=0,N(K29)&lt;=0),"",ROUNDDOWN(1000*(J29/K29)^3,0))</f>
        <v/>
      </c>
      <c r="G29" s="4" t="str">
        <f aca="false">IF(M29="","",IF(M29+1&gt;COUNT(INDEX(Нормативы!$D$2:$L$71,L29,0)),"Разряда нет",INDEX(Нормативы!$D$1:$L$1,1,M29+1)))</f>
        <v/>
      </c>
      <c r="H29" s="2" t="str">
        <f aca="false">IF(M29="","",IF(M29=0,"—",INDEX(Нормативы!$D$1:$L$1,1,M29)))</f>
        <v/>
      </c>
      <c r="I29" s="7" t="str">
        <f aca="false">IF(M29="","",IF(M29=0,"",IF(INT(ROUND(INDEX(Нормативы!$D$2:$L$71,L29,M29)*100,0)/6000)&gt;0,INT(ROUND(INDEX(Нормативы!$D$2:$L$71,L29,M29)*100,0)/6000)&amp;":"&amp;RIGHT("0"&amp;INT(MOD(ROUND(INDEX(Нормативы!$D$2:$L$71,L29,M29)*100,0),6000)/100),2),INT(MOD(ROUND(INDEX(Нормативы!$D$2:$L$71,L29,M29)*100,0),6000)/100))&amp;"."&amp;RIGHT("0"&amp;MOD(ROUND(INDEX(Нормативы!$D$2:$L$71,L29,M29)*100,0),100),2)))</f>
        <v/>
      </c>
      <c r="J29" s="12" t="str">
        <f aca="false">IF(D29="","",SUMIFS('Базовые времена'!$D$2:$D$71,'Базовые времена'!$A$2:$A$71,B29,'Базовые времена'!$B$2:$B$71,C29,'Базовые времена'!$C$2:$C$71,D29))</f>
        <v/>
      </c>
      <c r="K29" s="12" t="str">
        <f aca="false">IF(E29="","",IF(ISNUMBER(E29),IF(E29&lt;1,E29*86400,E29),IFERROR(IF(ISNUMBER(FIND(":",SUBSTITUTE(TRIM(E29),",","."))),VALUE(LEFT(SUBSTITUTE(TRIM(E29),",","."),FIND(":",SUBSTITUTE(TRIM(E29),",","."))-1))*60+_xlfn.NUMBERVALUE(MID(SUBSTITUTE(TRIM(E29),",","."),FIND(":",SUBSTITUTE(TRIM(E29),",","."))+1,99),"."),_xlfn.NUMBERVALUE(SUBSTITUTE(TRIM(E29),",","."),".")),0)))</f>
        <v/>
      </c>
      <c r="L29" s="3" t="str">
        <f aca="false">IF(OR(D29="",N(K29)&lt;=0),"",IFERROR(MATCH(B29&amp;"|"&amp;C29&amp;"|"&amp;D29,Нормативы!$M$2:$M$71,0),""))</f>
        <v/>
      </c>
      <c r="M29" s="3" t="str">
        <f aca="false">IF(L29="","",SUMPRODUCT((INDEX(Нормативы!$D$2:$L$71,L29,0)&lt;K29)*ISNUMBER(INDEX(Нормативы!$D$2:$L$71,L29,0))))</f>
        <v/>
      </c>
    </row>
    <row r="30" customFormat="false" ht="15" hidden="false" customHeight="false" outlineLevel="0" collapsed="false">
      <c r="A30" s="5"/>
      <c r="B30" s="5"/>
      <c r="C30" s="5"/>
      <c r="D30" s="5"/>
      <c r="E30" s="14"/>
      <c r="F30" s="4" t="str">
        <f aca="false">IF(OR(J30="",K30="",N(J30)=0,N(K30)&lt;=0),"",ROUNDDOWN(1000*(J30/K30)^3,0))</f>
        <v/>
      </c>
      <c r="G30" s="4" t="str">
        <f aca="false">IF(M30="","",IF(M30+1&gt;COUNT(INDEX(Нормативы!$D$2:$L$71,L30,0)),"Разряда нет",INDEX(Нормативы!$D$1:$L$1,1,M30+1)))</f>
        <v/>
      </c>
      <c r="H30" s="2" t="str">
        <f aca="false">IF(M30="","",IF(M30=0,"—",INDEX(Нормативы!$D$1:$L$1,1,M30)))</f>
        <v/>
      </c>
      <c r="I30" s="7" t="str">
        <f aca="false">IF(M30="","",IF(M30=0,"",IF(INT(ROUND(INDEX(Нормативы!$D$2:$L$71,L30,M30)*100,0)/6000)&gt;0,INT(ROUND(INDEX(Нормативы!$D$2:$L$71,L30,M30)*100,0)/6000)&amp;":"&amp;RIGHT("0"&amp;INT(MOD(ROUND(INDEX(Нормативы!$D$2:$L$71,L30,M30)*100,0),6000)/100),2),INT(MOD(ROUND(INDEX(Нормативы!$D$2:$L$71,L30,M30)*100,0),6000)/100))&amp;"."&amp;RIGHT("0"&amp;MOD(ROUND(INDEX(Нормативы!$D$2:$L$71,L30,M30)*100,0),100),2)))</f>
        <v/>
      </c>
      <c r="J30" s="12" t="str">
        <f aca="false">IF(D30="","",SUMIFS('Базовые времена'!$D$2:$D$71,'Базовые времена'!$A$2:$A$71,B30,'Базовые времена'!$B$2:$B$71,C30,'Базовые времена'!$C$2:$C$71,D30))</f>
        <v/>
      </c>
      <c r="K30" s="12" t="str">
        <f aca="false">IF(E30="","",IF(ISNUMBER(E30),IF(E30&lt;1,E30*86400,E30),IFERROR(IF(ISNUMBER(FIND(":",SUBSTITUTE(TRIM(E30),",","."))),VALUE(LEFT(SUBSTITUTE(TRIM(E30),",","."),FIND(":",SUBSTITUTE(TRIM(E30),",","."))-1))*60+_xlfn.NUMBERVALUE(MID(SUBSTITUTE(TRIM(E30),",","."),FIND(":",SUBSTITUTE(TRIM(E30),",","."))+1,99),"."),_xlfn.NUMBERVALUE(SUBSTITUTE(TRIM(E30),",","."),".")),0)))</f>
        <v/>
      </c>
      <c r="L30" s="3" t="str">
        <f aca="false">IF(OR(D30="",N(K30)&lt;=0),"",IFERROR(MATCH(B30&amp;"|"&amp;C30&amp;"|"&amp;D30,Нормативы!$M$2:$M$71,0),""))</f>
        <v/>
      </c>
      <c r="M30" s="3" t="str">
        <f aca="false">IF(L30="","",SUMPRODUCT((INDEX(Нормативы!$D$2:$L$71,L30,0)&lt;K30)*ISNUMBER(INDEX(Нормативы!$D$2:$L$71,L30,0))))</f>
        <v/>
      </c>
    </row>
    <row r="31" customFormat="false" ht="15" hidden="false" customHeight="false" outlineLevel="0" collapsed="false">
      <c r="A31" s="5"/>
      <c r="B31" s="5"/>
      <c r="C31" s="5"/>
      <c r="D31" s="5"/>
      <c r="E31" s="14"/>
      <c r="F31" s="4" t="str">
        <f aca="false">IF(OR(J31="",K31="",N(J31)=0,N(K31)&lt;=0),"",ROUNDDOWN(1000*(J31/K31)^3,0))</f>
        <v/>
      </c>
      <c r="G31" s="4" t="str">
        <f aca="false">IF(M31="","",IF(M31+1&gt;COUNT(INDEX(Нормативы!$D$2:$L$71,L31,0)),"Разряда нет",INDEX(Нормативы!$D$1:$L$1,1,M31+1)))</f>
        <v/>
      </c>
      <c r="H31" s="2" t="str">
        <f aca="false">IF(M31="","",IF(M31=0,"—",INDEX(Нормативы!$D$1:$L$1,1,M31)))</f>
        <v/>
      </c>
      <c r="I31" s="7" t="str">
        <f aca="false">IF(M31="","",IF(M31=0,"",IF(INT(ROUND(INDEX(Нормативы!$D$2:$L$71,L31,M31)*100,0)/6000)&gt;0,INT(ROUND(INDEX(Нормативы!$D$2:$L$71,L31,M31)*100,0)/6000)&amp;":"&amp;RIGHT("0"&amp;INT(MOD(ROUND(INDEX(Нормативы!$D$2:$L$71,L31,M31)*100,0),6000)/100),2),INT(MOD(ROUND(INDEX(Нормативы!$D$2:$L$71,L31,M31)*100,0),6000)/100))&amp;"."&amp;RIGHT("0"&amp;MOD(ROUND(INDEX(Нормативы!$D$2:$L$71,L31,M31)*100,0),100),2)))</f>
        <v/>
      </c>
      <c r="J31" s="12" t="str">
        <f aca="false">IF(D31="","",SUMIFS('Базовые времена'!$D$2:$D$71,'Базовые времена'!$A$2:$A$71,B31,'Базовые времена'!$B$2:$B$71,C31,'Базовые времена'!$C$2:$C$71,D31))</f>
        <v/>
      </c>
      <c r="K31" s="12" t="str">
        <f aca="false">IF(E31="","",IF(ISNUMBER(E31),IF(E31&lt;1,E31*86400,E31),IFERROR(IF(ISNUMBER(FIND(":",SUBSTITUTE(TRIM(E31),",","."))),VALUE(LEFT(SUBSTITUTE(TRIM(E31),",","."),FIND(":",SUBSTITUTE(TRIM(E31),",","."))-1))*60+_xlfn.NUMBERVALUE(MID(SUBSTITUTE(TRIM(E31),",","."),FIND(":",SUBSTITUTE(TRIM(E31),",","."))+1,99),"."),_xlfn.NUMBERVALUE(SUBSTITUTE(TRIM(E31),",","."),".")),0)))</f>
        <v/>
      </c>
      <c r="L31" s="3" t="str">
        <f aca="false">IF(OR(D31="",N(K31)&lt;=0),"",IFERROR(MATCH(B31&amp;"|"&amp;C31&amp;"|"&amp;D31,Нормативы!$M$2:$M$71,0),""))</f>
        <v/>
      </c>
      <c r="M31" s="3" t="str">
        <f aca="false">IF(L31="","",SUMPRODUCT((INDEX(Нормативы!$D$2:$L$71,L31,0)&lt;K31)*ISNUMBER(INDEX(Нормативы!$D$2:$L$71,L31,0))))</f>
        <v/>
      </c>
    </row>
    <row r="32" customFormat="false" ht="15" hidden="false" customHeight="false" outlineLevel="0" collapsed="false">
      <c r="A32" s="5"/>
      <c r="B32" s="5"/>
      <c r="C32" s="5"/>
      <c r="D32" s="5"/>
      <c r="E32" s="14"/>
      <c r="F32" s="4" t="str">
        <f aca="false">IF(OR(J32="",K32="",N(J32)=0,N(K32)&lt;=0),"",ROUNDDOWN(1000*(J32/K32)^3,0))</f>
        <v/>
      </c>
      <c r="G32" s="4" t="str">
        <f aca="false">IF(M32="","",IF(M32+1&gt;COUNT(INDEX(Нормативы!$D$2:$L$71,L32,0)),"Разряда нет",INDEX(Нормативы!$D$1:$L$1,1,M32+1)))</f>
        <v/>
      </c>
      <c r="H32" s="2" t="str">
        <f aca="false">IF(M32="","",IF(M32=0,"—",INDEX(Нормативы!$D$1:$L$1,1,M32)))</f>
        <v/>
      </c>
      <c r="I32" s="7" t="str">
        <f aca="false">IF(M32="","",IF(M32=0,"",IF(INT(ROUND(INDEX(Нормативы!$D$2:$L$71,L32,M32)*100,0)/6000)&gt;0,INT(ROUND(INDEX(Нормативы!$D$2:$L$71,L32,M32)*100,0)/6000)&amp;":"&amp;RIGHT("0"&amp;INT(MOD(ROUND(INDEX(Нормативы!$D$2:$L$71,L32,M32)*100,0),6000)/100),2),INT(MOD(ROUND(INDEX(Нормативы!$D$2:$L$71,L32,M32)*100,0),6000)/100))&amp;"."&amp;RIGHT("0"&amp;MOD(ROUND(INDEX(Нормативы!$D$2:$L$71,L32,M32)*100,0),100),2)))</f>
        <v/>
      </c>
      <c r="J32" s="12" t="str">
        <f aca="false">IF(D32="","",SUMIFS('Базовые времена'!$D$2:$D$71,'Базовые времена'!$A$2:$A$71,B32,'Базовые времена'!$B$2:$B$71,C32,'Базовые времена'!$C$2:$C$71,D32))</f>
        <v/>
      </c>
      <c r="K32" s="12" t="str">
        <f aca="false">IF(E32="","",IF(ISNUMBER(E32),IF(E32&lt;1,E32*86400,E32),IFERROR(IF(ISNUMBER(FIND(":",SUBSTITUTE(TRIM(E32),",","."))),VALUE(LEFT(SUBSTITUTE(TRIM(E32),",","."),FIND(":",SUBSTITUTE(TRIM(E32),",","."))-1))*60+_xlfn.NUMBERVALUE(MID(SUBSTITUTE(TRIM(E32),",","."),FIND(":",SUBSTITUTE(TRIM(E32),",","."))+1,99),"."),_xlfn.NUMBERVALUE(SUBSTITUTE(TRIM(E32),",","."),".")),0)))</f>
        <v/>
      </c>
      <c r="L32" s="3" t="str">
        <f aca="false">IF(OR(D32="",N(K32)&lt;=0),"",IFERROR(MATCH(B32&amp;"|"&amp;C32&amp;"|"&amp;D32,Нормативы!$M$2:$M$71,0),""))</f>
        <v/>
      </c>
      <c r="M32" s="3" t="str">
        <f aca="false">IF(L32="","",SUMPRODUCT((INDEX(Нормативы!$D$2:$L$71,L32,0)&lt;K32)*ISNUMBER(INDEX(Нормативы!$D$2:$L$71,L32,0))))</f>
        <v/>
      </c>
    </row>
    <row r="33" customFormat="false" ht="15" hidden="false" customHeight="false" outlineLevel="0" collapsed="false">
      <c r="A33" s="5"/>
      <c r="B33" s="5"/>
      <c r="C33" s="5"/>
      <c r="D33" s="5"/>
      <c r="E33" s="14"/>
      <c r="F33" s="4" t="str">
        <f aca="false">IF(OR(J33="",K33="",N(J33)=0,N(K33)&lt;=0),"",ROUNDDOWN(1000*(J33/K33)^3,0))</f>
        <v/>
      </c>
      <c r="G33" s="4" t="str">
        <f aca="false">IF(M33="","",IF(M33+1&gt;COUNT(INDEX(Нормативы!$D$2:$L$71,L33,0)),"Разряда нет",INDEX(Нормативы!$D$1:$L$1,1,M33+1)))</f>
        <v/>
      </c>
      <c r="H33" s="2" t="str">
        <f aca="false">IF(M33="","",IF(M33=0,"—",INDEX(Нормативы!$D$1:$L$1,1,M33)))</f>
        <v/>
      </c>
      <c r="I33" s="7" t="str">
        <f aca="false">IF(M33="","",IF(M33=0,"",IF(INT(ROUND(INDEX(Нормативы!$D$2:$L$71,L33,M33)*100,0)/6000)&gt;0,INT(ROUND(INDEX(Нормативы!$D$2:$L$71,L33,M33)*100,0)/6000)&amp;":"&amp;RIGHT("0"&amp;INT(MOD(ROUND(INDEX(Нормативы!$D$2:$L$71,L33,M33)*100,0),6000)/100),2),INT(MOD(ROUND(INDEX(Нормативы!$D$2:$L$71,L33,M33)*100,0),6000)/100))&amp;"."&amp;RIGHT("0"&amp;MOD(ROUND(INDEX(Нормативы!$D$2:$L$71,L33,M33)*100,0),100),2)))</f>
        <v/>
      </c>
      <c r="J33" s="12" t="str">
        <f aca="false">IF(D33="","",SUMIFS('Базовые времена'!$D$2:$D$71,'Базовые времена'!$A$2:$A$71,B33,'Базовые времена'!$B$2:$B$71,C33,'Базовые времена'!$C$2:$C$71,D33))</f>
        <v/>
      </c>
      <c r="K33" s="12" t="str">
        <f aca="false">IF(E33="","",IF(ISNUMBER(E33),IF(E33&lt;1,E33*86400,E33),IFERROR(IF(ISNUMBER(FIND(":",SUBSTITUTE(TRIM(E33),",","."))),VALUE(LEFT(SUBSTITUTE(TRIM(E33),",","."),FIND(":",SUBSTITUTE(TRIM(E33),",","."))-1))*60+_xlfn.NUMBERVALUE(MID(SUBSTITUTE(TRIM(E33),",","."),FIND(":",SUBSTITUTE(TRIM(E33),",","."))+1,99),"."),_xlfn.NUMBERVALUE(SUBSTITUTE(TRIM(E33),",","."),".")),0)))</f>
        <v/>
      </c>
      <c r="L33" s="3" t="str">
        <f aca="false">IF(OR(D33="",N(K33)&lt;=0),"",IFERROR(MATCH(B33&amp;"|"&amp;C33&amp;"|"&amp;D33,Нормативы!$M$2:$M$71,0),""))</f>
        <v/>
      </c>
      <c r="M33" s="3" t="str">
        <f aca="false">IF(L33="","",SUMPRODUCT((INDEX(Нормативы!$D$2:$L$71,L33,0)&lt;K33)*ISNUMBER(INDEX(Нормативы!$D$2:$L$71,L33,0))))</f>
        <v/>
      </c>
    </row>
    <row r="34" customFormat="false" ht="15" hidden="false" customHeight="false" outlineLevel="0" collapsed="false">
      <c r="A34" s="5"/>
      <c r="B34" s="5"/>
      <c r="C34" s="5"/>
      <c r="D34" s="5"/>
      <c r="E34" s="14"/>
      <c r="F34" s="4" t="str">
        <f aca="false">IF(OR(J34="",K34="",N(J34)=0,N(K34)&lt;=0),"",ROUNDDOWN(1000*(J34/K34)^3,0))</f>
        <v/>
      </c>
      <c r="G34" s="4" t="str">
        <f aca="false">IF(M34="","",IF(M34+1&gt;COUNT(INDEX(Нормативы!$D$2:$L$71,L34,0)),"Разряда нет",INDEX(Нормативы!$D$1:$L$1,1,M34+1)))</f>
        <v/>
      </c>
      <c r="H34" s="2" t="str">
        <f aca="false">IF(M34="","",IF(M34=0,"—",INDEX(Нормативы!$D$1:$L$1,1,M34)))</f>
        <v/>
      </c>
      <c r="I34" s="7" t="str">
        <f aca="false">IF(M34="","",IF(M34=0,"",IF(INT(ROUND(INDEX(Нормативы!$D$2:$L$71,L34,M34)*100,0)/6000)&gt;0,INT(ROUND(INDEX(Нормативы!$D$2:$L$71,L34,M34)*100,0)/6000)&amp;":"&amp;RIGHT("0"&amp;INT(MOD(ROUND(INDEX(Нормативы!$D$2:$L$71,L34,M34)*100,0),6000)/100),2),INT(MOD(ROUND(INDEX(Нормативы!$D$2:$L$71,L34,M34)*100,0),6000)/100))&amp;"."&amp;RIGHT("0"&amp;MOD(ROUND(INDEX(Нормативы!$D$2:$L$71,L34,M34)*100,0),100),2)))</f>
        <v/>
      </c>
      <c r="J34" s="12" t="str">
        <f aca="false">IF(D34="","",SUMIFS('Базовые времена'!$D$2:$D$71,'Базовые времена'!$A$2:$A$71,B34,'Базовые времена'!$B$2:$B$71,C34,'Базовые времена'!$C$2:$C$71,D34))</f>
        <v/>
      </c>
      <c r="K34" s="12" t="str">
        <f aca="false">IF(E34="","",IF(ISNUMBER(E34),IF(E34&lt;1,E34*86400,E34),IFERROR(IF(ISNUMBER(FIND(":",SUBSTITUTE(TRIM(E34),",","."))),VALUE(LEFT(SUBSTITUTE(TRIM(E34),",","."),FIND(":",SUBSTITUTE(TRIM(E34),",","."))-1))*60+_xlfn.NUMBERVALUE(MID(SUBSTITUTE(TRIM(E34),",","."),FIND(":",SUBSTITUTE(TRIM(E34),",","."))+1,99),"."),_xlfn.NUMBERVALUE(SUBSTITUTE(TRIM(E34),",","."),".")),0)))</f>
        <v/>
      </c>
      <c r="L34" s="3" t="str">
        <f aca="false">IF(OR(D34="",N(K34)&lt;=0),"",IFERROR(MATCH(B34&amp;"|"&amp;C34&amp;"|"&amp;D34,Нормативы!$M$2:$M$71,0),""))</f>
        <v/>
      </c>
      <c r="M34" s="3" t="str">
        <f aca="false">IF(L34="","",SUMPRODUCT((INDEX(Нормативы!$D$2:$L$71,L34,0)&lt;K34)*ISNUMBER(INDEX(Нормативы!$D$2:$L$71,L34,0))))</f>
        <v/>
      </c>
    </row>
    <row r="35" customFormat="false" ht="15" hidden="false" customHeight="false" outlineLevel="0" collapsed="false">
      <c r="A35" s="5"/>
      <c r="B35" s="5"/>
      <c r="C35" s="5"/>
      <c r="D35" s="5"/>
      <c r="E35" s="14"/>
      <c r="F35" s="4" t="str">
        <f aca="false">IF(OR(J35="",K35="",N(J35)=0,N(K35)&lt;=0),"",ROUNDDOWN(1000*(J35/K35)^3,0))</f>
        <v/>
      </c>
      <c r="G35" s="4" t="str">
        <f aca="false">IF(M35="","",IF(M35+1&gt;COUNT(INDEX(Нормативы!$D$2:$L$71,L35,0)),"Разряда нет",INDEX(Нормативы!$D$1:$L$1,1,M35+1)))</f>
        <v/>
      </c>
      <c r="H35" s="2" t="str">
        <f aca="false">IF(M35="","",IF(M35=0,"—",INDEX(Нормативы!$D$1:$L$1,1,M35)))</f>
        <v/>
      </c>
      <c r="I35" s="7" t="str">
        <f aca="false">IF(M35="","",IF(M35=0,"",IF(INT(ROUND(INDEX(Нормативы!$D$2:$L$71,L35,M35)*100,0)/6000)&gt;0,INT(ROUND(INDEX(Нормативы!$D$2:$L$71,L35,M35)*100,0)/6000)&amp;":"&amp;RIGHT("0"&amp;INT(MOD(ROUND(INDEX(Нормативы!$D$2:$L$71,L35,M35)*100,0),6000)/100),2),INT(MOD(ROUND(INDEX(Нормативы!$D$2:$L$71,L35,M35)*100,0),6000)/100))&amp;"."&amp;RIGHT("0"&amp;MOD(ROUND(INDEX(Нормативы!$D$2:$L$71,L35,M35)*100,0),100),2)))</f>
        <v/>
      </c>
      <c r="J35" s="12" t="str">
        <f aca="false">IF(D35="","",SUMIFS('Базовые времена'!$D$2:$D$71,'Базовые времена'!$A$2:$A$71,B35,'Базовые времена'!$B$2:$B$71,C35,'Базовые времена'!$C$2:$C$71,D35))</f>
        <v/>
      </c>
      <c r="K35" s="12" t="str">
        <f aca="false">IF(E35="","",IF(ISNUMBER(E35),IF(E35&lt;1,E35*86400,E35),IFERROR(IF(ISNUMBER(FIND(":",SUBSTITUTE(TRIM(E35),",","."))),VALUE(LEFT(SUBSTITUTE(TRIM(E35),",","."),FIND(":",SUBSTITUTE(TRIM(E35),",","."))-1))*60+_xlfn.NUMBERVALUE(MID(SUBSTITUTE(TRIM(E35),",","."),FIND(":",SUBSTITUTE(TRIM(E35),",","."))+1,99),"."),_xlfn.NUMBERVALUE(SUBSTITUTE(TRIM(E35),",","."),".")),0)))</f>
        <v/>
      </c>
      <c r="L35" s="3" t="str">
        <f aca="false">IF(OR(D35="",N(K35)&lt;=0),"",IFERROR(MATCH(B35&amp;"|"&amp;C35&amp;"|"&amp;D35,Нормативы!$M$2:$M$71,0),""))</f>
        <v/>
      </c>
      <c r="M35" s="3" t="str">
        <f aca="false">IF(L35="","",SUMPRODUCT((INDEX(Нормативы!$D$2:$L$71,L35,0)&lt;K35)*ISNUMBER(INDEX(Нормативы!$D$2:$L$71,L35,0))))</f>
        <v/>
      </c>
    </row>
    <row r="36" customFormat="false" ht="15" hidden="false" customHeight="false" outlineLevel="0" collapsed="false">
      <c r="A36" s="5"/>
      <c r="B36" s="5"/>
      <c r="C36" s="5"/>
      <c r="D36" s="5"/>
      <c r="E36" s="14"/>
      <c r="F36" s="4" t="str">
        <f aca="false">IF(OR(J36="",K36="",N(J36)=0,N(K36)&lt;=0),"",ROUNDDOWN(1000*(J36/K36)^3,0))</f>
        <v/>
      </c>
      <c r="G36" s="4" t="str">
        <f aca="false">IF(M36="","",IF(M36+1&gt;COUNT(INDEX(Нормативы!$D$2:$L$71,L36,0)),"Разряда нет",INDEX(Нормативы!$D$1:$L$1,1,M36+1)))</f>
        <v/>
      </c>
      <c r="H36" s="2" t="str">
        <f aca="false">IF(M36="","",IF(M36=0,"—",INDEX(Нормативы!$D$1:$L$1,1,M36)))</f>
        <v/>
      </c>
      <c r="I36" s="7" t="str">
        <f aca="false">IF(M36="","",IF(M36=0,"",IF(INT(ROUND(INDEX(Нормативы!$D$2:$L$71,L36,M36)*100,0)/6000)&gt;0,INT(ROUND(INDEX(Нормативы!$D$2:$L$71,L36,M36)*100,0)/6000)&amp;":"&amp;RIGHT("0"&amp;INT(MOD(ROUND(INDEX(Нормативы!$D$2:$L$71,L36,M36)*100,0),6000)/100),2),INT(MOD(ROUND(INDEX(Нормативы!$D$2:$L$71,L36,M36)*100,0),6000)/100))&amp;"."&amp;RIGHT("0"&amp;MOD(ROUND(INDEX(Нормативы!$D$2:$L$71,L36,M36)*100,0),100),2)))</f>
        <v/>
      </c>
      <c r="J36" s="12" t="str">
        <f aca="false">IF(D36="","",SUMIFS('Базовые времена'!$D$2:$D$71,'Базовые времена'!$A$2:$A$71,B36,'Базовые времена'!$B$2:$B$71,C36,'Базовые времена'!$C$2:$C$71,D36))</f>
        <v/>
      </c>
      <c r="K36" s="12" t="str">
        <f aca="false">IF(E36="","",IF(ISNUMBER(E36),IF(E36&lt;1,E36*86400,E36),IFERROR(IF(ISNUMBER(FIND(":",SUBSTITUTE(TRIM(E36),",","."))),VALUE(LEFT(SUBSTITUTE(TRIM(E36),",","."),FIND(":",SUBSTITUTE(TRIM(E36),",","."))-1))*60+_xlfn.NUMBERVALUE(MID(SUBSTITUTE(TRIM(E36),",","."),FIND(":",SUBSTITUTE(TRIM(E36),",","."))+1,99),"."),_xlfn.NUMBERVALUE(SUBSTITUTE(TRIM(E36),",","."),".")),0)))</f>
        <v/>
      </c>
      <c r="L36" s="3" t="str">
        <f aca="false">IF(OR(D36="",N(K36)&lt;=0),"",IFERROR(MATCH(B36&amp;"|"&amp;C36&amp;"|"&amp;D36,Нормативы!$M$2:$M$71,0),""))</f>
        <v/>
      </c>
      <c r="M36" s="3" t="str">
        <f aca="false">IF(L36="","",SUMPRODUCT((INDEX(Нормативы!$D$2:$L$71,L36,0)&lt;K36)*ISNUMBER(INDEX(Нормативы!$D$2:$L$71,L36,0))))</f>
        <v/>
      </c>
    </row>
    <row r="37" customFormat="false" ht="15" hidden="false" customHeight="false" outlineLevel="0" collapsed="false">
      <c r="A37" s="5"/>
      <c r="B37" s="5"/>
      <c r="C37" s="5"/>
      <c r="D37" s="5"/>
      <c r="E37" s="14"/>
      <c r="F37" s="4" t="str">
        <f aca="false">IF(OR(J37="",K37="",N(J37)=0,N(K37)&lt;=0),"",ROUNDDOWN(1000*(J37/K37)^3,0))</f>
        <v/>
      </c>
      <c r="G37" s="4" t="str">
        <f aca="false">IF(M37="","",IF(M37+1&gt;COUNT(INDEX(Нормативы!$D$2:$L$71,L37,0)),"Разряда нет",INDEX(Нормативы!$D$1:$L$1,1,M37+1)))</f>
        <v/>
      </c>
      <c r="H37" s="2" t="str">
        <f aca="false">IF(M37="","",IF(M37=0,"—",INDEX(Нормативы!$D$1:$L$1,1,M37)))</f>
        <v/>
      </c>
      <c r="I37" s="7" t="str">
        <f aca="false">IF(M37="","",IF(M37=0,"",IF(INT(ROUND(INDEX(Нормативы!$D$2:$L$71,L37,M37)*100,0)/6000)&gt;0,INT(ROUND(INDEX(Нормативы!$D$2:$L$71,L37,M37)*100,0)/6000)&amp;":"&amp;RIGHT("0"&amp;INT(MOD(ROUND(INDEX(Нормативы!$D$2:$L$71,L37,M37)*100,0),6000)/100),2),INT(MOD(ROUND(INDEX(Нормативы!$D$2:$L$71,L37,M37)*100,0),6000)/100))&amp;"."&amp;RIGHT("0"&amp;MOD(ROUND(INDEX(Нормативы!$D$2:$L$71,L37,M37)*100,0),100),2)))</f>
        <v/>
      </c>
      <c r="J37" s="12" t="str">
        <f aca="false">IF(D37="","",SUMIFS('Базовые времена'!$D$2:$D$71,'Базовые времена'!$A$2:$A$71,B37,'Базовые времена'!$B$2:$B$71,C37,'Базовые времена'!$C$2:$C$71,D37))</f>
        <v/>
      </c>
      <c r="K37" s="12" t="str">
        <f aca="false">IF(E37="","",IF(ISNUMBER(E37),IF(E37&lt;1,E37*86400,E37),IFERROR(IF(ISNUMBER(FIND(":",SUBSTITUTE(TRIM(E37),",","."))),VALUE(LEFT(SUBSTITUTE(TRIM(E37),",","."),FIND(":",SUBSTITUTE(TRIM(E37),",","."))-1))*60+_xlfn.NUMBERVALUE(MID(SUBSTITUTE(TRIM(E37),",","."),FIND(":",SUBSTITUTE(TRIM(E37),",","."))+1,99),"."),_xlfn.NUMBERVALUE(SUBSTITUTE(TRIM(E37),",","."),".")),0)))</f>
        <v/>
      </c>
      <c r="L37" s="3" t="str">
        <f aca="false">IF(OR(D37="",N(K37)&lt;=0),"",IFERROR(MATCH(B37&amp;"|"&amp;C37&amp;"|"&amp;D37,Нормативы!$M$2:$M$71,0),""))</f>
        <v/>
      </c>
      <c r="M37" s="3" t="str">
        <f aca="false">IF(L37="","",SUMPRODUCT((INDEX(Нормативы!$D$2:$L$71,L37,0)&lt;K37)*ISNUMBER(INDEX(Нормативы!$D$2:$L$71,L37,0))))</f>
        <v/>
      </c>
    </row>
    <row r="38" customFormat="false" ht="15" hidden="false" customHeight="false" outlineLevel="0" collapsed="false">
      <c r="A38" s="5"/>
      <c r="B38" s="5"/>
      <c r="C38" s="5"/>
      <c r="D38" s="5"/>
      <c r="E38" s="14"/>
      <c r="F38" s="4" t="str">
        <f aca="false">IF(OR(J38="",K38="",N(J38)=0,N(K38)&lt;=0),"",ROUNDDOWN(1000*(J38/K38)^3,0))</f>
        <v/>
      </c>
      <c r="G38" s="4" t="str">
        <f aca="false">IF(M38="","",IF(M38+1&gt;COUNT(INDEX(Нормативы!$D$2:$L$71,L38,0)),"Разряда нет",INDEX(Нормативы!$D$1:$L$1,1,M38+1)))</f>
        <v/>
      </c>
      <c r="H38" s="2" t="str">
        <f aca="false">IF(M38="","",IF(M38=0,"—",INDEX(Нормативы!$D$1:$L$1,1,M38)))</f>
        <v/>
      </c>
      <c r="I38" s="7" t="str">
        <f aca="false">IF(M38="","",IF(M38=0,"",IF(INT(ROUND(INDEX(Нормативы!$D$2:$L$71,L38,M38)*100,0)/6000)&gt;0,INT(ROUND(INDEX(Нормативы!$D$2:$L$71,L38,M38)*100,0)/6000)&amp;":"&amp;RIGHT("0"&amp;INT(MOD(ROUND(INDEX(Нормативы!$D$2:$L$71,L38,M38)*100,0),6000)/100),2),INT(MOD(ROUND(INDEX(Нормативы!$D$2:$L$71,L38,M38)*100,0),6000)/100))&amp;"."&amp;RIGHT("0"&amp;MOD(ROUND(INDEX(Нормативы!$D$2:$L$71,L38,M38)*100,0),100),2)))</f>
        <v/>
      </c>
      <c r="J38" s="12" t="str">
        <f aca="false">IF(D38="","",SUMIFS('Базовые времена'!$D$2:$D$71,'Базовые времена'!$A$2:$A$71,B38,'Базовые времена'!$B$2:$B$71,C38,'Базовые времена'!$C$2:$C$71,D38))</f>
        <v/>
      </c>
      <c r="K38" s="12" t="str">
        <f aca="false">IF(E38="","",IF(ISNUMBER(E38),IF(E38&lt;1,E38*86400,E38),IFERROR(IF(ISNUMBER(FIND(":",SUBSTITUTE(TRIM(E38),",","."))),VALUE(LEFT(SUBSTITUTE(TRIM(E38),",","."),FIND(":",SUBSTITUTE(TRIM(E38),",","."))-1))*60+_xlfn.NUMBERVALUE(MID(SUBSTITUTE(TRIM(E38),",","."),FIND(":",SUBSTITUTE(TRIM(E38),",","."))+1,99),"."),_xlfn.NUMBERVALUE(SUBSTITUTE(TRIM(E38),",","."),".")),0)))</f>
        <v/>
      </c>
      <c r="L38" s="3" t="str">
        <f aca="false">IF(OR(D38="",N(K38)&lt;=0),"",IFERROR(MATCH(B38&amp;"|"&amp;C38&amp;"|"&amp;D38,Нормативы!$M$2:$M$71,0),""))</f>
        <v/>
      </c>
      <c r="M38" s="3" t="str">
        <f aca="false">IF(L38="","",SUMPRODUCT((INDEX(Нормативы!$D$2:$L$71,L38,0)&lt;K38)*ISNUMBER(INDEX(Нормативы!$D$2:$L$71,L38,0))))</f>
        <v/>
      </c>
    </row>
    <row r="39" customFormat="false" ht="15" hidden="false" customHeight="false" outlineLevel="0" collapsed="false">
      <c r="A39" s="5"/>
      <c r="B39" s="5"/>
      <c r="C39" s="5"/>
      <c r="D39" s="5"/>
      <c r="E39" s="14"/>
      <c r="F39" s="4" t="str">
        <f aca="false">IF(OR(J39="",K39="",N(J39)=0,N(K39)&lt;=0),"",ROUNDDOWN(1000*(J39/K39)^3,0))</f>
        <v/>
      </c>
      <c r="G39" s="4" t="str">
        <f aca="false">IF(M39="","",IF(M39+1&gt;COUNT(INDEX(Нормативы!$D$2:$L$71,L39,0)),"Разряда нет",INDEX(Нормативы!$D$1:$L$1,1,M39+1)))</f>
        <v/>
      </c>
      <c r="H39" s="2" t="str">
        <f aca="false">IF(M39="","",IF(M39=0,"—",INDEX(Нормативы!$D$1:$L$1,1,M39)))</f>
        <v/>
      </c>
      <c r="I39" s="7" t="str">
        <f aca="false">IF(M39="","",IF(M39=0,"",IF(INT(ROUND(INDEX(Нормативы!$D$2:$L$71,L39,M39)*100,0)/6000)&gt;0,INT(ROUND(INDEX(Нормативы!$D$2:$L$71,L39,M39)*100,0)/6000)&amp;":"&amp;RIGHT("0"&amp;INT(MOD(ROUND(INDEX(Нормативы!$D$2:$L$71,L39,M39)*100,0),6000)/100),2),INT(MOD(ROUND(INDEX(Нормативы!$D$2:$L$71,L39,M39)*100,0),6000)/100))&amp;"."&amp;RIGHT("0"&amp;MOD(ROUND(INDEX(Нормативы!$D$2:$L$71,L39,M39)*100,0),100),2)))</f>
        <v/>
      </c>
      <c r="J39" s="12" t="str">
        <f aca="false">IF(D39="","",SUMIFS('Базовые времена'!$D$2:$D$71,'Базовые времена'!$A$2:$A$71,B39,'Базовые времена'!$B$2:$B$71,C39,'Базовые времена'!$C$2:$C$71,D39))</f>
        <v/>
      </c>
      <c r="K39" s="12" t="str">
        <f aca="false">IF(E39="","",IF(ISNUMBER(E39),IF(E39&lt;1,E39*86400,E39),IFERROR(IF(ISNUMBER(FIND(":",SUBSTITUTE(TRIM(E39),",","."))),VALUE(LEFT(SUBSTITUTE(TRIM(E39),",","."),FIND(":",SUBSTITUTE(TRIM(E39),",","."))-1))*60+_xlfn.NUMBERVALUE(MID(SUBSTITUTE(TRIM(E39),",","."),FIND(":",SUBSTITUTE(TRIM(E39),",","."))+1,99),"."),_xlfn.NUMBERVALUE(SUBSTITUTE(TRIM(E39),",","."),".")),0)))</f>
        <v/>
      </c>
      <c r="L39" s="3" t="str">
        <f aca="false">IF(OR(D39="",N(K39)&lt;=0),"",IFERROR(MATCH(B39&amp;"|"&amp;C39&amp;"|"&amp;D39,Нормативы!$M$2:$M$71,0),""))</f>
        <v/>
      </c>
      <c r="M39" s="3" t="str">
        <f aca="false">IF(L39="","",SUMPRODUCT((INDEX(Нормативы!$D$2:$L$71,L39,0)&lt;K39)*ISNUMBER(INDEX(Нормативы!$D$2:$L$71,L39,0))))</f>
        <v/>
      </c>
    </row>
    <row r="40" customFormat="false" ht="15" hidden="false" customHeight="false" outlineLevel="0" collapsed="false">
      <c r="A40" s="5"/>
      <c r="B40" s="5"/>
      <c r="C40" s="5"/>
      <c r="D40" s="5"/>
      <c r="E40" s="14"/>
      <c r="F40" s="4" t="str">
        <f aca="false">IF(OR(J40="",K40="",N(J40)=0,N(K40)&lt;=0),"",ROUNDDOWN(1000*(J40/K40)^3,0))</f>
        <v/>
      </c>
      <c r="G40" s="4" t="str">
        <f aca="false">IF(M40="","",IF(M40+1&gt;COUNT(INDEX(Нормативы!$D$2:$L$71,L40,0)),"Разряда нет",INDEX(Нормативы!$D$1:$L$1,1,M40+1)))</f>
        <v/>
      </c>
      <c r="H40" s="2" t="str">
        <f aca="false">IF(M40="","",IF(M40=0,"—",INDEX(Нормативы!$D$1:$L$1,1,M40)))</f>
        <v/>
      </c>
      <c r="I40" s="7" t="str">
        <f aca="false">IF(M40="","",IF(M40=0,"",IF(INT(ROUND(INDEX(Нормативы!$D$2:$L$71,L40,M40)*100,0)/6000)&gt;0,INT(ROUND(INDEX(Нормативы!$D$2:$L$71,L40,M40)*100,0)/6000)&amp;":"&amp;RIGHT("0"&amp;INT(MOD(ROUND(INDEX(Нормативы!$D$2:$L$71,L40,M40)*100,0),6000)/100),2),INT(MOD(ROUND(INDEX(Нормативы!$D$2:$L$71,L40,M40)*100,0),6000)/100))&amp;"."&amp;RIGHT("0"&amp;MOD(ROUND(INDEX(Нормативы!$D$2:$L$71,L40,M40)*100,0),100),2)))</f>
        <v/>
      </c>
      <c r="J40" s="12" t="str">
        <f aca="false">IF(D40="","",SUMIFS('Базовые времена'!$D$2:$D$71,'Базовые времена'!$A$2:$A$71,B40,'Базовые времена'!$B$2:$B$71,C40,'Базовые времена'!$C$2:$C$71,D40))</f>
        <v/>
      </c>
      <c r="K40" s="12" t="str">
        <f aca="false">IF(E40="","",IF(ISNUMBER(E40),IF(E40&lt;1,E40*86400,E40),IFERROR(IF(ISNUMBER(FIND(":",SUBSTITUTE(TRIM(E40),",","."))),VALUE(LEFT(SUBSTITUTE(TRIM(E40),",","."),FIND(":",SUBSTITUTE(TRIM(E40),",","."))-1))*60+_xlfn.NUMBERVALUE(MID(SUBSTITUTE(TRIM(E40),",","."),FIND(":",SUBSTITUTE(TRIM(E40),",","."))+1,99),"."),_xlfn.NUMBERVALUE(SUBSTITUTE(TRIM(E40),",","."),".")),0)))</f>
        <v/>
      </c>
      <c r="L40" s="3" t="str">
        <f aca="false">IF(OR(D40="",N(K40)&lt;=0),"",IFERROR(MATCH(B40&amp;"|"&amp;C40&amp;"|"&amp;D40,Нормативы!$M$2:$M$71,0),""))</f>
        <v/>
      </c>
      <c r="M40" s="3" t="str">
        <f aca="false">IF(L40="","",SUMPRODUCT((INDEX(Нормативы!$D$2:$L$71,L40,0)&lt;K40)*ISNUMBER(INDEX(Нормативы!$D$2:$L$71,L40,0))))</f>
        <v/>
      </c>
    </row>
    <row r="41" customFormat="false" ht="15" hidden="false" customHeight="false" outlineLevel="0" collapsed="false">
      <c r="A41" s="5"/>
      <c r="B41" s="5"/>
      <c r="C41" s="5"/>
      <c r="D41" s="5"/>
      <c r="E41" s="14"/>
      <c r="F41" s="4" t="str">
        <f aca="false">IF(OR(J41="",K41="",N(J41)=0,N(K41)&lt;=0),"",ROUNDDOWN(1000*(J41/K41)^3,0))</f>
        <v/>
      </c>
      <c r="G41" s="4" t="str">
        <f aca="false">IF(M41="","",IF(M41+1&gt;COUNT(INDEX(Нормативы!$D$2:$L$71,L41,0)),"Разряда нет",INDEX(Нормативы!$D$1:$L$1,1,M41+1)))</f>
        <v/>
      </c>
      <c r="H41" s="2" t="str">
        <f aca="false">IF(M41="","",IF(M41=0,"—",INDEX(Нормативы!$D$1:$L$1,1,M41)))</f>
        <v/>
      </c>
      <c r="I41" s="7" t="str">
        <f aca="false">IF(M41="","",IF(M41=0,"",IF(INT(ROUND(INDEX(Нормативы!$D$2:$L$71,L41,M41)*100,0)/6000)&gt;0,INT(ROUND(INDEX(Нормативы!$D$2:$L$71,L41,M41)*100,0)/6000)&amp;":"&amp;RIGHT("0"&amp;INT(MOD(ROUND(INDEX(Нормативы!$D$2:$L$71,L41,M41)*100,0),6000)/100),2),INT(MOD(ROUND(INDEX(Нормативы!$D$2:$L$71,L41,M41)*100,0),6000)/100))&amp;"."&amp;RIGHT("0"&amp;MOD(ROUND(INDEX(Нормативы!$D$2:$L$71,L41,M41)*100,0),100),2)))</f>
        <v/>
      </c>
      <c r="J41" s="12" t="str">
        <f aca="false">IF(D41="","",SUMIFS('Базовые времена'!$D$2:$D$71,'Базовые времена'!$A$2:$A$71,B41,'Базовые времена'!$B$2:$B$71,C41,'Базовые времена'!$C$2:$C$71,D41))</f>
        <v/>
      </c>
      <c r="K41" s="12" t="str">
        <f aca="false">IF(E41="","",IF(ISNUMBER(E41),IF(E41&lt;1,E41*86400,E41),IFERROR(IF(ISNUMBER(FIND(":",SUBSTITUTE(TRIM(E41),",","."))),VALUE(LEFT(SUBSTITUTE(TRIM(E41),",","."),FIND(":",SUBSTITUTE(TRIM(E41),",","."))-1))*60+_xlfn.NUMBERVALUE(MID(SUBSTITUTE(TRIM(E41),",","."),FIND(":",SUBSTITUTE(TRIM(E41),",","."))+1,99),"."),_xlfn.NUMBERVALUE(SUBSTITUTE(TRIM(E41),",","."),".")),0)))</f>
        <v/>
      </c>
      <c r="L41" s="3" t="str">
        <f aca="false">IF(OR(D41="",N(K41)&lt;=0),"",IFERROR(MATCH(B41&amp;"|"&amp;C41&amp;"|"&amp;D41,Нормативы!$M$2:$M$71,0),""))</f>
        <v/>
      </c>
      <c r="M41" s="3" t="str">
        <f aca="false">IF(L41="","",SUMPRODUCT((INDEX(Нормативы!$D$2:$L$71,L41,0)&lt;K41)*ISNUMBER(INDEX(Нормативы!$D$2:$L$71,L41,0))))</f>
        <v/>
      </c>
    </row>
    <row r="42" customFormat="false" ht="15" hidden="false" customHeight="false" outlineLevel="0" collapsed="false">
      <c r="A42" s="5"/>
      <c r="B42" s="5"/>
      <c r="C42" s="5"/>
      <c r="D42" s="5"/>
      <c r="E42" s="14"/>
      <c r="F42" s="4" t="str">
        <f aca="false">IF(OR(J42="",K42="",N(J42)=0,N(K42)&lt;=0),"",ROUNDDOWN(1000*(J42/K42)^3,0))</f>
        <v/>
      </c>
      <c r="G42" s="4" t="str">
        <f aca="false">IF(M42="","",IF(M42+1&gt;COUNT(INDEX(Нормативы!$D$2:$L$71,L42,0)),"Разряда нет",INDEX(Нормативы!$D$1:$L$1,1,M42+1)))</f>
        <v/>
      </c>
      <c r="H42" s="2" t="str">
        <f aca="false">IF(M42="","",IF(M42=0,"—",INDEX(Нормативы!$D$1:$L$1,1,M42)))</f>
        <v/>
      </c>
      <c r="I42" s="7" t="str">
        <f aca="false">IF(M42="","",IF(M42=0,"",IF(INT(ROUND(INDEX(Нормативы!$D$2:$L$71,L42,M42)*100,0)/6000)&gt;0,INT(ROUND(INDEX(Нормативы!$D$2:$L$71,L42,M42)*100,0)/6000)&amp;":"&amp;RIGHT("0"&amp;INT(MOD(ROUND(INDEX(Нормативы!$D$2:$L$71,L42,M42)*100,0),6000)/100),2),INT(MOD(ROUND(INDEX(Нормативы!$D$2:$L$71,L42,M42)*100,0),6000)/100))&amp;"."&amp;RIGHT("0"&amp;MOD(ROUND(INDEX(Нормативы!$D$2:$L$71,L42,M42)*100,0),100),2)))</f>
        <v/>
      </c>
      <c r="J42" s="12" t="str">
        <f aca="false">IF(D42="","",SUMIFS('Базовые времена'!$D$2:$D$71,'Базовые времена'!$A$2:$A$71,B42,'Базовые времена'!$B$2:$B$71,C42,'Базовые времена'!$C$2:$C$71,D42))</f>
        <v/>
      </c>
      <c r="K42" s="12" t="str">
        <f aca="false">IF(E42="","",IF(ISNUMBER(E42),IF(E42&lt;1,E42*86400,E42),IFERROR(IF(ISNUMBER(FIND(":",SUBSTITUTE(TRIM(E42),",","."))),VALUE(LEFT(SUBSTITUTE(TRIM(E42),",","."),FIND(":",SUBSTITUTE(TRIM(E42),",","."))-1))*60+_xlfn.NUMBERVALUE(MID(SUBSTITUTE(TRIM(E42),",","."),FIND(":",SUBSTITUTE(TRIM(E42),",","."))+1,99),"."),_xlfn.NUMBERVALUE(SUBSTITUTE(TRIM(E42),",","."),".")),0)))</f>
        <v/>
      </c>
      <c r="L42" s="3" t="str">
        <f aca="false">IF(OR(D42="",N(K42)&lt;=0),"",IFERROR(MATCH(B42&amp;"|"&amp;C42&amp;"|"&amp;D42,Нормативы!$M$2:$M$71,0),""))</f>
        <v/>
      </c>
      <c r="M42" s="3" t="str">
        <f aca="false">IF(L42="","",SUMPRODUCT((INDEX(Нормативы!$D$2:$L$71,L42,0)&lt;K42)*ISNUMBER(INDEX(Нормативы!$D$2:$L$71,L42,0))))</f>
        <v/>
      </c>
    </row>
    <row r="43" customFormat="false" ht="15" hidden="false" customHeight="false" outlineLevel="0" collapsed="false">
      <c r="A43" s="5"/>
      <c r="B43" s="5"/>
      <c r="C43" s="5"/>
      <c r="D43" s="5"/>
      <c r="E43" s="14"/>
      <c r="F43" s="4" t="str">
        <f aca="false">IF(OR(J43="",K43="",N(J43)=0,N(K43)&lt;=0),"",ROUNDDOWN(1000*(J43/K43)^3,0))</f>
        <v/>
      </c>
      <c r="G43" s="4" t="str">
        <f aca="false">IF(M43="","",IF(M43+1&gt;COUNT(INDEX(Нормативы!$D$2:$L$71,L43,0)),"Разряда нет",INDEX(Нормативы!$D$1:$L$1,1,M43+1)))</f>
        <v/>
      </c>
      <c r="H43" s="2" t="str">
        <f aca="false">IF(M43="","",IF(M43=0,"—",INDEX(Нормативы!$D$1:$L$1,1,M43)))</f>
        <v/>
      </c>
      <c r="I43" s="7" t="str">
        <f aca="false">IF(M43="","",IF(M43=0,"",IF(INT(ROUND(INDEX(Нормативы!$D$2:$L$71,L43,M43)*100,0)/6000)&gt;0,INT(ROUND(INDEX(Нормативы!$D$2:$L$71,L43,M43)*100,0)/6000)&amp;":"&amp;RIGHT("0"&amp;INT(MOD(ROUND(INDEX(Нормативы!$D$2:$L$71,L43,M43)*100,0),6000)/100),2),INT(MOD(ROUND(INDEX(Нормативы!$D$2:$L$71,L43,M43)*100,0),6000)/100))&amp;"."&amp;RIGHT("0"&amp;MOD(ROUND(INDEX(Нормативы!$D$2:$L$71,L43,M43)*100,0),100),2)))</f>
        <v/>
      </c>
      <c r="J43" s="12" t="str">
        <f aca="false">IF(D43="","",SUMIFS('Базовые времена'!$D$2:$D$71,'Базовые времена'!$A$2:$A$71,B43,'Базовые времена'!$B$2:$B$71,C43,'Базовые времена'!$C$2:$C$71,D43))</f>
        <v/>
      </c>
      <c r="K43" s="12" t="str">
        <f aca="false">IF(E43="","",IF(ISNUMBER(E43),IF(E43&lt;1,E43*86400,E43),IFERROR(IF(ISNUMBER(FIND(":",SUBSTITUTE(TRIM(E43),",","."))),VALUE(LEFT(SUBSTITUTE(TRIM(E43),",","."),FIND(":",SUBSTITUTE(TRIM(E43),",","."))-1))*60+_xlfn.NUMBERVALUE(MID(SUBSTITUTE(TRIM(E43),",","."),FIND(":",SUBSTITUTE(TRIM(E43),",","."))+1,99),"."),_xlfn.NUMBERVALUE(SUBSTITUTE(TRIM(E43),",","."),".")),0)))</f>
        <v/>
      </c>
      <c r="L43" s="3" t="str">
        <f aca="false">IF(OR(D43="",N(K43)&lt;=0),"",IFERROR(MATCH(B43&amp;"|"&amp;C43&amp;"|"&amp;D43,Нормативы!$M$2:$M$71,0),""))</f>
        <v/>
      </c>
      <c r="M43" s="3" t="str">
        <f aca="false">IF(L43="","",SUMPRODUCT((INDEX(Нормативы!$D$2:$L$71,L43,0)&lt;K43)*ISNUMBER(INDEX(Нормативы!$D$2:$L$71,L43,0))))</f>
        <v/>
      </c>
    </row>
    <row r="44" customFormat="false" ht="15" hidden="false" customHeight="false" outlineLevel="0" collapsed="false">
      <c r="A44" s="5"/>
      <c r="B44" s="5"/>
      <c r="C44" s="5"/>
      <c r="D44" s="5"/>
      <c r="E44" s="14"/>
      <c r="F44" s="4" t="str">
        <f aca="false">IF(OR(J44="",K44="",N(J44)=0,N(K44)&lt;=0),"",ROUNDDOWN(1000*(J44/K44)^3,0))</f>
        <v/>
      </c>
      <c r="G44" s="4" t="str">
        <f aca="false">IF(M44="","",IF(M44+1&gt;COUNT(INDEX(Нормативы!$D$2:$L$71,L44,0)),"Разряда нет",INDEX(Нормативы!$D$1:$L$1,1,M44+1)))</f>
        <v/>
      </c>
      <c r="H44" s="2" t="str">
        <f aca="false">IF(M44="","",IF(M44=0,"—",INDEX(Нормативы!$D$1:$L$1,1,M44)))</f>
        <v/>
      </c>
      <c r="I44" s="7" t="str">
        <f aca="false">IF(M44="","",IF(M44=0,"",IF(INT(ROUND(INDEX(Нормативы!$D$2:$L$71,L44,M44)*100,0)/6000)&gt;0,INT(ROUND(INDEX(Нормативы!$D$2:$L$71,L44,M44)*100,0)/6000)&amp;":"&amp;RIGHT("0"&amp;INT(MOD(ROUND(INDEX(Нормативы!$D$2:$L$71,L44,M44)*100,0),6000)/100),2),INT(MOD(ROUND(INDEX(Нормативы!$D$2:$L$71,L44,M44)*100,0),6000)/100))&amp;"."&amp;RIGHT("0"&amp;MOD(ROUND(INDEX(Нормативы!$D$2:$L$71,L44,M44)*100,0),100),2)))</f>
        <v/>
      </c>
      <c r="J44" s="12" t="str">
        <f aca="false">IF(D44="","",SUMIFS('Базовые времена'!$D$2:$D$71,'Базовые времена'!$A$2:$A$71,B44,'Базовые времена'!$B$2:$B$71,C44,'Базовые времена'!$C$2:$C$71,D44))</f>
        <v/>
      </c>
      <c r="K44" s="12" t="str">
        <f aca="false">IF(E44="","",IF(ISNUMBER(E44),IF(E44&lt;1,E44*86400,E44),IFERROR(IF(ISNUMBER(FIND(":",SUBSTITUTE(TRIM(E44),",","."))),VALUE(LEFT(SUBSTITUTE(TRIM(E44),",","."),FIND(":",SUBSTITUTE(TRIM(E44),",","."))-1))*60+_xlfn.NUMBERVALUE(MID(SUBSTITUTE(TRIM(E44),",","."),FIND(":",SUBSTITUTE(TRIM(E44),",","."))+1,99),"."),_xlfn.NUMBERVALUE(SUBSTITUTE(TRIM(E44),",","."),".")),0)))</f>
        <v/>
      </c>
      <c r="L44" s="3" t="str">
        <f aca="false">IF(OR(D44="",N(K44)&lt;=0),"",IFERROR(MATCH(B44&amp;"|"&amp;C44&amp;"|"&amp;D44,Нормативы!$M$2:$M$71,0),""))</f>
        <v/>
      </c>
      <c r="M44" s="3" t="str">
        <f aca="false">IF(L44="","",SUMPRODUCT((INDEX(Нормативы!$D$2:$L$71,L44,0)&lt;K44)*ISNUMBER(INDEX(Нормативы!$D$2:$L$71,L44,0))))</f>
        <v/>
      </c>
    </row>
    <row r="45" customFormat="false" ht="15" hidden="false" customHeight="false" outlineLevel="0" collapsed="false">
      <c r="A45" s="5"/>
      <c r="B45" s="5"/>
      <c r="C45" s="5"/>
      <c r="D45" s="5"/>
      <c r="E45" s="14"/>
      <c r="F45" s="4" t="str">
        <f aca="false">IF(OR(J45="",K45="",N(J45)=0,N(K45)&lt;=0),"",ROUNDDOWN(1000*(J45/K45)^3,0))</f>
        <v/>
      </c>
      <c r="G45" s="4" t="str">
        <f aca="false">IF(M45="","",IF(M45+1&gt;COUNT(INDEX(Нормативы!$D$2:$L$71,L45,0)),"Разряда нет",INDEX(Нормативы!$D$1:$L$1,1,M45+1)))</f>
        <v/>
      </c>
      <c r="H45" s="2" t="str">
        <f aca="false">IF(M45="","",IF(M45=0,"—",INDEX(Нормативы!$D$1:$L$1,1,M45)))</f>
        <v/>
      </c>
      <c r="I45" s="7" t="str">
        <f aca="false">IF(M45="","",IF(M45=0,"",IF(INT(ROUND(INDEX(Нормативы!$D$2:$L$71,L45,M45)*100,0)/6000)&gt;0,INT(ROUND(INDEX(Нормативы!$D$2:$L$71,L45,M45)*100,0)/6000)&amp;":"&amp;RIGHT("0"&amp;INT(MOD(ROUND(INDEX(Нормативы!$D$2:$L$71,L45,M45)*100,0),6000)/100),2),INT(MOD(ROUND(INDEX(Нормативы!$D$2:$L$71,L45,M45)*100,0),6000)/100))&amp;"."&amp;RIGHT("0"&amp;MOD(ROUND(INDEX(Нормативы!$D$2:$L$71,L45,M45)*100,0),100),2)))</f>
        <v/>
      </c>
      <c r="J45" s="12" t="str">
        <f aca="false">IF(D45="","",SUMIFS('Базовые времена'!$D$2:$D$71,'Базовые времена'!$A$2:$A$71,B45,'Базовые времена'!$B$2:$B$71,C45,'Базовые времена'!$C$2:$C$71,D45))</f>
        <v/>
      </c>
      <c r="K45" s="12" t="str">
        <f aca="false">IF(E45="","",IF(ISNUMBER(E45),IF(E45&lt;1,E45*86400,E45),IFERROR(IF(ISNUMBER(FIND(":",SUBSTITUTE(TRIM(E45),",","."))),VALUE(LEFT(SUBSTITUTE(TRIM(E45),",","."),FIND(":",SUBSTITUTE(TRIM(E45),",","."))-1))*60+_xlfn.NUMBERVALUE(MID(SUBSTITUTE(TRIM(E45),",","."),FIND(":",SUBSTITUTE(TRIM(E45),",","."))+1,99),"."),_xlfn.NUMBERVALUE(SUBSTITUTE(TRIM(E45),",","."),".")),0)))</f>
        <v/>
      </c>
      <c r="L45" s="3" t="str">
        <f aca="false">IF(OR(D45="",N(K45)&lt;=0),"",IFERROR(MATCH(B45&amp;"|"&amp;C45&amp;"|"&amp;D45,Нормативы!$M$2:$M$71,0),""))</f>
        <v/>
      </c>
      <c r="M45" s="3" t="str">
        <f aca="false">IF(L45="","",SUMPRODUCT((INDEX(Нормативы!$D$2:$L$71,L45,0)&lt;K45)*ISNUMBER(INDEX(Нормативы!$D$2:$L$71,L45,0))))</f>
        <v/>
      </c>
    </row>
    <row r="46" customFormat="false" ht="15" hidden="false" customHeight="false" outlineLevel="0" collapsed="false">
      <c r="A46" s="5"/>
      <c r="B46" s="5"/>
      <c r="C46" s="5"/>
      <c r="D46" s="5"/>
      <c r="E46" s="14"/>
      <c r="F46" s="4" t="str">
        <f aca="false">IF(OR(J46="",K46="",N(J46)=0,N(K46)&lt;=0),"",ROUNDDOWN(1000*(J46/K46)^3,0))</f>
        <v/>
      </c>
      <c r="G46" s="4" t="str">
        <f aca="false">IF(M46="","",IF(M46+1&gt;COUNT(INDEX(Нормативы!$D$2:$L$71,L46,0)),"Разряда нет",INDEX(Нормативы!$D$1:$L$1,1,M46+1)))</f>
        <v/>
      </c>
      <c r="H46" s="2" t="str">
        <f aca="false">IF(M46="","",IF(M46=0,"—",INDEX(Нормативы!$D$1:$L$1,1,M46)))</f>
        <v/>
      </c>
      <c r="I46" s="7" t="str">
        <f aca="false">IF(M46="","",IF(M46=0,"",IF(INT(ROUND(INDEX(Нормативы!$D$2:$L$71,L46,M46)*100,0)/6000)&gt;0,INT(ROUND(INDEX(Нормативы!$D$2:$L$71,L46,M46)*100,0)/6000)&amp;":"&amp;RIGHT("0"&amp;INT(MOD(ROUND(INDEX(Нормативы!$D$2:$L$71,L46,M46)*100,0),6000)/100),2),INT(MOD(ROUND(INDEX(Нормативы!$D$2:$L$71,L46,M46)*100,0),6000)/100))&amp;"."&amp;RIGHT("0"&amp;MOD(ROUND(INDEX(Нормативы!$D$2:$L$71,L46,M46)*100,0),100),2)))</f>
        <v/>
      </c>
      <c r="J46" s="12" t="str">
        <f aca="false">IF(D46="","",SUMIFS('Базовые времена'!$D$2:$D$71,'Базовые времена'!$A$2:$A$71,B46,'Базовые времена'!$B$2:$B$71,C46,'Базовые времена'!$C$2:$C$71,D46))</f>
        <v/>
      </c>
      <c r="K46" s="12" t="str">
        <f aca="false">IF(E46="","",IF(ISNUMBER(E46),IF(E46&lt;1,E46*86400,E46),IFERROR(IF(ISNUMBER(FIND(":",SUBSTITUTE(TRIM(E46),",","."))),VALUE(LEFT(SUBSTITUTE(TRIM(E46),",","."),FIND(":",SUBSTITUTE(TRIM(E46),",","."))-1))*60+_xlfn.NUMBERVALUE(MID(SUBSTITUTE(TRIM(E46),",","."),FIND(":",SUBSTITUTE(TRIM(E46),",","."))+1,99),"."),_xlfn.NUMBERVALUE(SUBSTITUTE(TRIM(E46),",","."),".")),0)))</f>
        <v/>
      </c>
      <c r="L46" s="3" t="str">
        <f aca="false">IF(OR(D46="",N(K46)&lt;=0),"",IFERROR(MATCH(B46&amp;"|"&amp;C46&amp;"|"&amp;D46,Нормативы!$M$2:$M$71,0),""))</f>
        <v/>
      </c>
      <c r="M46" s="3" t="str">
        <f aca="false">IF(L46="","",SUMPRODUCT((INDEX(Нормативы!$D$2:$L$71,L46,0)&lt;K46)*ISNUMBER(INDEX(Нормативы!$D$2:$L$71,L46,0))))</f>
        <v/>
      </c>
    </row>
    <row r="47" customFormat="false" ht="15" hidden="false" customHeight="false" outlineLevel="0" collapsed="false">
      <c r="A47" s="5"/>
      <c r="B47" s="5"/>
      <c r="C47" s="5"/>
      <c r="D47" s="5"/>
      <c r="E47" s="14"/>
      <c r="F47" s="4" t="str">
        <f aca="false">IF(OR(J47="",K47="",N(J47)=0,N(K47)&lt;=0),"",ROUNDDOWN(1000*(J47/K47)^3,0))</f>
        <v/>
      </c>
      <c r="G47" s="4" t="str">
        <f aca="false">IF(M47="","",IF(M47+1&gt;COUNT(INDEX(Нормативы!$D$2:$L$71,L47,0)),"Разряда нет",INDEX(Нормативы!$D$1:$L$1,1,M47+1)))</f>
        <v/>
      </c>
      <c r="H47" s="2" t="str">
        <f aca="false">IF(M47="","",IF(M47=0,"—",INDEX(Нормативы!$D$1:$L$1,1,M47)))</f>
        <v/>
      </c>
      <c r="I47" s="7" t="str">
        <f aca="false">IF(M47="","",IF(M47=0,"",IF(INT(ROUND(INDEX(Нормативы!$D$2:$L$71,L47,M47)*100,0)/6000)&gt;0,INT(ROUND(INDEX(Нормативы!$D$2:$L$71,L47,M47)*100,0)/6000)&amp;":"&amp;RIGHT("0"&amp;INT(MOD(ROUND(INDEX(Нормативы!$D$2:$L$71,L47,M47)*100,0),6000)/100),2),INT(MOD(ROUND(INDEX(Нормативы!$D$2:$L$71,L47,M47)*100,0),6000)/100))&amp;"."&amp;RIGHT("0"&amp;MOD(ROUND(INDEX(Нормативы!$D$2:$L$71,L47,M47)*100,0),100),2)))</f>
        <v/>
      </c>
      <c r="J47" s="12" t="str">
        <f aca="false">IF(D47="","",SUMIFS('Базовые времена'!$D$2:$D$71,'Базовые времена'!$A$2:$A$71,B47,'Базовые времена'!$B$2:$B$71,C47,'Базовые времена'!$C$2:$C$71,D47))</f>
        <v/>
      </c>
      <c r="K47" s="12" t="str">
        <f aca="false">IF(E47="","",IF(ISNUMBER(E47),IF(E47&lt;1,E47*86400,E47),IFERROR(IF(ISNUMBER(FIND(":",SUBSTITUTE(TRIM(E47),",","."))),VALUE(LEFT(SUBSTITUTE(TRIM(E47),",","."),FIND(":",SUBSTITUTE(TRIM(E47),",","."))-1))*60+_xlfn.NUMBERVALUE(MID(SUBSTITUTE(TRIM(E47),",","."),FIND(":",SUBSTITUTE(TRIM(E47),",","."))+1,99),"."),_xlfn.NUMBERVALUE(SUBSTITUTE(TRIM(E47),",","."),".")),0)))</f>
        <v/>
      </c>
      <c r="L47" s="3" t="str">
        <f aca="false">IF(OR(D47="",N(K47)&lt;=0),"",IFERROR(MATCH(B47&amp;"|"&amp;C47&amp;"|"&amp;D47,Нормативы!$M$2:$M$71,0),""))</f>
        <v/>
      </c>
      <c r="M47" s="3" t="str">
        <f aca="false">IF(L47="","",SUMPRODUCT((INDEX(Нормативы!$D$2:$L$71,L47,0)&lt;K47)*ISNUMBER(INDEX(Нормативы!$D$2:$L$71,L47,0))))</f>
        <v/>
      </c>
    </row>
    <row r="48" customFormat="false" ht="15" hidden="false" customHeight="false" outlineLevel="0" collapsed="false">
      <c r="A48" s="5"/>
      <c r="B48" s="5"/>
      <c r="C48" s="5"/>
      <c r="D48" s="5"/>
      <c r="E48" s="14"/>
      <c r="F48" s="4" t="str">
        <f aca="false">IF(OR(J48="",K48="",N(J48)=0,N(K48)&lt;=0),"",ROUNDDOWN(1000*(J48/K48)^3,0))</f>
        <v/>
      </c>
      <c r="G48" s="4" t="str">
        <f aca="false">IF(M48="","",IF(M48+1&gt;COUNT(INDEX(Нормативы!$D$2:$L$71,L48,0)),"Разряда нет",INDEX(Нормативы!$D$1:$L$1,1,M48+1)))</f>
        <v/>
      </c>
      <c r="H48" s="2" t="str">
        <f aca="false">IF(M48="","",IF(M48=0,"—",INDEX(Нормативы!$D$1:$L$1,1,M48)))</f>
        <v/>
      </c>
      <c r="I48" s="7" t="str">
        <f aca="false">IF(M48="","",IF(M48=0,"",IF(INT(ROUND(INDEX(Нормативы!$D$2:$L$71,L48,M48)*100,0)/6000)&gt;0,INT(ROUND(INDEX(Нормативы!$D$2:$L$71,L48,M48)*100,0)/6000)&amp;":"&amp;RIGHT("0"&amp;INT(MOD(ROUND(INDEX(Нормативы!$D$2:$L$71,L48,M48)*100,0),6000)/100),2),INT(MOD(ROUND(INDEX(Нормативы!$D$2:$L$71,L48,M48)*100,0),6000)/100))&amp;"."&amp;RIGHT("0"&amp;MOD(ROUND(INDEX(Нормативы!$D$2:$L$71,L48,M48)*100,0),100),2)))</f>
        <v/>
      </c>
      <c r="J48" s="12" t="str">
        <f aca="false">IF(D48="","",SUMIFS('Базовые времена'!$D$2:$D$71,'Базовые времена'!$A$2:$A$71,B48,'Базовые времена'!$B$2:$B$71,C48,'Базовые времена'!$C$2:$C$71,D48))</f>
        <v/>
      </c>
      <c r="K48" s="12" t="str">
        <f aca="false">IF(E48="","",IF(ISNUMBER(E48),IF(E48&lt;1,E48*86400,E48),IFERROR(IF(ISNUMBER(FIND(":",SUBSTITUTE(TRIM(E48),",","."))),VALUE(LEFT(SUBSTITUTE(TRIM(E48),",","."),FIND(":",SUBSTITUTE(TRIM(E48),",","."))-1))*60+_xlfn.NUMBERVALUE(MID(SUBSTITUTE(TRIM(E48),",","."),FIND(":",SUBSTITUTE(TRIM(E48),",","."))+1,99),"."),_xlfn.NUMBERVALUE(SUBSTITUTE(TRIM(E48),",","."),".")),0)))</f>
        <v/>
      </c>
      <c r="L48" s="3" t="str">
        <f aca="false">IF(OR(D48="",N(K48)&lt;=0),"",IFERROR(MATCH(B48&amp;"|"&amp;C48&amp;"|"&amp;D48,Нормативы!$M$2:$M$71,0),""))</f>
        <v/>
      </c>
      <c r="M48" s="3" t="str">
        <f aca="false">IF(L48="","",SUMPRODUCT((INDEX(Нормативы!$D$2:$L$71,L48,0)&lt;K48)*ISNUMBER(INDEX(Нормативы!$D$2:$L$71,L48,0))))</f>
        <v/>
      </c>
    </row>
    <row r="49" customFormat="false" ht="15" hidden="false" customHeight="false" outlineLevel="0" collapsed="false">
      <c r="A49" s="5"/>
      <c r="B49" s="5"/>
      <c r="C49" s="5"/>
      <c r="D49" s="5"/>
      <c r="E49" s="14"/>
      <c r="F49" s="4" t="str">
        <f aca="false">IF(OR(J49="",K49="",N(J49)=0,N(K49)&lt;=0),"",ROUNDDOWN(1000*(J49/K49)^3,0))</f>
        <v/>
      </c>
      <c r="G49" s="4" t="str">
        <f aca="false">IF(M49="","",IF(M49+1&gt;COUNT(INDEX(Нормативы!$D$2:$L$71,L49,0)),"Разряда нет",INDEX(Нормативы!$D$1:$L$1,1,M49+1)))</f>
        <v/>
      </c>
      <c r="H49" s="2" t="str">
        <f aca="false">IF(M49="","",IF(M49=0,"—",INDEX(Нормативы!$D$1:$L$1,1,M49)))</f>
        <v/>
      </c>
      <c r="I49" s="7" t="str">
        <f aca="false">IF(M49="","",IF(M49=0,"",IF(INT(ROUND(INDEX(Нормативы!$D$2:$L$71,L49,M49)*100,0)/6000)&gt;0,INT(ROUND(INDEX(Нормативы!$D$2:$L$71,L49,M49)*100,0)/6000)&amp;":"&amp;RIGHT("0"&amp;INT(MOD(ROUND(INDEX(Нормативы!$D$2:$L$71,L49,M49)*100,0),6000)/100),2),INT(MOD(ROUND(INDEX(Нормативы!$D$2:$L$71,L49,M49)*100,0),6000)/100))&amp;"."&amp;RIGHT("0"&amp;MOD(ROUND(INDEX(Нормативы!$D$2:$L$71,L49,M49)*100,0),100),2)))</f>
        <v/>
      </c>
      <c r="J49" s="12" t="str">
        <f aca="false">IF(D49="","",SUMIFS('Базовые времена'!$D$2:$D$71,'Базовые времена'!$A$2:$A$71,B49,'Базовые времена'!$B$2:$B$71,C49,'Базовые времена'!$C$2:$C$71,D49))</f>
        <v/>
      </c>
      <c r="K49" s="12" t="str">
        <f aca="false">IF(E49="","",IF(ISNUMBER(E49),IF(E49&lt;1,E49*86400,E49),IFERROR(IF(ISNUMBER(FIND(":",SUBSTITUTE(TRIM(E49),",","."))),VALUE(LEFT(SUBSTITUTE(TRIM(E49),",","."),FIND(":",SUBSTITUTE(TRIM(E49),",","."))-1))*60+_xlfn.NUMBERVALUE(MID(SUBSTITUTE(TRIM(E49),",","."),FIND(":",SUBSTITUTE(TRIM(E49),",","."))+1,99),"."),_xlfn.NUMBERVALUE(SUBSTITUTE(TRIM(E49),",","."),".")),0)))</f>
        <v/>
      </c>
      <c r="L49" s="3" t="str">
        <f aca="false">IF(OR(D49="",N(K49)&lt;=0),"",IFERROR(MATCH(B49&amp;"|"&amp;C49&amp;"|"&amp;D49,Нормативы!$M$2:$M$71,0),""))</f>
        <v/>
      </c>
      <c r="M49" s="3" t="str">
        <f aca="false">IF(L49="","",SUMPRODUCT((INDEX(Нормативы!$D$2:$L$71,L49,0)&lt;K49)*ISNUMBER(INDEX(Нормативы!$D$2:$L$71,L49,0))))</f>
        <v/>
      </c>
    </row>
    <row r="50" customFormat="false" ht="15" hidden="false" customHeight="false" outlineLevel="0" collapsed="false">
      <c r="A50" s="5"/>
      <c r="B50" s="5"/>
      <c r="C50" s="5"/>
      <c r="D50" s="5"/>
      <c r="E50" s="14"/>
      <c r="F50" s="4" t="str">
        <f aca="false">IF(OR(J50="",K50="",N(J50)=0,N(K50)&lt;=0),"",ROUNDDOWN(1000*(J50/K50)^3,0))</f>
        <v/>
      </c>
      <c r="G50" s="4" t="str">
        <f aca="false">IF(M50="","",IF(M50+1&gt;COUNT(INDEX(Нормативы!$D$2:$L$71,L50,0)),"Разряда нет",INDEX(Нормативы!$D$1:$L$1,1,M50+1)))</f>
        <v/>
      </c>
      <c r="H50" s="2" t="str">
        <f aca="false">IF(M50="","",IF(M50=0,"—",INDEX(Нормативы!$D$1:$L$1,1,M50)))</f>
        <v/>
      </c>
      <c r="I50" s="7" t="str">
        <f aca="false">IF(M50="","",IF(M50=0,"",IF(INT(ROUND(INDEX(Нормативы!$D$2:$L$71,L50,M50)*100,0)/6000)&gt;0,INT(ROUND(INDEX(Нормативы!$D$2:$L$71,L50,M50)*100,0)/6000)&amp;":"&amp;RIGHT("0"&amp;INT(MOD(ROUND(INDEX(Нормативы!$D$2:$L$71,L50,M50)*100,0),6000)/100),2),INT(MOD(ROUND(INDEX(Нормативы!$D$2:$L$71,L50,M50)*100,0),6000)/100))&amp;"."&amp;RIGHT("0"&amp;MOD(ROUND(INDEX(Нормативы!$D$2:$L$71,L50,M50)*100,0),100),2)))</f>
        <v/>
      </c>
      <c r="J50" s="12" t="str">
        <f aca="false">IF(D50="","",SUMIFS('Базовые времена'!$D$2:$D$71,'Базовые времена'!$A$2:$A$71,B50,'Базовые времена'!$B$2:$B$71,C50,'Базовые времена'!$C$2:$C$71,D50))</f>
        <v/>
      </c>
      <c r="K50" s="12" t="str">
        <f aca="false">IF(E50="","",IF(ISNUMBER(E50),IF(E50&lt;1,E50*86400,E50),IFERROR(IF(ISNUMBER(FIND(":",SUBSTITUTE(TRIM(E50),",","."))),VALUE(LEFT(SUBSTITUTE(TRIM(E50),",","."),FIND(":",SUBSTITUTE(TRIM(E50),",","."))-1))*60+_xlfn.NUMBERVALUE(MID(SUBSTITUTE(TRIM(E50),",","."),FIND(":",SUBSTITUTE(TRIM(E50),",","."))+1,99),"."),_xlfn.NUMBERVALUE(SUBSTITUTE(TRIM(E50),",","."),".")),0)))</f>
        <v/>
      </c>
      <c r="L50" s="3" t="str">
        <f aca="false">IF(OR(D50="",N(K50)&lt;=0),"",IFERROR(MATCH(B50&amp;"|"&amp;C50&amp;"|"&amp;D50,Нормативы!$M$2:$M$71,0),""))</f>
        <v/>
      </c>
      <c r="M50" s="3" t="str">
        <f aca="false">IF(L50="","",SUMPRODUCT((INDEX(Нормативы!$D$2:$L$71,L50,0)&lt;K50)*ISNUMBER(INDEX(Нормативы!$D$2:$L$71,L50,0))))</f>
        <v/>
      </c>
    </row>
    <row r="51" customFormat="false" ht="15" hidden="false" customHeight="false" outlineLevel="0" collapsed="false">
      <c r="A51" s="5"/>
      <c r="B51" s="5"/>
      <c r="C51" s="5"/>
      <c r="D51" s="5"/>
      <c r="E51" s="14"/>
      <c r="F51" s="4" t="str">
        <f aca="false">IF(OR(J51="",K51="",N(J51)=0,N(K51)&lt;=0),"",ROUNDDOWN(1000*(J51/K51)^3,0))</f>
        <v/>
      </c>
      <c r="G51" s="4" t="str">
        <f aca="false">IF(M51="","",IF(M51+1&gt;COUNT(INDEX(Нормативы!$D$2:$L$71,L51,0)),"Разряда нет",INDEX(Нормативы!$D$1:$L$1,1,M51+1)))</f>
        <v/>
      </c>
      <c r="H51" s="2" t="str">
        <f aca="false">IF(M51="","",IF(M51=0,"—",INDEX(Нормативы!$D$1:$L$1,1,M51)))</f>
        <v/>
      </c>
      <c r="I51" s="7" t="str">
        <f aca="false">IF(M51="","",IF(M51=0,"",IF(INT(ROUND(INDEX(Нормативы!$D$2:$L$71,L51,M51)*100,0)/6000)&gt;0,INT(ROUND(INDEX(Нормативы!$D$2:$L$71,L51,M51)*100,0)/6000)&amp;":"&amp;RIGHT("0"&amp;INT(MOD(ROUND(INDEX(Нормативы!$D$2:$L$71,L51,M51)*100,0),6000)/100),2),INT(MOD(ROUND(INDEX(Нормативы!$D$2:$L$71,L51,M51)*100,0),6000)/100))&amp;"."&amp;RIGHT("0"&amp;MOD(ROUND(INDEX(Нормативы!$D$2:$L$71,L51,M51)*100,0),100),2)))</f>
        <v/>
      </c>
      <c r="J51" s="12" t="str">
        <f aca="false">IF(D51="","",SUMIFS('Базовые времена'!$D$2:$D$71,'Базовые времена'!$A$2:$A$71,B51,'Базовые времена'!$B$2:$B$71,C51,'Базовые времена'!$C$2:$C$71,D51))</f>
        <v/>
      </c>
      <c r="K51" s="12" t="str">
        <f aca="false">IF(E51="","",IF(ISNUMBER(E51),IF(E51&lt;1,E51*86400,E51),IFERROR(IF(ISNUMBER(FIND(":",SUBSTITUTE(TRIM(E51),",","."))),VALUE(LEFT(SUBSTITUTE(TRIM(E51),",","."),FIND(":",SUBSTITUTE(TRIM(E51),",","."))-1))*60+_xlfn.NUMBERVALUE(MID(SUBSTITUTE(TRIM(E51),",","."),FIND(":",SUBSTITUTE(TRIM(E51),",","."))+1,99),"."),_xlfn.NUMBERVALUE(SUBSTITUTE(TRIM(E51),",","."),".")),0)))</f>
        <v/>
      </c>
      <c r="L51" s="3" t="str">
        <f aca="false">IF(OR(D51="",N(K51)&lt;=0),"",IFERROR(MATCH(B51&amp;"|"&amp;C51&amp;"|"&amp;D51,Нормативы!$M$2:$M$71,0),""))</f>
        <v/>
      </c>
      <c r="M51" s="3" t="str">
        <f aca="false">IF(L51="","",SUMPRODUCT((INDEX(Нормативы!$D$2:$L$71,L51,0)&lt;K51)*ISNUMBER(INDEX(Нормативы!$D$2:$L$71,L51,0))))</f>
        <v/>
      </c>
    </row>
    <row r="52" customFormat="false" ht="15" hidden="false" customHeight="false" outlineLevel="0" collapsed="false">
      <c r="A52" s="5"/>
      <c r="B52" s="5"/>
      <c r="C52" s="5"/>
      <c r="D52" s="5"/>
      <c r="E52" s="14"/>
      <c r="F52" s="4" t="str">
        <f aca="false">IF(OR(J52="",K52="",N(J52)=0,N(K52)&lt;=0),"",ROUNDDOWN(1000*(J52/K52)^3,0))</f>
        <v/>
      </c>
      <c r="G52" s="4" t="str">
        <f aca="false">IF(M52="","",IF(M52+1&gt;COUNT(INDEX(Нормативы!$D$2:$L$71,L52,0)),"Разряда нет",INDEX(Нормативы!$D$1:$L$1,1,M52+1)))</f>
        <v/>
      </c>
      <c r="H52" s="2" t="str">
        <f aca="false">IF(M52="","",IF(M52=0,"—",INDEX(Нормативы!$D$1:$L$1,1,M52)))</f>
        <v/>
      </c>
      <c r="I52" s="7" t="str">
        <f aca="false">IF(M52="","",IF(M52=0,"",IF(INT(ROUND(INDEX(Нормативы!$D$2:$L$71,L52,M52)*100,0)/6000)&gt;0,INT(ROUND(INDEX(Нормативы!$D$2:$L$71,L52,M52)*100,0)/6000)&amp;":"&amp;RIGHT("0"&amp;INT(MOD(ROUND(INDEX(Нормативы!$D$2:$L$71,L52,M52)*100,0),6000)/100),2),INT(MOD(ROUND(INDEX(Нормативы!$D$2:$L$71,L52,M52)*100,0),6000)/100))&amp;"."&amp;RIGHT("0"&amp;MOD(ROUND(INDEX(Нормативы!$D$2:$L$71,L52,M52)*100,0),100),2)))</f>
        <v/>
      </c>
      <c r="J52" s="12" t="str">
        <f aca="false">IF(D52="","",SUMIFS('Базовые времена'!$D$2:$D$71,'Базовые времена'!$A$2:$A$71,B52,'Базовые времена'!$B$2:$B$71,C52,'Базовые времена'!$C$2:$C$71,D52))</f>
        <v/>
      </c>
      <c r="K52" s="12" t="str">
        <f aca="false">IF(E52="","",IF(ISNUMBER(E52),IF(E52&lt;1,E52*86400,E52),IFERROR(IF(ISNUMBER(FIND(":",SUBSTITUTE(TRIM(E52),",","."))),VALUE(LEFT(SUBSTITUTE(TRIM(E52),",","."),FIND(":",SUBSTITUTE(TRIM(E52),",","."))-1))*60+_xlfn.NUMBERVALUE(MID(SUBSTITUTE(TRIM(E52),",","."),FIND(":",SUBSTITUTE(TRIM(E52),",","."))+1,99),"."),_xlfn.NUMBERVALUE(SUBSTITUTE(TRIM(E52),",","."),".")),0)))</f>
        <v/>
      </c>
      <c r="L52" s="3" t="str">
        <f aca="false">IF(OR(D52="",N(K52)&lt;=0),"",IFERROR(MATCH(B52&amp;"|"&amp;C52&amp;"|"&amp;D52,Нормативы!$M$2:$M$71,0),""))</f>
        <v/>
      </c>
      <c r="M52" s="3" t="str">
        <f aca="false">IF(L52="","",SUMPRODUCT((INDEX(Нормативы!$D$2:$L$71,L52,0)&lt;K52)*ISNUMBER(INDEX(Нормативы!$D$2:$L$71,L52,0))))</f>
        <v/>
      </c>
    </row>
    <row r="53" customFormat="false" ht="15" hidden="false" customHeight="false" outlineLevel="0" collapsed="false">
      <c r="A53" s="5"/>
      <c r="B53" s="5"/>
      <c r="C53" s="5"/>
      <c r="D53" s="5"/>
      <c r="E53" s="14"/>
      <c r="F53" s="4" t="str">
        <f aca="false">IF(OR(J53="",K53="",N(J53)=0,N(K53)&lt;=0),"",ROUNDDOWN(1000*(J53/K53)^3,0))</f>
        <v/>
      </c>
      <c r="G53" s="4" t="str">
        <f aca="false">IF(M53="","",IF(M53+1&gt;COUNT(INDEX(Нормативы!$D$2:$L$71,L53,0)),"Разряда нет",INDEX(Нормативы!$D$1:$L$1,1,M53+1)))</f>
        <v/>
      </c>
      <c r="H53" s="2" t="str">
        <f aca="false">IF(M53="","",IF(M53=0,"—",INDEX(Нормативы!$D$1:$L$1,1,M53)))</f>
        <v/>
      </c>
      <c r="I53" s="7" t="str">
        <f aca="false">IF(M53="","",IF(M53=0,"",IF(INT(ROUND(INDEX(Нормативы!$D$2:$L$71,L53,M53)*100,0)/6000)&gt;0,INT(ROUND(INDEX(Нормативы!$D$2:$L$71,L53,M53)*100,0)/6000)&amp;":"&amp;RIGHT("0"&amp;INT(MOD(ROUND(INDEX(Нормативы!$D$2:$L$71,L53,M53)*100,0),6000)/100),2),INT(MOD(ROUND(INDEX(Нормативы!$D$2:$L$71,L53,M53)*100,0),6000)/100))&amp;"."&amp;RIGHT("0"&amp;MOD(ROUND(INDEX(Нормативы!$D$2:$L$71,L53,M53)*100,0),100),2)))</f>
        <v/>
      </c>
      <c r="J53" s="12" t="str">
        <f aca="false">IF(D53="","",SUMIFS('Базовые времена'!$D$2:$D$71,'Базовые времена'!$A$2:$A$71,B53,'Базовые времена'!$B$2:$B$71,C53,'Базовые времена'!$C$2:$C$71,D53))</f>
        <v/>
      </c>
      <c r="K53" s="12" t="str">
        <f aca="false">IF(E53="","",IF(ISNUMBER(E53),IF(E53&lt;1,E53*86400,E53),IFERROR(IF(ISNUMBER(FIND(":",SUBSTITUTE(TRIM(E53),",","."))),VALUE(LEFT(SUBSTITUTE(TRIM(E53),",","."),FIND(":",SUBSTITUTE(TRIM(E53),",","."))-1))*60+_xlfn.NUMBERVALUE(MID(SUBSTITUTE(TRIM(E53),",","."),FIND(":",SUBSTITUTE(TRIM(E53),",","."))+1,99),"."),_xlfn.NUMBERVALUE(SUBSTITUTE(TRIM(E53),",","."),".")),0)))</f>
        <v/>
      </c>
      <c r="L53" s="3" t="str">
        <f aca="false">IF(OR(D53="",N(K53)&lt;=0),"",IFERROR(MATCH(B53&amp;"|"&amp;C53&amp;"|"&amp;D53,Нормативы!$M$2:$M$71,0),""))</f>
        <v/>
      </c>
      <c r="M53" s="3" t="str">
        <f aca="false">IF(L53="","",SUMPRODUCT((INDEX(Нормативы!$D$2:$L$71,L53,0)&lt;K53)*ISNUMBER(INDEX(Нормативы!$D$2:$L$71,L53,0))))</f>
        <v/>
      </c>
    </row>
    <row r="54" customFormat="false" ht="15" hidden="false" customHeight="false" outlineLevel="0" collapsed="false">
      <c r="A54" s="5"/>
      <c r="B54" s="5"/>
      <c r="C54" s="5"/>
      <c r="D54" s="5"/>
      <c r="E54" s="14"/>
      <c r="F54" s="4" t="str">
        <f aca="false">IF(OR(J54="",K54="",N(J54)=0,N(K54)&lt;=0),"",ROUNDDOWN(1000*(J54/K54)^3,0))</f>
        <v/>
      </c>
      <c r="G54" s="4" t="str">
        <f aca="false">IF(M54="","",IF(M54+1&gt;COUNT(INDEX(Нормативы!$D$2:$L$71,L54,0)),"Разряда нет",INDEX(Нормативы!$D$1:$L$1,1,M54+1)))</f>
        <v/>
      </c>
      <c r="H54" s="2" t="str">
        <f aca="false">IF(M54="","",IF(M54=0,"—",INDEX(Нормативы!$D$1:$L$1,1,M54)))</f>
        <v/>
      </c>
      <c r="I54" s="7" t="str">
        <f aca="false">IF(M54="","",IF(M54=0,"",IF(INT(ROUND(INDEX(Нормативы!$D$2:$L$71,L54,M54)*100,0)/6000)&gt;0,INT(ROUND(INDEX(Нормативы!$D$2:$L$71,L54,M54)*100,0)/6000)&amp;":"&amp;RIGHT("0"&amp;INT(MOD(ROUND(INDEX(Нормативы!$D$2:$L$71,L54,M54)*100,0),6000)/100),2),INT(MOD(ROUND(INDEX(Нормативы!$D$2:$L$71,L54,M54)*100,0),6000)/100))&amp;"."&amp;RIGHT("0"&amp;MOD(ROUND(INDEX(Нормативы!$D$2:$L$71,L54,M54)*100,0),100),2)))</f>
        <v/>
      </c>
      <c r="J54" s="12" t="str">
        <f aca="false">IF(D54="","",SUMIFS('Базовые времена'!$D$2:$D$71,'Базовые времена'!$A$2:$A$71,B54,'Базовые времена'!$B$2:$B$71,C54,'Базовые времена'!$C$2:$C$71,D54))</f>
        <v/>
      </c>
      <c r="K54" s="12" t="str">
        <f aca="false">IF(E54="","",IF(ISNUMBER(E54),IF(E54&lt;1,E54*86400,E54),IFERROR(IF(ISNUMBER(FIND(":",SUBSTITUTE(TRIM(E54),",","."))),VALUE(LEFT(SUBSTITUTE(TRIM(E54),",","."),FIND(":",SUBSTITUTE(TRIM(E54),",","."))-1))*60+_xlfn.NUMBERVALUE(MID(SUBSTITUTE(TRIM(E54),",","."),FIND(":",SUBSTITUTE(TRIM(E54),",","."))+1,99),"."),_xlfn.NUMBERVALUE(SUBSTITUTE(TRIM(E54),",","."),".")),0)))</f>
        <v/>
      </c>
      <c r="L54" s="3" t="str">
        <f aca="false">IF(OR(D54="",N(K54)&lt;=0),"",IFERROR(MATCH(B54&amp;"|"&amp;C54&amp;"|"&amp;D54,Нормативы!$M$2:$M$71,0),""))</f>
        <v/>
      </c>
      <c r="M54" s="3" t="str">
        <f aca="false">IF(L54="","",SUMPRODUCT((INDEX(Нормативы!$D$2:$L$71,L54,0)&lt;K54)*ISNUMBER(INDEX(Нормативы!$D$2:$L$71,L54,0))))</f>
        <v/>
      </c>
    </row>
    <row r="55" customFormat="false" ht="15" hidden="false" customHeight="false" outlineLevel="0" collapsed="false">
      <c r="A55" s="5"/>
      <c r="B55" s="5"/>
      <c r="C55" s="5"/>
      <c r="D55" s="5"/>
      <c r="E55" s="14"/>
      <c r="F55" s="4" t="str">
        <f aca="false">IF(OR(J55="",K55="",N(J55)=0,N(K55)&lt;=0),"",ROUNDDOWN(1000*(J55/K55)^3,0))</f>
        <v/>
      </c>
      <c r="G55" s="4" t="str">
        <f aca="false">IF(M55="","",IF(M55+1&gt;COUNT(INDEX(Нормативы!$D$2:$L$71,L55,0)),"Разряда нет",INDEX(Нормативы!$D$1:$L$1,1,M55+1)))</f>
        <v/>
      </c>
      <c r="H55" s="2" t="str">
        <f aca="false">IF(M55="","",IF(M55=0,"—",INDEX(Нормативы!$D$1:$L$1,1,M55)))</f>
        <v/>
      </c>
      <c r="I55" s="7" t="str">
        <f aca="false">IF(M55="","",IF(M55=0,"",IF(INT(ROUND(INDEX(Нормативы!$D$2:$L$71,L55,M55)*100,0)/6000)&gt;0,INT(ROUND(INDEX(Нормативы!$D$2:$L$71,L55,M55)*100,0)/6000)&amp;":"&amp;RIGHT("0"&amp;INT(MOD(ROUND(INDEX(Нормативы!$D$2:$L$71,L55,M55)*100,0),6000)/100),2),INT(MOD(ROUND(INDEX(Нормативы!$D$2:$L$71,L55,M55)*100,0),6000)/100))&amp;"."&amp;RIGHT("0"&amp;MOD(ROUND(INDEX(Нормативы!$D$2:$L$71,L55,M55)*100,0),100),2)))</f>
        <v/>
      </c>
      <c r="J55" s="12" t="str">
        <f aca="false">IF(D55="","",SUMIFS('Базовые времена'!$D$2:$D$71,'Базовые времена'!$A$2:$A$71,B55,'Базовые времена'!$B$2:$B$71,C55,'Базовые времена'!$C$2:$C$71,D55))</f>
        <v/>
      </c>
      <c r="K55" s="12" t="str">
        <f aca="false">IF(E55="","",IF(ISNUMBER(E55),IF(E55&lt;1,E55*86400,E55),IFERROR(IF(ISNUMBER(FIND(":",SUBSTITUTE(TRIM(E55),",","."))),VALUE(LEFT(SUBSTITUTE(TRIM(E55),",","."),FIND(":",SUBSTITUTE(TRIM(E55),",","."))-1))*60+_xlfn.NUMBERVALUE(MID(SUBSTITUTE(TRIM(E55),",","."),FIND(":",SUBSTITUTE(TRIM(E55),",","."))+1,99),"."),_xlfn.NUMBERVALUE(SUBSTITUTE(TRIM(E55),",","."),".")),0)))</f>
        <v/>
      </c>
      <c r="L55" s="3" t="str">
        <f aca="false">IF(OR(D55="",N(K55)&lt;=0),"",IFERROR(MATCH(B55&amp;"|"&amp;C55&amp;"|"&amp;D55,Нормативы!$M$2:$M$71,0),""))</f>
        <v/>
      </c>
      <c r="M55" s="3" t="str">
        <f aca="false">IF(L55="","",SUMPRODUCT((INDEX(Нормативы!$D$2:$L$71,L55,0)&lt;K55)*ISNUMBER(INDEX(Нормативы!$D$2:$L$71,L55,0))))</f>
        <v/>
      </c>
    </row>
    <row r="56" customFormat="false" ht="15" hidden="false" customHeight="false" outlineLevel="0" collapsed="false">
      <c r="A56" s="5"/>
      <c r="B56" s="5"/>
      <c r="C56" s="5"/>
      <c r="D56" s="5"/>
      <c r="E56" s="14"/>
      <c r="F56" s="4" t="str">
        <f aca="false">IF(OR(J56="",K56="",N(J56)=0,N(K56)&lt;=0),"",ROUNDDOWN(1000*(J56/K56)^3,0))</f>
        <v/>
      </c>
      <c r="G56" s="4" t="str">
        <f aca="false">IF(M56="","",IF(M56+1&gt;COUNT(INDEX(Нормативы!$D$2:$L$71,L56,0)),"Разряда нет",INDEX(Нормативы!$D$1:$L$1,1,M56+1)))</f>
        <v/>
      </c>
      <c r="H56" s="2" t="str">
        <f aca="false">IF(M56="","",IF(M56=0,"—",INDEX(Нормативы!$D$1:$L$1,1,M56)))</f>
        <v/>
      </c>
      <c r="I56" s="7" t="str">
        <f aca="false">IF(M56="","",IF(M56=0,"",IF(INT(ROUND(INDEX(Нормативы!$D$2:$L$71,L56,M56)*100,0)/6000)&gt;0,INT(ROUND(INDEX(Нормативы!$D$2:$L$71,L56,M56)*100,0)/6000)&amp;":"&amp;RIGHT("0"&amp;INT(MOD(ROUND(INDEX(Нормативы!$D$2:$L$71,L56,M56)*100,0),6000)/100),2),INT(MOD(ROUND(INDEX(Нормативы!$D$2:$L$71,L56,M56)*100,0),6000)/100))&amp;"."&amp;RIGHT("0"&amp;MOD(ROUND(INDEX(Нормативы!$D$2:$L$71,L56,M56)*100,0),100),2)))</f>
        <v/>
      </c>
      <c r="J56" s="12" t="str">
        <f aca="false">IF(D56="","",SUMIFS('Базовые времена'!$D$2:$D$71,'Базовые времена'!$A$2:$A$71,B56,'Базовые времена'!$B$2:$B$71,C56,'Базовые времена'!$C$2:$C$71,D56))</f>
        <v/>
      </c>
      <c r="K56" s="12" t="str">
        <f aca="false">IF(E56="","",IF(ISNUMBER(E56),IF(E56&lt;1,E56*86400,E56),IFERROR(IF(ISNUMBER(FIND(":",SUBSTITUTE(TRIM(E56),",","."))),VALUE(LEFT(SUBSTITUTE(TRIM(E56),",","."),FIND(":",SUBSTITUTE(TRIM(E56),",","."))-1))*60+_xlfn.NUMBERVALUE(MID(SUBSTITUTE(TRIM(E56),",","."),FIND(":",SUBSTITUTE(TRIM(E56),",","."))+1,99),"."),_xlfn.NUMBERVALUE(SUBSTITUTE(TRIM(E56),",","."),".")),0)))</f>
        <v/>
      </c>
      <c r="L56" s="3" t="str">
        <f aca="false">IF(OR(D56="",N(K56)&lt;=0),"",IFERROR(MATCH(B56&amp;"|"&amp;C56&amp;"|"&amp;D56,Нормативы!$M$2:$M$71,0),""))</f>
        <v/>
      </c>
      <c r="M56" s="3" t="str">
        <f aca="false">IF(L56="","",SUMPRODUCT((INDEX(Нормативы!$D$2:$L$71,L56,0)&lt;K56)*ISNUMBER(INDEX(Нормативы!$D$2:$L$71,L56,0))))</f>
        <v/>
      </c>
    </row>
    <row r="57" customFormat="false" ht="15" hidden="false" customHeight="false" outlineLevel="0" collapsed="false">
      <c r="A57" s="5"/>
      <c r="B57" s="5"/>
      <c r="C57" s="5"/>
      <c r="D57" s="5"/>
      <c r="E57" s="14"/>
      <c r="F57" s="4" t="str">
        <f aca="false">IF(OR(J57="",K57="",N(J57)=0,N(K57)&lt;=0),"",ROUNDDOWN(1000*(J57/K57)^3,0))</f>
        <v/>
      </c>
      <c r="G57" s="4" t="str">
        <f aca="false">IF(M57="","",IF(M57+1&gt;COUNT(INDEX(Нормативы!$D$2:$L$71,L57,0)),"Разряда нет",INDEX(Нормативы!$D$1:$L$1,1,M57+1)))</f>
        <v/>
      </c>
      <c r="H57" s="2" t="str">
        <f aca="false">IF(M57="","",IF(M57=0,"—",INDEX(Нормативы!$D$1:$L$1,1,M57)))</f>
        <v/>
      </c>
      <c r="I57" s="7" t="str">
        <f aca="false">IF(M57="","",IF(M57=0,"",IF(INT(ROUND(INDEX(Нормативы!$D$2:$L$71,L57,M57)*100,0)/6000)&gt;0,INT(ROUND(INDEX(Нормативы!$D$2:$L$71,L57,M57)*100,0)/6000)&amp;":"&amp;RIGHT("0"&amp;INT(MOD(ROUND(INDEX(Нормативы!$D$2:$L$71,L57,M57)*100,0),6000)/100),2),INT(MOD(ROUND(INDEX(Нормативы!$D$2:$L$71,L57,M57)*100,0),6000)/100))&amp;"."&amp;RIGHT("0"&amp;MOD(ROUND(INDEX(Нормативы!$D$2:$L$71,L57,M57)*100,0),100),2)))</f>
        <v/>
      </c>
      <c r="J57" s="12" t="str">
        <f aca="false">IF(D57="","",SUMIFS('Базовые времена'!$D$2:$D$71,'Базовые времена'!$A$2:$A$71,B57,'Базовые времена'!$B$2:$B$71,C57,'Базовые времена'!$C$2:$C$71,D57))</f>
        <v/>
      </c>
      <c r="K57" s="12" t="str">
        <f aca="false">IF(E57="","",IF(ISNUMBER(E57),IF(E57&lt;1,E57*86400,E57),IFERROR(IF(ISNUMBER(FIND(":",SUBSTITUTE(TRIM(E57),",","."))),VALUE(LEFT(SUBSTITUTE(TRIM(E57),",","."),FIND(":",SUBSTITUTE(TRIM(E57),",","."))-1))*60+_xlfn.NUMBERVALUE(MID(SUBSTITUTE(TRIM(E57),",","."),FIND(":",SUBSTITUTE(TRIM(E57),",","."))+1,99),"."),_xlfn.NUMBERVALUE(SUBSTITUTE(TRIM(E57),",","."),".")),0)))</f>
        <v/>
      </c>
      <c r="L57" s="3" t="str">
        <f aca="false">IF(OR(D57="",N(K57)&lt;=0),"",IFERROR(MATCH(B57&amp;"|"&amp;C57&amp;"|"&amp;D57,Нормативы!$M$2:$M$71,0),""))</f>
        <v/>
      </c>
      <c r="M57" s="3" t="str">
        <f aca="false">IF(L57="","",SUMPRODUCT((INDEX(Нормативы!$D$2:$L$71,L57,0)&lt;K57)*ISNUMBER(INDEX(Нормативы!$D$2:$L$71,L57,0))))</f>
        <v/>
      </c>
    </row>
    <row r="58" customFormat="false" ht="15" hidden="false" customHeight="false" outlineLevel="0" collapsed="false">
      <c r="A58" s="5"/>
      <c r="B58" s="5"/>
      <c r="C58" s="5"/>
      <c r="D58" s="5"/>
      <c r="E58" s="14"/>
      <c r="F58" s="4" t="str">
        <f aca="false">IF(OR(J58="",K58="",N(J58)=0,N(K58)&lt;=0),"",ROUNDDOWN(1000*(J58/K58)^3,0))</f>
        <v/>
      </c>
      <c r="G58" s="4" t="str">
        <f aca="false">IF(M58="","",IF(M58+1&gt;COUNT(INDEX(Нормативы!$D$2:$L$71,L58,0)),"Разряда нет",INDEX(Нормативы!$D$1:$L$1,1,M58+1)))</f>
        <v/>
      </c>
      <c r="H58" s="2" t="str">
        <f aca="false">IF(M58="","",IF(M58=0,"—",INDEX(Нормативы!$D$1:$L$1,1,M58)))</f>
        <v/>
      </c>
      <c r="I58" s="7" t="str">
        <f aca="false">IF(M58="","",IF(M58=0,"",IF(INT(ROUND(INDEX(Нормативы!$D$2:$L$71,L58,M58)*100,0)/6000)&gt;0,INT(ROUND(INDEX(Нормативы!$D$2:$L$71,L58,M58)*100,0)/6000)&amp;":"&amp;RIGHT("0"&amp;INT(MOD(ROUND(INDEX(Нормативы!$D$2:$L$71,L58,M58)*100,0),6000)/100),2),INT(MOD(ROUND(INDEX(Нормативы!$D$2:$L$71,L58,M58)*100,0),6000)/100))&amp;"."&amp;RIGHT("0"&amp;MOD(ROUND(INDEX(Нормативы!$D$2:$L$71,L58,M58)*100,0),100),2)))</f>
        <v/>
      </c>
      <c r="J58" s="12" t="str">
        <f aca="false">IF(D58="","",SUMIFS('Базовые времена'!$D$2:$D$71,'Базовые времена'!$A$2:$A$71,B58,'Базовые времена'!$B$2:$B$71,C58,'Базовые времена'!$C$2:$C$71,D58))</f>
        <v/>
      </c>
      <c r="K58" s="12" t="str">
        <f aca="false">IF(E58="","",IF(ISNUMBER(E58),IF(E58&lt;1,E58*86400,E58),IFERROR(IF(ISNUMBER(FIND(":",SUBSTITUTE(TRIM(E58),",","."))),VALUE(LEFT(SUBSTITUTE(TRIM(E58),",","."),FIND(":",SUBSTITUTE(TRIM(E58),",","."))-1))*60+_xlfn.NUMBERVALUE(MID(SUBSTITUTE(TRIM(E58),",","."),FIND(":",SUBSTITUTE(TRIM(E58),",","."))+1,99),"."),_xlfn.NUMBERVALUE(SUBSTITUTE(TRIM(E58),",","."),".")),0)))</f>
        <v/>
      </c>
      <c r="L58" s="3" t="str">
        <f aca="false">IF(OR(D58="",N(K58)&lt;=0),"",IFERROR(MATCH(B58&amp;"|"&amp;C58&amp;"|"&amp;D58,Нормативы!$M$2:$M$71,0),""))</f>
        <v/>
      </c>
      <c r="M58" s="3" t="str">
        <f aca="false">IF(L58="","",SUMPRODUCT((INDEX(Нормативы!$D$2:$L$71,L58,0)&lt;K58)*ISNUMBER(INDEX(Нормативы!$D$2:$L$71,L58,0))))</f>
        <v/>
      </c>
    </row>
    <row r="59" customFormat="false" ht="15" hidden="false" customHeight="false" outlineLevel="0" collapsed="false">
      <c r="A59" s="5"/>
      <c r="B59" s="5"/>
      <c r="C59" s="5"/>
      <c r="D59" s="5"/>
      <c r="E59" s="14"/>
      <c r="F59" s="4" t="str">
        <f aca="false">IF(OR(J59="",K59="",N(J59)=0,N(K59)&lt;=0),"",ROUNDDOWN(1000*(J59/K59)^3,0))</f>
        <v/>
      </c>
      <c r="G59" s="4" t="str">
        <f aca="false">IF(M59="","",IF(M59+1&gt;COUNT(INDEX(Нормативы!$D$2:$L$71,L59,0)),"Разряда нет",INDEX(Нормативы!$D$1:$L$1,1,M59+1)))</f>
        <v/>
      </c>
      <c r="H59" s="2" t="str">
        <f aca="false">IF(M59="","",IF(M59=0,"—",INDEX(Нормативы!$D$1:$L$1,1,M59)))</f>
        <v/>
      </c>
      <c r="I59" s="7" t="str">
        <f aca="false">IF(M59="","",IF(M59=0,"",IF(INT(ROUND(INDEX(Нормативы!$D$2:$L$71,L59,M59)*100,0)/6000)&gt;0,INT(ROUND(INDEX(Нормативы!$D$2:$L$71,L59,M59)*100,0)/6000)&amp;":"&amp;RIGHT("0"&amp;INT(MOD(ROUND(INDEX(Нормативы!$D$2:$L$71,L59,M59)*100,0),6000)/100),2),INT(MOD(ROUND(INDEX(Нормативы!$D$2:$L$71,L59,M59)*100,0),6000)/100))&amp;"."&amp;RIGHT("0"&amp;MOD(ROUND(INDEX(Нормативы!$D$2:$L$71,L59,M59)*100,0),100),2)))</f>
        <v/>
      </c>
      <c r="J59" s="12" t="str">
        <f aca="false">IF(D59="","",SUMIFS('Базовые времена'!$D$2:$D$71,'Базовые времена'!$A$2:$A$71,B59,'Базовые времена'!$B$2:$B$71,C59,'Базовые времена'!$C$2:$C$71,D59))</f>
        <v/>
      </c>
      <c r="K59" s="12" t="str">
        <f aca="false">IF(E59="","",IF(ISNUMBER(E59),IF(E59&lt;1,E59*86400,E59),IFERROR(IF(ISNUMBER(FIND(":",SUBSTITUTE(TRIM(E59),",","."))),VALUE(LEFT(SUBSTITUTE(TRIM(E59),",","."),FIND(":",SUBSTITUTE(TRIM(E59),",","."))-1))*60+_xlfn.NUMBERVALUE(MID(SUBSTITUTE(TRIM(E59),",","."),FIND(":",SUBSTITUTE(TRIM(E59),",","."))+1,99),"."),_xlfn.NUMBERVALUE(SUBSTITUTE(TRIM(E59),",","."),".")),0)))</f>
        <v/>
      </c>
      <c r="L59" s="3" t="str">
        <f aca="false">IF(OR(D59="",N(K59)&lt;=0),"",IFERROR(MATCH(B59&amp;"|"&amp;C59&amp;"|"&amp;D59,Нормативы!$M$2:$M$71,0),""))</f>
        <v/>
      </c>
      <c r="M59" s="3" t="str">
        <f aca="false">IF(L59="","",SUMPRODUCT((INDEX(Нормативы!$D$2:$L$71,L59,0)&lt;K59)*ISNUMBER(INDEX(Нормативы!$D$2:$L$71,L59,0))))</f>
        <v/>
      </c>
    </row>
    <row r="60" customFormat="false" ht="15" hidden="false" customHeight="false" outlineLevel="0" collapsed="false">
      <c r="A60" s="5"/>
      <c r="B60" s="5"/>
      <c r="C60" s="5"/>
      <c r="D60" s="5"/>
      <c r="E60" s="14"/>
      <c r="F60" s="4" t="str">
        <f aca="false">IF(OR(J60="",K60="",N(J60)=0,N(K60)&lt;=0),"",ROUNDDOWN(1000*(J60/K60)^3,0))</f>
        <v/>
      </c>
      <c r="G60" s="4" t="str">
        <f aca="false">IF(M60="","",IF(M60+1&gt;COUNT(INDEX(Нормативы!$D$2:$L$71,L60,0)),"Разряда нет",INDEX(Нормативы!$D$1:$L$1,1,M60+1)))</f>
        <v/>
      </c>
      <c r="H60" s="2" t="str">
        <f aca="false">IF(M60="","",IF(M60=0,"—",INDEX(Нормативы!$D$1:$L$1,1,M60)))</f>
        <v/>
      </c>
      <c r="I60" s="7" t="str">
        <f aca="false">IF(M60="","",IF(M60=0,"",IF(INT(ROUND(INDEX(Нормативы!$D$2:$L$71,L60,M60)*100,0)/6000)&gt;0,INT(ROUND(INDEX(Нормативы!$D$2:$L$71,L60,M60)*100,0)/6000)&amp;":"&amp;RIGHT("0"&amp;INT(MOD(ROUND(INDEX(Нормативы!$D$2:$L$71,L60,M60)*100,0),6000)/100),2),INT(MOD(ROUND(INDEX(Нормативы!$D$2:$L$71,L60,M60)*100,0),6000)/100))&amp;"."&amp;RIGHT("0"&amp;MOD(ROUND(INDEX(Нормативы!$D$2:$L$71,L60,M60)*100,0),100),2)))</f>
        <v/>
      </c>
      <c r="J60" s="12" t="str">
        <f aca="false">IF(D60="","",SUMIFS('Базовые времена'!$D$2:$D$71,'Базовые времена'!$A$2:$A$71,B60,'Базовые времена'!$B$2:$B$71,C60,'Базовые времена'!$C$2:$C$71,D60))</f>
        <v/>
      </c>
      <c r="K60" s="12" t="str">
        <f aca="false">IF(E60="","",IF(ISNUMBER(E60),IF(E60&lt;1,E60*86400,E60),IFERROR(IF(ISNUMBER(FIND(":",SUBSTITUTE(TRIM(E60),",","."))),VALUE(LEFT(SUBSTITUTE(TRIM(E60),",","."),FIND(":",SUBSTITUTE(TRIM(E60),",","."))-1))*60+_xlfn.NUMBERVALUE(MID(SUBSTITUTE(TRIM(E60),",","."),FIND(":",SUBSTITUTE(TRIM(E60),",","."))+1,99),"."),_xlfn.NUMBERVALUE(SUBSTITUTE(TRIM(E60),",","."),".")),0)))</f>
        <v/>
      </c>
      <c r="L60" s="3" t="str">
        <f aca="false">IF(OR(D60="",N(K60)&lt;=0),"",IFERROR(MATCH(B60&amp;"|"&amp;C60&amp;"|"&amp;D60,Нормативы!$M$2:$M$71,0),""))</f>
        <v/>
      </c>
      <c r="M60" s="3" t="str">
        <f aca="false">IF(L60="","",SUMPRODUCT((INDEX(Нормативы!$D$2:$L$71,L60,0)&lt;K60)*ISNUMBER(INDEX(Нормативы!$D$2:$L$71,L60,0))))</f>
        <v/>
      </c>
    </row>
    <row r="61" customFormat="false" ht="15" hidden="false" customHeight="false" outlineLevel="0" collapsed="false">
      <c r="A61" s="5"/>
      <c r="B61" s="5"/>
      <c r="C61" s="5"/>
      <c r="D61" s="5"/>
      <c r="E61" s="14"/>
      <c r="F61" s="4" t="str">
        <f aca="false">IF(OR(J61="",K61="",N(J61)=0,N(K61)&lt;=0),"",ROUNDDOWN(1000*(J61/K61)^3,0))</f>
        <v/>
      </c>
      <c r="G61" s="4" t="str">
        <f aca="false">IF(M61="","",IF(M61+1&gt;COUNT(INDEX(Нормативы!$D$2:$L$71,L61,0)),"Разряда нет",INDEX(Нормативы!$D$1:$L$1,1,M61+1)))</f>
        <v/>
      </c>
      <c r="H61" s="2" t="str">
        <f aca="false">IF(M61="","",IF(M61=0,"—",INDEX(Нормативы!$D$1:$L$1,1,M61)))</f>
        <v/>
      </c>
      <c r="I61" s="7" t="str">
        <f aca="false">IF(M61="","",IF(M61=0,"",IF(INT(ROUND(INDEX(Нормативы!$D$2:$L$71,L61,M61)*100,0)/6000)&gt;0,INT(ROUND(INDEX(Нормативы!$D$2:$L$71,L61,M61)*100,0)/6000)&amp;":"&amp;RIGHT("0"&amp;INT(MOD(ROUND(INDEX(Нормативы!$D$2:$L$71,L61,M61)*100,0),6000)/100),2),INT(MOD(ROUND(INDEX(Нормативы!$D$2:$L$71,L61,M61)*100,0),6000)/100))&amp;"."&amp;RIGHT("0"&amp;MOD(ROUND(INDEX(Нормативы!$D$2:$L$71,L61,M61)*100,0),100),2)))</f>
        <v/>
      </c>
      <c r="J61" s="12" t="str">
        <f aca="false">IF(D61="","",SUMIFS('Базовые времена'!$D$2:$D$71,'Базовые времена'!$A$2:$A$71,B61,'Базовые времена'!$B$2:$B$71,C61,'Базовые времена'!$C$2:$C$71,D61))</f>
        <v/>
      </c>
      <c r="K61" s="12" t="str">
        <f aca="false">IF(E61="","",IF(ISNUMBER(E61),IF(E61&lt;1,E61*86400,E61),IFERROR(IF(ISNUMBER(FIND(":",SUBSTITUTE(TRIM(E61),",","."))),VALUE(LEFT(SUBSTITUTE(TRIM(E61),",","."),FIND(":",SUBSTITUTE(TRIM(E61),",","."))-1))*60+_xlfn.NUMBERVALUE(MID(SUBSTITUTE(TRIM(E61),",","."),FIND(":",SUBSTITUTE(TRIM(E61),",","."))+1,99),"."),_xlfn.NUMBERVALUE(SUBSTITUTE(TRIM(E61),",","."),".")),0)))</f>
        <v/>
      </c>
      <c r="L61" s="3" t="str">
        <f aca="false">IF(OR(D61="",N(K61)&lt;=0),"",IFERROR(MATCH(B61&amp;"|"&amp;C61&amp;"|"&amp;D61,Нормативы!$M$2:$M$71,0),""))</f>
        <v/>
      </c>
      <c r="M61" s="3" t="str">
        <f aca="false">IF(L61="","",SUMPRODUCT((INDEX(Нормативы!$D$2:$L$71,L61,0)&lt;K61)*ISNUMBER(INDEX(Нормативы!$D$2:$L$71,L61,0))))</f>
        <v/>
      </c>
    </row>
    <row r="62" customFormat="false" ht="15" hidden="false" customHeight="false" outlineLevel="0" collapsed="false">
      <c r="A62" s="5"/>
      <c r="B62" s="5"/>
      <c r="C62" s="5"/>
      <c r="D62" s="5"/>
      <c r="E62" s="14"/>
      <c r="F62" s="4" t="str">
        <f aca="false">IF(OR(J62="",K62="",N(J62)=0,N(K62)&lt;=0),"",ROUNDDOWN(1000*(J62/K62)^3,0))</f>
        <v/>
      </c>
      <c r="G62" s="4" t="str">
        <f aca="false">IF(M62="","",IF(M62+1&gt;COUNT(INDEX(Нормативы!$D$2:$L$71,L62,0)),"Разряда нет",INDEX(Нормативы!$D$1:$L$1,1,M62+1)))</f>
        <v/>
      </c>
      <c r="H62" s="2" t="str">
        <f aca="false">IF(M62="","",IF(M62=0,"—",INDEX(Нормативы!$D$1:$L$1,1,M62)))</f>
        <v/>
      </c>
      <c r="I62" s="7" t="str">
        <f aca="false">IF(M62="","",IF(M62=0,"",IF(INT(ROUND(INDEX(Нормативы!$D$2:$L$71,L62,M62)*100,0)/6000)&gt;0,INT(ROUND(INDEX(Нормативы!$D$2:$L$71,L62,M62)*100,0)/6000)&amp;":"&amp;RIGHT("0"&amp;INT(MOD(ROUND(INDEX(Нормативы!$D$2:$L$71,L62,M62)*100,0),6000)/100),2),INT(MOD(ROUND(INDEX(Нормативы!$D$2:$L$71,L62,M62)*100,0),6000)/100))&amp;"."&amp;RIGHT("0"&amp;MOD(ROUND(INDEX(Нормативы!$D$2:$L$71,L62,M62)*100,0),100),2)))</f>
        <v/>
      </c>
      <c r="J62" s="12" t="str">
        <f aca="false">IF(D62="","",SUMIFS('Базовые времена'!$D$2:$D$71,'Базовые времена'!$A$2:$A$71,B62,'Базовые времена'!$B$2:$B$71,C62,'Базовые времена'!$C$2:$C$71,D62))</f>
        <v/>
      </c>
      <c r="K62" s="12" t="str">
        <f aca="false">IF(E62="","",IF(ISNUMBER(E62),IF(E62&lt;1,E62*86400,E62),IFERROR(IF(ISNUMBER(FIND(":",SUBSTITUTE(TRIM(E62),",","."))),VALUE(LEFT(SUBSTITUTE(TRIM(E62),",","."),FIND(":",SUBSTITUTE(TRIM(E62),",","."))-1))*60+_xlfn.NUMBERVALUE(MID(SUBSTITUTE(TRIM(E62),",","."),FIND(":",SUBSTITUTE(TRIM(E62),",","."))+1,99),"."),_xlfn.NUMBERVALUE(SUBSTITUTE(TRIM(E62),",","."),".")),0)))</f>
        <v/>
      </c>
      <c r="L62" s="3" t="str">
        <f aca="false">IF(OR(D62="",N(K62)&lt;=0),"",IFERROR(MATCH(B62&amp;"|"&amp;C62&amp;"|"&amp;D62,Нормативы!$M$2:$M$71,0),""))</f>
        <v/>
      </c>
      <c r="M62" s="3" t="str">
        <f aca="false">IF(L62="","",SUMPRODUCT((INDEX(Нормативы!$D$2:$L$71,L62,0)&lt;K62)*ISNUMBER(INDEX(Нормативы!$D$2:$L$71,L62,0))))</f>
        <v/>
      </c>
    </row>
    <row r="63" customFormat="false" ht="15" hidden="false" customHeight="false" outlineLevel="0" collapsed="false">
      <c r="A63" s="5"/>
      <c r="B63" s="5"/>
      <c r="C63" s="5"/>
      <c r="D63" s="5"/>
      <c r="E63" s="14"/>
      <c r="F63" s="4" t="str">
        <f aca="false">IF(OR(J63="",K63="",N(J63)=0,N(K63)&lt;=0),"",ROUNDDOWN(1000*(J63/K63)^3,0))</f>
        <v/>
      </c>
      <c r="G63" s="4" t="str">
        <f aca="false">IF(M63="","",IF(M63+1&gt;COUNT(INDEX(Нормативы!$D$2:$L$71,L63,0)),"Разряда нет",INDEX(Нормативы!$D$1:$L$1,1,M63+1)))</f>
        <v/>
      </c>
      <c r="H63" s="2" t="str">
        <f aca="false">IF(M63="","",IF(M63=0,"—",INDEX(Нормативы!$D$1:$L$1,1,M63)))</f>
        <v/>
      </c>
      <c r="I63" s="7" t="str">
        <f aca="false">IF(M63="","",IF(M63=0,"",IF(INT(ROUND(INDEX(Нормативы!$D$2:$L$71,L63,M63)*100,0)/6000)&gt;0,INT(ROUND(INDEX(Нормативы!$D$2:$L$71,L63,M63)*100,0)/6000)&amp;":"&amp;RIGHT("0"&amp;INT(MOD(ROUND(INDEX(Нормативы!$D$2:$L$71,L63,M63)*100,0),6000)/100),2),INT(MOD(ROUND(INDEX(Нормативы!$D$2:$L$71,L63,M63)*100,0),6000)/100))&amp;"."&amp;RIGHT("0"&amp;MOD(ROUND(INDEX(Нормативы!$D$2:$L$71,L63,M63)*100,0),100),2)))</f>
        <v/>
      </c>
      <c r="J63" s="12" t="str">
        <f aca="false">IF(D63="","",SUMIFS('Базовые времена'!$D$2:$D$71,'Базовые времена'!$A$2:$A$71,B63,'Базовые времена'!$B$2:$B$71,C63,'Базовые времена'!$C$2:$C$71,D63))</f>
        <v/>
      </c>
      <c r="K63" s="12" t="str">
        <f aca="false">IF(E63="","",IF(ISNUMBER(E63),IF(E63&lt;1,E63*86400,E63),IFERROR(IF(ISNUMBER(FIND(":",SUBSTITUTE(TRIM(E63),",","."))),VALUE(LEFT(SUBSTITUTE(TRIM(E63),",","."),FIND(":",SUBSTITUTE(TRIM(E63),",","."))-1))*60+_xlfn.NUMBERVALUE(MID(SUBSTITUTE(TRIM(E63),",","."),FIND(":",SUBSTITUTE(TRIM(E63),",","."))+1,99),"."),_xlfn.NUMBERVALUE(SUBSTITUTE(TRIM(E63),",","."),".")),0)))</f>
        <v/>
      </c>
      <c r="L63" s="3" t="str">
        <f aca="false">IF(OR(D63="",N(K63)&lt;=0),"",IFERROR(MATCH(B63&amp;"|"&amp;C63&amp;"|"&amp;D63,Нормативы!$M$2:$M$71,0),""))</f>
        <v/>
      </c>
      <c r="M63" s="3" t="str">
        <f aca="false">IF(L63="","",SUMPRODUCT((INDEX(Нормативы!$D$2:$L$71,L63,0)&lt;K63)*ISNUMBER(INDEX(Нормативы!$D$2:$L$71,L63,0))))</f>
        <v/>
      </c>
    </row>
    <row r="64" customFormat="false" ht="15" hidden="false" customHeight="false" outlineLevel="0" collapsed="false">
      <c r="A64" s="5"/>
      <c r="B64" s="5"/>
      <c r="C64" s="5"/>
      <c r="D64" s="5"/>
      <c r="E64" s="14"/>
      <c r="F64" s="4" t="str">
        <f aca="false">IF(OR(J64="",K64="",N(J64)=0,N(K64)&lt;=0),"",ROUNDDOWN(1000*(J64/K64)^3,0))</f>
        <v/>
      </c>
      <c r="G64" s="4" t="str">
        <f aca="false">IF(M64="","",IF(M64+1&gt;COUNT(INDEX(Нормативы!$D$2:$L$71,L64,0)),"Разряда нет",INDEX(Нормативы!$D$1:$L$1,1,M64+1)))</f>
        <v/>
      </c>
      <c r="H64" s="2" t="str">
        <f aca="false">IF(M64="","",IF(M64=0,"—",INDEX(Нормативы!$D$1:$L$1,1,M64)))</f>
        <v/>
      </c>
      <c r="I64" s="7" t="str">
        <f aca="false">IF(M64="","",IF(M64=0,"",IF(INT(ROUND(INDEX(Нормативы!$D$2:$L$71,L64,M64)*100,0)/6000)&gt;0,INT(ROUND(INDEX(Нормативы!$D$2:$L$71,L64,M64)*100,0)/6000)&amp;":"&amp;RIGHT("0"&amp;INT(MOD(ROUND(INDEX(Нормативы!$D$2:$L$71,L64,M64)*100,0),6000)/100),2),INT(MOD(ROUND(INDEX(Нормативы!$D$2:$L$71,L64,M64)*100,0),6000)/100))&amp;"."&amp;RIGHT("0"&amp;MOD(ROUND(INDEX(Нормативы!$D$2:$L$71,L64,M64)*100,0),100),2)))</f>
        <v/>
      </c>
      <c r="J64" s="12" t="str">
        <f aca="false">IF(D64="","",SUMIFS('Базовые времена'!$D$2:$D$71,'Базовые времена'!$A$2:$A$71,B64,'Базовые времена'!$B$2:$B$71,C64,'Базовые времена'!$C$2:$C$71,D64))</f>
        <v/>
      </c>
      <c r="K64" s="12" t="str">
        <f aca="false">IF(E64="","",IF(ISNUMBER(E64),IF(E64&lt;1,E64*86400,E64),IFERROR(IF(ISNUMBER(FIND(":",SUBSTITUTE(TRIM(E64),",","."))),VALUE(LEFT(SUBSTITUTE(TRIM(E64),",","."),FIND(":",SUBSTITUTE(TRIM(E64),",","."))-1))*60+_xlfn.NUMBERVALUE(MID(SUBSTITUTE(TRIM(E64),",","."),FIND(":",SUBSTITUTE(TRIM(E64),",","."))+1,99),"."),_xlfn.NUMBERVALUE(SUBSTITUTE(TRIM(E64),",","."),".")),0)))</f>
        <v/>
      </c>
      <c r="L64" s="3" t="str">
        <f aca="false">IF(OR(D64="",N(K64)&lt;=0),"",IFERROR(MATCH(B64&amp;"|"&amp;C64&amp;"|"&amp;D64,Нормативы!$M$2:$M$71,0),""))</f>
        <v/>
      </c>
      <c r="M64" s="3" t="str">
        <f aca="false">IF(L64="","",SUMPRODUCT((INDEX(Нормативы!$D$2:$L$71,L64,0)&lt;K64)*ISNUMBER(INDEX(Нормативы!$D$2:$L$71,L64,0))))</f>
        <v/>
      </c>
    </row>
    <row r="65" customFormat="false" ht="15" hidden="false" customHeight="false" outlineLevel="0" collapsed="false">
      <c r="A65" s="5"/>
      <c r="B65" s="5"/>
      <c r="C65" s="5"/>
      <c r="D65" s="5"/>
      <c r="E65" s="14"/>
      <c r="F65" s="4" t="str">
        <f aca="false">IF(OR(J65="",K65="",N(J65)=0,N(K65)&lt;=0),"",ROUNDDOWN(1000*(J65/K65)^3,0))</f>
        <v/>
      </c>
      <c r="G65" s="4" t="str">
        <f aca="false">IF(M65="","",IF(M65+1&gt;COUNT(INDEX(Нормативы!$D$2:$L$71,L65,0)),"Разряда нет",INDEX(Нормативы!$D$1:$L$1,1,M65+1)))</f>
        <v/>
      </c>
      <c r="H65" s="2" t="str">
        <f aca="false">IF(M65="","",IF(M65=0,"—",INDEX(Нормативы!$D$1:$L$1,1,M65)))</f>
        <v/>
      </c>
      <c r="I65" s="7" t="str">
        <f aca="false">IF(M65="","",IF(M65=0,"",IF(INT(ROUND(INDEX(Нормативы!$D$2:$L$71,L65,M65)*100,0)/6000)&gt;0,INT(ROUND(INDEX(Нормативы!$D$2:$L$71,L65,M65)*100,0)/6000)&amp;":"&amp;RIGHT("0"&amp;INT(MOD(ROUND(INDEX(Нормативы!$D$2:$L$71,L65,M65)*100,0),6000)/100),2),INT(MOD(ROUND(INDEX(Нормативы!$D$2:$L$71,L65,M65)*100,0),6000)/100))&amp;"."&amp;RIGHT("0"&amp;MOD(ROUND(INDEX(Нормативы!$D$2:$L$71,L65,M65)*100,0),100),2)))</f>
        <v/>
      </c>
      <c r="J65" s="12" t="str">
        <f aca="false">IF(D65="","",SUMIFS('Базовые времена'!$D$2:$D$71,'Базовые времена'!$A$2:$A$71,B65,'Базовые времена'!$B$2:$B$71,C65,'Базовые времена'!$C$2:$C$71,D65))</f>
        <v/>
      </c>
      <c r="K65" s="12" t="str">
        <f aca="false">IF(E65="","",IF(ISNUMBER(E65),IF(E65&lt;1,E65*86400,E65),IFERROR(IF(ISNUMBER(FIND(":",SUBSTITUTE(TRIM(E65),",","."))),VALUE(LEFT(SUBSTITUTE(TRIM(E65),",","."),FIND(":",SUBSTITUTE(TRIM(E65),",","."))-1))*60+_xlfn.NUMBERVALUE(MID(SUBSTITUTE(TRIM(E65),",","."),FIND(":",SUBSTITUTE(TRIM(E65),",","."))+1,99),"."),_xlfn.NUMBERVALUE(SUBSTITUTE(TRIM(E65),",","."),".")),0)))</f>
        <v/>
      </c>
      <c r="L65" s="3" t="str">
        <f aca="false">IF(OR(D65="",N(K65)&lt;=0),"",IFERROR(MATCH(B65&amp;"|"&amp;C65&amp;"|"&amp;D65,Нормативы!$M$2:$M$71,0),""))</f>
        <v/>
      </c>
      <c r="M65" s="3" t="str">
        <f aca="false">IF(L65="","",SUMPRODUCT((INDEX(Нормативы!$D$2:$L$71,L65,0)&lt;K65)*ISNUMBER(INDEX(Нормативы!$D$2:$L$71,L65,0))))</f>
        <v/>
      </c>
    </row>
    <row r="66" customFormat="false" ht="15" hidden="false" customHeight="false" outlineLevel="0" collapsed="false">
      <c r="A66" s="5"/>
      <c r="B66" s="5"/>
      <c r="C66" s="5"/>
      <c r="D66" s="5"/>
      <c r="E66" s="14"/>
      <c r="F66" s="4" t="str">
        <f aca="false">IF(OR(J66="",K66="",N(J66)=0,N(K66)&lt;=0),"",ROUNDDOWN(1000*(J66/K66)^3,0))</f>
        <v/>
      </c>
      <c r="G66" s="4" t="str">
        <f aca="false">IF(M66="","",IF(M66+1&gt;COUNT(INDEX(Нормативы!$D$2:$L$71,L66,0)),"Разряда нет",INDEX(Нормативы!$D$1:$L$1,1,M66+1)))</f>
        <v/>
      </c>
      <c r="H66" s="2" t="str">
        <f aca="false">IF(M66="","",IF(M66=0,"—",INDEX(Нормативы!$D$1:$L$1,1,M66)))</f>
        <v/>
      </c>
      <c r="I66" s="7" t="str">
        <f aca="false">IF(M66="","",IF(M66=0,"",IF(INT(ROUND(INDEX(Нормативы!$D$2:$L$71,L66,M66)*100,0)/6000)&gt;0,INT(ROUND(INDEX(Нормативы!$D$2:$L$71,L66,M66)*100,0)/6000)&amp;":"&amp;RIGHT("0"&amp;INT(MOD(ROUND(INDEX(Нормативы!$D$2:$L$71,L66,M66)*100,0),6000)/100),2),INT(MOD(ROUND(INDEX(Нормативы!$D$2:$L$71,L66,M66)*100,0),6000)/100))&amp;"."&amp;RIGHT("0"&amp;MOD(ROUND(INDEX(Нормативы!$D$2:$L$71,L66,M66)*100,0),100),2)))</f>
        <v/>
      </c>
      <c r="J66" s="12" t="str">
        <f aca="false">IF(D66="","",SUMIFS('Базовые времена'!$D$2:$D$71,'Базовые времена'!$A$2:$A$71,B66,'Базовые времена'!$B$2:$B$71,C66,'Базовые времена'!$C$2:$C$71,D66))</f>
        <v/>
      </c>
      <c r="K66" s="12" t="str">
        <f aca="false">IF(E66="","",IF(ISNUMBER(E66),IF(E66&lt;1,E66*86400,E66),IFERROR(IF(ISNUMBER(FIND(":",SUBSTITUTE(TRIM(E66),",","."))),VALUE(LEFT(SUBSTITUTE(TRIM(E66),",","."),FIND(":",SUBSTITUTE(TRIM(E66),",","."))-1))*60+_xlfn.NUMBERVALUE(MID(SUBSTITUTE(TRIM(E66),",","."),FIND(":",SUBSTITUTE(TRIM(E66),",","."))+1,99),"."),_xlfn.NUMBERVALUE(SUBSTITUTE(TRIM(E66),",","."),".")),0)))</f>
        <v/>
      </c>
      <c r="L66" s="3" t="str">
        <f aca="false">IF(OR(D66="",N(K66)&lt;=0),"",IFERROR(MATCH(B66&amp;"|"&amp;C66&amp;"|"&amp;D66,Нормативы!$M$2:$M$71,0),""))</f>
        <v/>
      </c>
      <c r="M66" s="3" t="str">
        <f aca="false">IF(L66="","",SUMPRODUCT((INDEX(Нормативы!$D$2:$L$71,L66,0)&lt;K66)*ISNUMBER(INDEX(Нормативы!$D$2:$L$71,L66,0))))</f>
        <v/>
      </c>
    </row>
    <row r="67" customFormat="false" ht="15" hidden="false" customHeight="false" outlineLevel="0" collapsed="false">
      <c r="A67" s="5"/>
      <c r="B67" s="5"/>
      <c r="C67" s="5"/>
      <c r="D67" s="5"/>
      <c r="E67" s="14"/>
      <c r="F67" s="4" t="str">
        <f aca="false">IF(OR(J67="",K67="",N(J67)=0,N(K67)&lt;=0),"",ROUNDDOWN(1000*(J67/K67)^3,0))</f>
        <v/>
      </c>
      <c r="G67" s="4" t="str">
        <f aca="false">IF(M67="","",IF(M67+1&gt;COUNT(INDEX(Нормативы!$D$2:$L$71,L67,0)),"Разряда нет",INDEX(Нормативы!$D$1:$L$1,1,M67+1)))</f>
        <v/>
      </c>
      <c r="H67" s="2" t="str">
        <f aca="false">IF(M67="","",IF(M67=0,"—",INDEX(Нормативы!$D$1:$L$1,1,M67)))</f>
        <v/>
      </c>
      <c r="I67" s="7" t="str">
        <f aca="false">IF(M67="","",IF(M67=0,"",IF(INT(ROUND(INDEX(Нормативы!$D$2:$L$71,L67,M67)*100,0)/6000)&gt;0,INT(ROUND(INDEX(Нормативы!$D$2:$L$71,L67,M67)*100,0)/6000)&amp;":"&amp;RIGHT("0"&amp;INT(MOD(ROUND(INDEX(Нормативы!$D$2:$L$71,L67,M67)*100,0),6000)/100),2),INT(MOD(ROUND(INDEX(Нормативы!$D$2:$L$71,L67,M67)*100,0),6000)/100))&amp;"."&amp;RIGHT("0"&amp;MOD(ROUND(INDEX(Нормативы!$D$2:$L$71,L67,M67)*100,0),100),2)))</f>
        <v/>
      </c>
      <c r="J67" s="12" t="str">
        <f aca="false">IF(D67="","",SUMIFS('Базовые времена'!$D$2:$D$71,'Базовые времена'!$A$2:$A$71,B67,'Базовые времена'!$B$2:$B$71,C67,'Базовые времена'!$C$2:$C$71,D67))</f>
        <v/>
      </c>
      <c r="K67" s="12" t="str">
        <f aca="false">IF(E67="","",IF(ISNUMBER(E67),IF(E67&lt;1,E67*86400,E67),IFERROR(IF(ISNUMBER(FIND(":",SUBSTITUTE(TRIM(E67),",","."))),VALUE(LEFT(SUBSTITUTE(TRIM(E67),",","."),FIND(":",SUBSTITUTE(TRIM(E67),",","."))-1))*60+_xlfn.NUMBERVALUE(MID(SUBSTITUTE(TRIM(E67),",","."),FIND(":",SUBSTITUTE(TRIM(E67),",","."))+1,99),"."),_xlfn.NUMBERVALUE(SUBSTITUTE(TRIM(E67),",","."),".")),0)))</f>
        <v/>
      </c>
      <c r="L67" s="3" t="str">
        <f aca="false">IF(OR(D67="",N(K67)&lt;=0),"",IFERROR(MATCH(B67&amp;"|"&amp;C67&amp;"|"&amp;D67,Нормативы!$M$2:$M$71,0),""))</f>
        <v/>
      </c>
      <c r="M67" s="3" t="str">
        <f aca="false">IF(L67="","",SUMPRODUCT((INDEX(Нормативы!$D$2:$L$71,L67,0)&lt;K67)*ISNUMBER(INDEX(Нормативы!$D$2:$L$71,L67,0))))</f>
        <v/>
      </c>
    </row>
    <row r="68" customFormat="false" ht="15" hidden="false" customHeight="false" outlineLevel="0" collapsed="false">
      <c r="A68" s="5"/>
      <c r="B68" s="5"/>
      <c r="C68" s="5"/>
      <c r="D68" s="5"/>
      <c r="E68" s="14"/>
      <c r="F68" s="4" t="str">
        <f aca="false">IF(OR(J68="",K68="",N(J68)=0,N(K68)&lt;=0),"",ROUNDDOWN(1000*(J68/K68)^3,0))</f>
        <v/>
      </c>
      <c r="G68" s="4" t="str">
        <f aca="false">IF(M68="","",IF(M68+1&gt;COUNT(INDEX(Нормативы!$D$2:$L$71,L68,0)),"Разряда нет",INDEX(Нормативы!$D$1:$L$1,1,M68+1)))</f>
        <v/>
      </c>
      <c r="H68" s="2" t="str">
        <f aca="false">IF(M68="","",IF(M68=0,"—",INDEX(Нормативы!$D$1:$L$1,1,M68)))</f>
        <v/>
      </c>
      <c r="I68" s="7" t="str">
        <f aca="false">IF(M68="","",IF(M68=0,"",IF(INT(ROUND(INDEX(Нормативы!$D$2:$L$71,L68,M68)*100,0)/6000)&gt;0,INT(ROUND(INDEX(Нормативы!$D$2:$L$71,L68,M68)*100,0)/6000)&amp;":"&amp;RIGHT("0"&amp;INT(MOD(ROUND(INDEX(Нормативы!$D$2:$L$71,L68,M68)*100,0),6000)/100),2),INT(MOD(ROUND(INDEX(Нормативы!$D$2:$L$71,L68,M68)*100,0),6000)/100))&amp;"."&amp;RIGHT("0"&amp;MOD(ROUND(INDEX(Нормативы!$D$2:$L$71,L68,M68)*100,0),100),2)))</f>
        <v/>
      </c>
      <c r="J68" s="12" t="str">
        <f aca="false">IF(D68="","",SUMIFS('Базовые времена'!$D$2:$D$71,'Базовые времена'!$A$2:$A$71,B68,'Базовые времена'!$B$2:$B$71,C68,'Базовые времена'!$C$2:$C$71,D68))</f>
        <v/>
      </c>
      <c r="K68" s="12" t="str">
        <f aca="false">IF(E68="","",IF(ISNUMBER(E68),IF(E68&lt;1,E68*86400,E68),IFERROR(IF(ISNUMBER(FIND(":",SUBSTITUTE(TRIM(E68),",","."))),VALUE(LEFT(SUBSTITUTE(TRIM(E68),",","."),FIND(":",SUBSTITUTE(TRIM(E68),",","."))-1))*60+_xlfn.NUMBERVALUE(MID(SUBSTITUTE(TRIM(E68),",","."),FIND(":",SUBSTITUTE(TRIM(E68),",","."))+1,99),"."),_xlfn.NUMBERVALUE(SUBSTITUTE(TRIM(E68),",","."),".")),0)))</f>
        <v/>
      </c>
      <c r="L68" s="3" t="str">
        <f aca="false">IF(OR(D68="",N(K68)&lt;=0),"",IFERROR(MATCH(B68&amp;"|"&amp;C68&amp;"|"&amp;D68,Нормативы!$M$2:$M$71,0),""))</f>
        <v/>
      </c>
      <c r="M68" s="3" t="str">
        <f aca="false">IF(L68="","",SUMPRODUCT((INDEX(Нормативы!$D$2:$L$71,L68,0)&lt;K68)*ISNUMBER(INDEX(Нормативы!$D$2:$L$71,L68,0))))</f>
        <v/>
      </c>
    </row>
    <row r="69" customFormat="false" ht="15" hidden="false" customHeight="false" outlineLevel="0" collapsed="false">
      <c r="A69" s="5"/>
      <c r="B69" s="5"/>
      <c r="C69" s="5"/>
      <c r="D69" s="5"/>
      <c r="E69" s="14"/>
      <c r="F69" s="4" t="str">
        <f aca="false">IF(OR(J69="",K69="",N(J69)=0,N(K69)&lt;=0),"",ROUNDDOWN(1000*(J69/K69)^3,0))</f>
        <v/>
      </c>
      <c r="G69" s="4" t="str">
        <f aca="false">IF(M69="","",IF(M69+1&gt;COUNT(INDEX(Нормативы!$D$2:$L$71,L69,0)),"Разряда нет",INDEX(Нормативы!$D$1:$L$1,1,M69+1)))</f>
        <v/>
      </c>
      <c r="H69" s="2" t="str">
        <f aca="false">IF(M69="","",IF(M69=0,"—",INDEX(Нормативы!$D$1:$L$1,1,M69)))</f>
        <v/>
      </c>
      <c r="I69" s="7" t="str">
        <f aca="false">IF(M69="","",IF(M69=0,"",IF(INT(ROUND(INDEX(Нормативы!$D$2:$L$71,L69,M69)*100,0)/6000)&gt;0,INT(ROUND(INDEX(Нормативы!$D$2:$L$71,L69,M69)*100,0)/6000)&amp;":"&amp;RIGHT("0"&amp;INT(MOD(ROUND(INDEX(Нормативы!$D$2:$L$71,L69,M69)*100,0),6000)/100),2),INT(MOD(ROUND(INDEX(Нормативы!$D$2:$L$71,L69,M69)*100,0),6000)/100))&amp;"."&amp;RIGHT("0"&amp;MOD(ROUND(INDEX(Нормативы!$D$2:$L$71,L69,M69)*100,0),100),2)))</f>
        <v/>
      </c>
      <c r="J69" s="12" t="str">
        <f aca="false">IF(D69="","",SUMIFS('Базовые времена'!$D$2:$D$71,'Базовые времена'!$A$2:$A$71,B69,'Базовые времена'!$B$2:$B$71,C69,'Базовые времена'!$C$2:$C$71,D69))</f>
        <v/>
      </c>
      <c r="K69" s="12" t="str">
        <f aca="false">IF(E69="","",IF(ISNUMBER(E69),IF(E69&lt;1,E69*86400,E69),IFERROR(IF(ISNUMBER(FIND(":",SUBSTITUTE(TRIM(E69),",","."))),VALUE(LEFT(SUBSTITUTE(TRIM(E69),",","."),FIND(":",SUBSTITUTE(TRIM(E69),",","."))-1))*60+_xlfn.NUMBERVALUE(MID(SUBSTITUTE(TRIM(E69),",","."),FIND(":",SUBSTITUTE(TRIM(E69),",","."))+1,99),"."),_xlfn.NUMBERVALUE(SUBSTITUTE(TRIM(E69),",","."),".")),0)))</f>
        <v/>
      </c>
      <c r="L69" s="3" t="str">
        <f aca="false">IF(OR(D69="",N(K69)&lt;=0),"",IFERROR(MATCH(B69&amp;"|"&amp;C69&amp;"|"&amp;D69,Нормативы!$M$2:$M$71,0),""))</f>
        <v/>
      </c>
      <c r="M69" s="3" t="str">
        <f aca="false">IF(L69="","",SUMPRODUCT((INDEX(Нормативы!$D$2:$L$71,L69,0)&lt;K69)*ISNUMBER(INDEX(Нормативы!$D$2:$L$71,L69,0))))</f>
        <v/>
      </c>
    </row>
    <row r="70" customFormat="false" ht="15" hidden="false" customHeight="false" outlineLevel="0" collapsed="false">
      <c r="A70" s="5"/>
      <c r="B70" s="5"/>
      <c r="C70" s="5"/>
      <c r="D70" s="5"/>
      <c r="E70" s="14"/>
      <c r="F70" s="4" t="str">
        <f aca="false">IF(OR(J70="",K70="",N(J70)=0,N(K70)&lt;=0),"",ROUNDDOWN(1000*(J70/K70)^3,0))</f>
        <v/>
      </c>
      <c r="G70" s="4" t="str">
        <f aca="false">IF(M70="","",IF(M70+1&gt;COUNT(INDEX(Нормативы!$D$2:$L$71,L70,0)),"Разряда нет",INDEX(Нормативы!$D$1:$L$1,1,M70+1)))</f>
        <v/>
      </c>
      <c r="H70" s="2" t="str">
        <f aca="false">IF(M70="","",IF(M70=0,"—",INDEX(Нормативы!$D$1:$L$1,1,M70)))</f>
        <v/>
      </c>
      <c r="I70" s="7" t="str">
        <f aca="false">IF(M70="","",IF(M70=0,"",IF(INT(ROUND(INDEX(Нормативы!$D$2:$L$71,L70,M70)*100,0)/6000)&gt;0,INT(ROUND(INDEX(Нормативы!$D$2:$L$71,L70,M70)*100,0)/6000)&amp;":"&amp;RIGHT("0"&amp;INT(MOD(ROUND(INDEX(Нормативы!$D$2:$L$71,L70,M70)*100,0),6000)/100),2),INT(MOD(ROUND(INDEX(Нормативы!$D$2:$L$71,L70,M70)*100,0),6000)/100))&amp;"."&amp;RIGHT("0"&amp;MOD(ROUND(INDEX(Нормативы!$D$2:$L$71,L70,M70)*100,0),100),2)))</f>
        <v/>
      </c>
      <c r="J70" s="12" t="str">
        <f aca="false">IF(D70="","",SUMIFS('Базовые времена'!$D$2:$D$71,'Базовые времена'!$A$2:$A$71,B70,'Базовые времена'!$B$2:$B$71,C70,'Базовые времена'!$C$2:$C$71,D70))</f>
        <v/>
      </c>
      <c r="K70" s="12" t="str">
        <f aca="false">IF(E70="","",IF(ISNUMBER(E70),IF(E70&lt;1,E70*86400,E70),IFERROR(IF(ISNUMBER(FIND(":",SUBSTITUTE(TRIM(E70),",","."))),VALUE(LEFT(SUBSTITUTE(TRIM(E70),",","."),FIND(":",SUBSTITUTE(TRIM(E70),",","."))-1))*60+_xlfn.NUMBERVALUE(MID(SUBSTITUTE(TRIM(E70),",","."),FIND(":",SUBSTITUTE(TRIM(E70),",","."))+1,99),"."),_xlfn.NUMBERVALUE(SUBSTITUTE(TRIM(E70),",","."),".")),0)))</f>
        <v/>
      </c>
      <c r="L70" s="3" t="str">
        <f aca="false">IF(OR(D70="",N(K70)&lt;=0),"",IFERROR(MATCH(B70&amp;"|"&amp;C70&amp;"|"&amp;D70,Нормативы!$M$2:$M$71,0),""))</f>
        <v/>
      </c>
      <c r="M70" s="3" t="str">
        <f aca="false">IF(L70="","",SUMPRODUCT((INDEX(Нормативы!$D$2:$L$71,L70,0)&lt;K70)*ISNUMBER(INDEX(Нормативы!$D$2:$L$71,L70,0))))</f>
        <v/>
      </c>
    </row>
    <row r="71" customFormat="false" ht="15" hidden="false" customHeight="false" outlineLevel="0" collapsed="false">
      <c r="A71" s="5"/>
      <c r="B71" s="5"/>
      <c r="C71" s="5"/>
      <c r="D71" s="5"/>
      <c r="E71" s="14"/>
      <c r="F71" s="4" t="str">
        <f aca="false">IF(OR(J71="",K71="",N(J71)=0,N(K71)&lt;=0),"",ROUNDDOWN(1000*(J71/K71)^3,0))</f>
        <v/>
      </c>
      <c r="G71" s="4" t="str">
        <f aca="false">IF(M71="","",IF(M71+1&gt;COUNT(INDEX(Нормативы!$D$2:$L$71,L71,0)),"Разряда нет",INDEX(Нормативы!$D$1:$L$1,1,M71+1)))</f>
        <v/>
      </c>
      <c r="H71" s="2" t="str">
        <f aca="false">IF(M71="","",IF(M71=0,"—",INDEX(Нормативы!$D$1:$L$1,1,M71)))</f>
        <v/>
      </c>
      <c r="I71" s="7" t="str">
        <f aca="false">IF(M71="","",IF(M71=0,"",IF(INT(ROUND(INDEX(Нормативы!$D$2:$L$71,L71,M71)*100,0)/6000)&gt;0,INT(ROUND(INDEX(Нормативы!$D$2:$L$71,L71,M71)*100,0)/6000)&amp;":"&amp;RIGHT("0"&amp;INT(MOD(ROUND(INDEX(Нормативы!$D$2:$L$71,L71,M71)*100,0),6000)/100),2),INT(MOD(ROUND(INDEX(Нормативы!$D$2:$L$71,L71,M71)*100,0),6000)/100))&amp;"."&amp;RIGHT("0"&amp;MOD(ROUND(INDEX(Нормативы!$D$2:$L$71,L71,M71)*100,0),100),2)))</f>
        <v/>
      </c>
      <c r="J71" s="12" t="str">
        <f aca="false">IF(D71="","",SUMIFS('Базовые времена'!$D$2:$D$71,'Базовые времена'!$A$2:$A$71,B71,'Базовые времена'!$B$2:$B$71,C71,'Базовые времена'!$C$2:$C$71,D71))</f>
        <v/>
      </c>
      <c r="K71" s="12" t="str">
        <f aca="false">IF(E71="","",IF(ISNUMBER(E71),IF(E71&lt;1,E71*86400,E71),IFERROR(IF(ISNUMBER(FIND(":",SUBSTITUTE(TRIM(E71),",","."))),VALUE(LEFT(SUBSTITUTE(TRIM(E71),",","."),FIND(":",SUBSTITUTE(TRIM(E71),",","."))-1))*60+_xlfn.NUMBERVALUE(MID(SUBSTITUTE(TRIM(E71),",","."),FIND(":",SUBSTITUTE(TRIM(E71),",","."))+1,99),"."),_xlfn.NUMBERVALUE(SUBSTITUTE(TRIM(E71),",","."),".")),0)))</f>
        <v/>
      </c>
      <c r="L71" s="3" t="str">
        <f aca="false">IF(OR(D71="",N(K71)&lt;=0),"",IFERROR(MATCH(B71&amp;"|"&amp;C71&amp;"|"&amp;D71,Нормативы!$M$2:$M$71,0),""))</f>
        <v/>
      </c>
      <c r="M71" s="3" t="str">
        <f aca="false">IF(L71="","",SUMPRODUCT((INDEX(Нормативы!$D$2:$L$71,L71,0)&lt;K71)*ISNUMBER(INDEX(Нормативы!$D$2:$L$71,L71,0))))</f>
        <v/>
      </c>
    </row>
    <row r="72" customFormat="false" ht="15" hidden="false" customHeight="false" outlineLevel="0" collapsed="false">
      <c r="A72" s="5"/>
      <c r="B72" s="5"/>
      <c r="C72" s="5"/>
      <c r="D72" s="5"/>
      <c r="E72" s="14"/>
      <c r="F72" s="4" t="str">
        <f aca="false">IF(OR(J72="",K72="",N(J72)=0,N(K72)&lt;=0),"",ROUNDDOWN(1000*(J72/K72)^3,0))</f>
        <v/>
      </c>
      <c r="G72" s="4" t="str">
        <f aca="false">IF(M72="","",IF(M72+1&gt;COUNT(INDEX(Нормативы!$D$2:$L$71,L72,0)),"Разряда нет",INDEX(Нормативы!$D$1:$L$1,1,M72+1)))</f>
        <v/>
      </c>
      <c r="H72" s="2" t="str">
        <f aca="false">IF(M72="","",IF(M72=0,"—",INDEX(Нормативы!$D$1:$L$1,1,M72)))</f>
        <v/>
      </c>
      <c r="I72" s="7" t="str">
        <f aca="false">IF(M72="","",IF(M72=0,"",IF(INT(ROUND(INDEX(Нормативы!$D$2:$L$71,L72,M72)*100,0)/6000)&gt;0,INT(ROUND(INDEX(Нормативы!$D$2:$L$71,L72,M72)*100,0)/6000)&amp;":"&amp;RIGHT("0"&amp;INT(MOD(ROUND(INDEX(Нормативы!$D$2:$L$71,L72,M72)*100,0),6000)/100),2),INT(MOD(ROUND(INDEX(Нормативы!$D$2:$L$71,L72,M72)*100,0),6000)/100))&amp;"."&amp;RIGHT("0"&amp;MOD(ROUND(INDEX(Нормативы!$D$2:$L$71,L72,M72)*100,0),100),2)))</f>
        <v/>
      </c>
      <c r="J72" s="12" t="str">
        <f aca="false">IF(D72="","",SUMIFS('Базовые времена'!$D$2:$D$71,'Базовые времена'!$A$2:$A$71,B72,'Базовые времена'!$B$2:$B$71,C72,'Базовые времена'!$C$2:$C$71,D72))</f>
        <v/>
      </c>
      <c r="K72" s="12" t="str">
        <f aca="false">IF(E72="","",IF(ISNUMBER(E72),IF(E72&lt;1,E72*86400,E72),IFERROR(IF(ISNUMBER(FIND(":",SUBSTITUTE(TRIM(E72),",","."))),VALUE(LEFT(SUBSTITUTE(TRIM(E72),",","."),FIND(":",SUBSTITUTE(TRIM(E72),",","."))-1))*60+_xlfn.NUMBERVALUE(MID(SUBSTITUTE(TRIM(E72),",","."),FIND(":",SUBSTITUTE(TRIM(E72),",","."))+1,99),"."),_xlfn.NUMBERVALUE(SUBSTITUTE(TRIM(E72),",","."),".")),0)))</f>
        <v/>
      </c>
      <c r="L72" s="3" t="str">
        <f aca="false">IF(OR(D72="",N(K72)&lt;=0),"",IFERROR(MATCH(B72&amp;"|"&amp;C72&amp;"|"&amp;D72,Нормативы!$M$2:$M$71,0),""))</f>
        <v/>
      </c>
      <c r="M72" s="3" t="str">
        <f aca="false">IF(L72="","",SUMPRODUCT((INDEX(Нормативы!$D$2:$L$71,L72,0)&lt;K72)*ISNUMBER(INDEX(Нормативы!$D$2:$L$71,L72,0))))</f>
        <v/>
      </c>
    </row>
    <row r="73" customFormat="false" ht="15" hidden="false" customHeight="false" outlineLevel="0" collapsed="false">
      <c r="A73" s="5"/>
      <c r="B73" s="5"/>
      <c r="C73" s="5"/>
      <c r="D73" s="5"/>
      <c r="E73" s="14"/>
      <c r="F73" s="4" t="str">
        <f aca="false">IF(OR(J73="",K73="",N(J73)=0,N(K73)&lt;=0),"",ROUNDDOWN(1000*(J73/K73)^3,0))</f>
        <v/>
      </c>
      <c r="G73" s="4" t="str">
        <f aca="false">IF(M73="","",IF(M73+1&gt;COUNT(INDEX(Нормативы!$D$2:$L$71,L73,0)),"Разряда нет",INDEX(Нормативы!$D$1:$L$1,1,M73+1)))</f>
        <v/>
      </c>
      <c r="H73" s="2" t="str">
        <f aca="false">IF(M73="","",IF(M73=0,"—",INDEX(Нормативы!$D$1:$L$1,1,M73)))</f>
        <v/>
      </c>
      <c r="I73" s="7" t="str">
        <f aca="false">IF(M73="","",IF(M73=0,"",IF(INT(ROUND(INDEX(Нормативы!$D$2:$L$71,L73,M73)*100,0)/6000)&gt;0,INT(ROUND(INDEX(Нормативы!$D$2:$L$71,L73,M73)*100,0)/6000)&amp;":"&amp;RIGHT("0"&amp;INT(MOD(ROUND(INDEX(Нормативы!$D$2:$L$71,L73,M73)*100,0),6000)/100),2),INT(MOD(ROUND(INDEX(Нормативы!$D$2:$L$71,L73,M73)*100,0),6000)/100))&amp;"."&amp;RIGHT("0"&amp;MOD(ROUND(INDEX(Нормативы!$D$2:$L$71,L73,M73)*100,0),100),2)))</f>
        <v/>
      </c>
      <c r="J73" s="12" t="str">
        <f aca="false">IF(D73="","",SUMIFS('Базовые времена'!$D$2:$D$71,'Базовые времена'!$A$2:$A$71,B73,'Базовые времена'!$B$2:$B$71,C73,'Базовые времена'!$C$2:$C$71,D73))</f>
        <v/>
      </c>
      <c r="K73" s="12" t="str">
        <f aca="false">IF(E73="","",IF(ISNUMBER(E73),IF(E73&lt;1,E73*86400,E73),IFERROR(IF(ISNUMBER(FIND(":",SUBSTITUTE(TRIM(E73),",","."))),VALUE(LEFT(SUBSTITUTE(TRIM(E73),",","."),FIND(":",SUBSTITUTE(TRIM(E73),",","."))-1))*60+_xlfn.NUMBERVALUE(MID(SUBSTITUTE(TRIM(E73),",","."),FIND(":",SUBSTITUTE(TRIM(E73),",","."))+1,99),"."),_xlfn.NUMBERVALUE(SUBSTITUTE(TRIM(E73),",","."),".")),0)))</f>
        <v/>
      </c>
      <c r="L73" s="3" t="str">
        <f aca="false">IF(OR(D73="",N(K73)&lt;=0),"",IFERROR(MATCH(B73&amp;"|"&amp;C73&amp;"|"&amp;D73,Нормативы!$M$2:$M$71,0),""))</f>
        <v/>
      </c>
      <c r="M73" s="3" t="str">
        <f aca="false">IF(L73="","",SUMPRODUCT((INDEX(Нормативы!$D$2:$L$71,L73,0)&lt;K73)*ISNUMBER(INDEX(Нормативы!$D$2:$L$71,L73,0))))</f>
        <v/>
      </c>
    </row>
    <row r="74" customFormat="false" ht="15" hidden="false" customHeight="false" outlineLevel="0" collapsed="false">
      <c r="A74" s="5"/>
      <c r="B74" s="5"/>
      <c r="C74" s="5"/>
      <c r="D74" s="5"/>
      <c r="E74" s="14"/>
      <c r="F74" s="4" t="str">
        <f aca="false">IF(OR(J74="",K74="",N(J74)=0,N(K74)&lt;=0),"",ROUNDDOWN(1000*(J74/K74)^3,0))</f>
        <v/>
      </c>
      <c r="G74" s="4" t="str">
        <f aca="false">IF(M74="","",IF(M74+1&gt;COUNT(INDEX(Нормативы!$D$2:$L$71,L74,0)),"Разряда нет",INDEX(Нормативы!$D$1:$L$1,1,M74+1)))</f>
        <v/>
      </c>
      <c r="H74" s="2" t="str">
        <f aca="false">IF(M74="","",IF(M74=0,"—",INDEX(Нормативы!$D$1:$L$1,1,M74)))</f>
        <v/>
      </c>
      <c r="I74" s="7" t="str">
        <f aca="false">IF(M74="","",IF(M74=0,"",IF(INT(ROUND(INDEX(Нормативы!$D$2:$L$71,L74,M74)*100,0)/6000)&gt;0,INT(ROUND(INDEX(Нормативы!$D$2:$L$71,L74,M74)*100,0)/6000)&amp;":"&amp;RIGHT("0"&amp;INT(MOD(ROUND(INDEX(Нормативы!$D$2:$L$71,L74,M74)*100,0),6000)/100),2),INT(MOD(ROUND(INDEX(Нормативы!$D$2:$L$71,L74,M74)*100,0),6000)/100))&amp;"."&amp;RIGHT("0"&amp;MOD(ROUND(INDEX(Нормативы!$D$2:$L$71,L74,M74)*100,0),100),2)))</f>
        <v/>
      </c>
      <c r="J74" s="12" t="str">
        <f aca="false">IF(D74="","",SUMIFS('Базовые времена'!$D$2:$D$71,'Базовые времена'!$A$2:$A$71,B74,'Базовые времена'!$B$2:$B$71,C74,'Базовые времена'!$C$2:$C$71,D74))</f>
        <v/>
      </c>
      <c r="K74" s="12" t="str">
        <f aca="false">IF(E74="","",IF(ISNUMBER(E74),IF(E74&lt;1,E74*86400,E74),IFERROR(IF(ISNUMBER(FIND(":",SUBSTITUTE(TRIM(E74),",","."))),VALUE(LEFT(SUBSTITUTE(TRIM(E74),",","."),FIND(":",SUBSTITUTE(TRIM(E74),",","."))-1))*60+_xlfn.NUMBERVALUE(MID(SUBSTITUTE(TRIM(E74),",","."),FIND(":",SUBSTITUTE(TRIM(E74),",","."))+1,99),"."),_xlfn.NUMBERVALUE(SUBSTITUTE(TRIM(E74),",","."),".")),0)))</f>
        <v/>
      </c>
      <c r="L74" s="3" t="str">
        <f aca="false">IF(OR(D74="",N(K74)&lt;=0),"",IFERROR(MATCH(B74&amp;"|"&amp;C74&amp;"|"&amp;D74,Нормативы!$M$2:$M$71,0),""))</f>
        <v/>
      </c>
      <c r="M74" s="3" t="str">
        <f aca="false">IF(L74="","",SUMPRODUCT((INDEX(Нормативы!$D$2:$L$71,L74,0)&lt;K74)*ISNUMBER(INDEX(Нормативы!$D$2:$L$71,L74,0))))</f>
        <v/>
      </c>
    </row>
    <row r="75" customFormat="false" ht="15" hidden="false" customHeight="false" outlineLevel="0" collapsed="false">
      <c r="A75" s="5"/>
      <c r="B75" s="5"/>
      <c r="C75" s="5"/>
      <c r="D75" s="5"/>
      <c r="E75" s="14"/>
      <c r="F75" s="4" t="str">
        <f aca="false">IF(OR(J75="",K75="",N(J75)=0,N(K75)&lt;=0),"",ROUNDDOWN(1000*(J75/K75)^3,0))</f>
        <v/>
      </c>
      <c r="G75" s="4" t="str">
        <f aca="false">IF(M75="","",IF(M75+1&gt;COUNT(INDEX(Нормативы!$D$2:$L$71,L75,0)),"Разряда нет",INDEX(Нормативы!$D$1:$L$1,1,M75+1)))</f>
        <v/>
      </c>
      <c r="H75" s="2" t="str">
        <f aca="false">IF(M75="","",IF(M75=0,"—",INDEX(Нормативы!$D$1:$L$1,1,M75)))</f>
        <v/>
      </c>
      <c r="I75" s="7" t="str">
        <f aca="false">IF(M75="","",IF(M75=0,"",IF(INT(ROUND(INDEX(Нормативы!$D$2:$L$71,L75,M75)*100,0)/6000)&gt;0,INT(ROUND(INDEX(Нормативы!$D$2:$L$71,L75,M75)*100,0)/6000)&amp;":"&amp;RIGHT("0"&amp;INT(MOD(ROUND(INDEX(Нормативы!$D$2:$L$71,L75,M75)*100,0),6000)/100),2),INT(MOD(ROUND(INDEX(Нормативы!$D$2:$L$71,L75,M75)*100,0),6000)/100))&amp;"."&amp;RIGHT("0"&amp;MOD(ROUND(INDEX(Нормативы!$D$2:$L$71,L75,M75)*100,0),100),2)))</f>
        <v/>
      </c>
      <c r="J75" s="12" t="str">
        <f aca="false">IF(D75="","",SUMIFS('Базовые времена'!$D$2:$D$71,'Базовые времена'!$A$2:$A$71,B75,'Базовые времена'!$B$2:$B$71,C75,'Базовые времена'!$C$2:$C$71,D75))</f>
        <v/>
      </c>
      <c r="K75" s="12" t="str">
        <f aca="false">IF(E75="","",IF(ISNUMBER(E75),IF(E75&lt;1,E75*86400,E75),IFERROR(IF(ISNUMBER(FIND(":",SUBSTITUTE(TRIM(E75),",","."))),VALUE(LEFT(SUBSTITUTE(TRIM(E75),",","."),FIND(":",SUBSTITUTE(TRIM(E75),",","."))-1))*60+_xlfn.NUMBERVALUE(MID(SUBSTITUTE(TRIM(E75),",","."),FIND(":",SUBSTITUTE(TRIM(E75),",","."))+1,99),"."),_xlfn.NUMBERVALUE(SUBSTITUTE(TRIM(E75),",","."),".")),0)))</f>
        <v/>
      </c>
      <c r="L75" s="3" t="str">
        <f aca="false">IF(OR(D75="",N(K75)&lt;=0),"",IFERROR(MATCH(B75&amp;"|"&amp;C75&amp;"|"&amp;D75,Нормативы!$M$2:$M$71,0),""))</f>
        <v/>
      </c>
      <c r="M75" s="3" t="str">
        <f aca="false">IF(L75="","",SUMPRODUCT((INDEX(Нормативы!$D$2:$L$71,L75,0)&lt;K75)*ISNUMBER(INDEX(Нормативы!$D$2:$L$71,L75,0))))</f>
        <v/>
      </c>
    </row>
    <row r="76" customFormat="false" ht="15" hidden="false" customHeight="false" outlineLevel="0" collapsed="false">
      <c r="A76" s="5"/>
      <c r="B76" s="5"/>
      <c r="C76" s="5"/>
      <c r="D76" s="5"/>
      <c r="E76" s="14"/>
      <c r="F76" s="4" t="str">
        <f aca="false">IF(OR(J76="",K76="",N(J76)=0,N(K76)&lt;=0),"",ROUNDDOWN(1000*(J76/K76)^3,0))</f>
        <v/>
      </c>
      <c r="G76" s="4" t="str">
        <f aca="false">IF(M76="","",IF(M76+1&gt;COUNT(INDEX(Нормативы!$D$2:$L$71,L76,0)),"Разряда нет",INDEX(Нормативы!$D$1:$L$1,1,M76+1)))</f>
        <v/>
      </c>
      <c r="H76" s="2" t="str">
        <f aca="false">IF(M76="","",IF(M76=0,"—",INDEX(Нормативы!$D$1:$L$1,1,M76)))</f>
        <v/>
      </c>
      <c r="I76" s="7" t="str">
        <f aca="false">IF(M76="","",IF(M76=0,"",IF(INT(ROUND(INDEX(Нормативы!$D$2:$L$71,L76,M76)*100,0)/6000)&gt;0,INT(ROUND(INDEX(Нормативы!$D$2:$L$71,L76,M76)*100,0)/6000)&amp;":"&amp;RIGHT("0"&amp;INT(MOD(ROUND(INDEX(Нормативы!$D$2:$L$71,L76,M76)*100,0),6000)/100),2),INT(MOD(ROUND(INDEX(Нормативы!$D$2:$L$71,L76,M76)*100,0),6000)/100))&amp;"."&amp;RIGHT("0"&amp;MOD(ROUND(INDEX(Нормативы!$D$2:$L$71,L76,M76)*100,0),100),2)))</f>
        <v/>
      </c>
      <c r="J76" s="12" t="str">
        <f aca="false">IF(D76="","",SUMIFS('Базовые времена'!$D$2:$D$71,'Базовые времена'!$A$2:$A$71,B76,'Базовые времена'!$B$2:$B$71,C76,'Базовые времена'!$C$2:$C$71,D76))</f>
        <v/>
      </c>
      <c r="K76" s="12" t="str">
        <f aca="false">IF(E76="","",IF(ISNUMBER(E76),IF(E76&lt;1,E76*86400,E76),IFERROR(IF(ISNUMBER(FIND(":",SUBSTITUTE(TRIM(E76),",","."))),VALUE(LEFT(SUBSTITUTE(TRIM(E76),",","."),FIND(":",SUBSTITUTE(TRIM(E76),",","."))-1))*60+_xlfn.NUMBERVALUE(MID(SUBSTITUTE(TRIM(E76),",","."),FIND(":",SUBSTITUTE(TRIM(E76),",","."))+1,99),"."),_xlfn.NUMBERVALUE(SUBSTITUTE(TRIM(E76),",","."),".")),0)))</f>
        <v/>
      </c>
      <c r="L76" s="3" t="str">
        <f aca="false">IF(OR(D76="",N(K76)&lt;=0),"",IFERROR(MATCH(B76&amp;"|"&amp;C76&amp;"|"&amp;D76,Нормативы!$M$2:$M$71,0),""))</f>
        <v/>
      </c>
      <c r="M76" s="3" t="str">
        <f aca="false">IF(L76="","",SUMPRODUCT((INDEX(Нормативы!$D$2:$L$71,L76,0)&lt;K76)*ISNUMBER(INDEX(Нормативы!$D$2:$L$71,L76,0))))</f>
        <v/>
      </c>
    </row>
    <row r="77" customFormat="false" ht="15" hidden="false" customHeight="false" outlineLevel="0" collapsed="false">
      <c r="A77" s="5"/>
      <c r="B77" s="5"/>
      <c r="C77" s="5"/>
      <c r="D77" s="5"/>
      <c r="E77" s="14"/>
      <c r="F77" s="4" t="str">
        <f aca="false">IF(OR(J77="",K77="",N(J77)=0,N(K77)&lt;=0),"",ROUNDDOWN(1000*(J77/K77)^3,0))</f>
        <v/>
      </c>
      <c r="G77" s="4" t="str">
        <f aca="false">IF(M77="","",IF(M77+1&gt;COUNT(INDEX(Нормативы!$D$2:$L$71,L77,0)),"Разряда нет",INDEX(Нормативы!$D$1:$L$1,1,M77+1)))</f>
        <v/>
      </c>
      <c r="H77" s="2" t="str">
        <f aca="false">IF(M77="","",IF(M77=0,"—",INDEX(Нормативы!$D$1:$L$1,1,M77)))</f>
        <v/>
      </c>
      <c r="I77" s="7" t="str">
        <f aca="false">IF(M77="","",IF(M77=0,"",IF(INT(ROUND(INDEX(Нормативы!$D$2:$L$71,L77,M77)*100,0)/6000)&gt;0,INT(ROUND(INDEX(Нормативы!$D$2:$L$71,L77,M77)*100,0)/6000)&amp;":"&amp;RIGHT("0"&amp;INT(MOD(ROUND(INDEX(Нормативы!$D$2:$L$71,L77,M77)*100,0),6000)/100),2),INT(MOD(ROUND(INDEX(Нормативы!$D$2:$L$71,L77,M77)*100,0),6000)/100))&amp;"."&amp;RIGHT("0"&amp;MOD(ROUND(INDEX(Нормативы!$D$2:$L$71,L77,M77)*100,0),100),2)))</f>
        <v/>
      </c>
      <c r="J77" s="12" t="str">
        <f aca="false">IF(D77="","",SUMIFS('Базовые времена'!$D$2:$D$71,'Базовые времена'!$A$2:$A$71,B77,'Базовые времена'!$B$2:$B$71,C77,'Базовые времена'!$C$2:$C$71,D77))</f>
        <v/>
      </c>
      <c r="K77" s="12" t="str">
        <f aca="false">IF(E77="","",IF(ISNUMBER(E77),IF(E77&lt;1,E77*86400,E77),IFERROR(IF(ISNUMBER(FIND(":",SUBSTITUTE(TRIM(E77),",","."))),VALUE(LEFT(SUBSTITUTE(TRIM(E77),",","."),FIND(":",SUBSTITUTE(TRIM(E77),",","."))-1))*60+_xlfn.NUMBERVALUE(MID(SUBSTITUTE(TRIM(E77),",","."),FIND(":",SUBSTITUTE(TRIM(E77),",","."))+1,99),"."),_xlfn.NUMBERVALUE(SUBSTITUTE(TRIM(E77),",","."),".")),0)))</f>
        <v/>
      </c>
      <c r="L77" s="3" t="str">
        <f aca="false">IF(OR(D77="",N(K77)&lt;=0),"",IFERROR(MATCH(B77&amp;"|"&amp;C77&amp;"|"&amp;D77,Нормативы!$M$2:$M$71,0),""))</f>
        <v/>
      </c>
      <c r="M77" s="3" t="str">
        <f aca="false">IF(L77="","",SUMPRODUCT((INDEX(Нормативы!$D$2:$L$71,L77,0)&lt;K77)*ISNUMBER(INDEX(Нормативы!$D$2:$L$71,L77,0))))</f>
        <v/>
      </c>
    </row>
    <row r="78" customFormat="false" ht="15" hidden="false" customHeight="false" outlineLevel="0" collapsed="false">
      <c r="A78" s="5"/>
      <c r="B78" s="5"/>
      <c r="C78" s="5"/>
      <c r="D78" s="5"/>
      <c r="E78" s="14"/>
      <c r="F78" s="4" t="str">
        <f aca="false">IF(OR(J78="",K78="",N(J78)=0,N(K78)&lt;=0),"",ROUNDDOWN(1000*(J78/K78)^3,0))</f>
        <v/>
      </c>
      <c r="G78" s="4" t="str">
        <f aca="false">IF(M78="","",IF(M78+1&gt;COUNT(INDEX(Нормативы!$D$2:$L$71,L78,0)),"Разряда нет",INDEX(Нормативы!$D$1:$L$1,1,M78+1)))</f>
        <v/>
      </c>
      <c r="H78" s="2" t="str">
        <f aca="false">IF(M78="","",IF(M78=0,"—",INDEX(Нормативы!$D$1:$L$1,1,M78)))</f>
        <v/>
      </c>
      <c r="I78" s="7" t="str">
        <f aca="false">IF(M78="","",IF(M78=0,"",IF(INT(ROUND(INDEX(Нормативы!$D$2:$L$71,L78,M78)*100,0)/6000)&gt;0,INT(ROUND(INDEX(Нормативы!$D$2:$L$71,L78,M78)*100,0)/6000)&amp;":"&amp;RIGHT("0"&amp;INT(MOD(ROUND(INDEX(Нормативы!$D$2:$L$71,L78,M78)*100,0),6000)/100),2),INT(MOD(ROUND(INDEX(Нормативы!$D$2:$L$71,L78,M78)*100,0),6000)/100))&amp;"."&amp;RIGHT("0"&amp;MOD(ROUND(INDEX(Нормативы!$D$2:$L$71,L78,M78)*100,0),100),2)))</f>
        <v/>
      </c>
      <c r="J78" s="12" t="str">
        <f aca="false">IF(D78="","",SUMIFS('Базовые времена'!$D$2:$D$71,'Базовые времена'!$A$2:$A$71,B78,'Базовые времена'!$B$2:$B$71,C78,'Базовые времена'!$C$2:$C$71,D78))</f>
        <v/>
      </c>
      <c r="K78" s="12" t="str">
        <f aca="false">IF(E78="","",IF(ISNUMBER(E78),IF(E78&lt;1,E78*86400,E78),IFERROR(IF(ISNUMBER(FIND(":",SUBSTITUTE(TRIM(E78),",","."))),VALUE(LEFT(SUBSTITUTE(TRIM(E78),",","."),FIND(":",SUBSTITUTE(TRIM(E78),",","."))-1))*60+_xlfn.NUMBERVALUE(MID(SUBSTITUTE(TRIM(E78),",","."),FIND(":",SUBSTITUTE(TRIM(E78),",","."))+1,99),"."),_xlfn.NUMBERVALUE(SUBSTITUTE(TRIM(E78),",","."),".")),0)))</f>
        <v/>
      </c>
      <c r="L78" s="3" t="str">
        <f aca="false">IF(OR(D78="",N(K78)&lt;=0),"",IFERROR(MATCH(B78&amp;"|"&amp;C78&amp;"|"&amp;D78,Нормативы!$M$2:$M$71,0),""))</f>
        <v/>
      </c>
      <c r="M78" s="3" t="str">
        <f aca="false">IF(L78="","",SUMPRODUCT((INDEX(Нормативы!$D$2:$L$71,L78,0)&lt;K78)*ISNUMBER(INDEX(Нормативы!$D$2:$L$71,L78,0))))</f>
        <v/>
      </c>
    </row>
    <row r="79" customFormat="false" ht="15" hidden="false" customHeight="false" outlineLevel="0" collapsed="false">
      <c r="A79" s="5"/>
      <c r="B79" s="5"/>
      <c r="C79" s="5"/>
      <c r="D79" s="5"/>
      <c r="E79" s="14"/>
      <c r="F79" s="4" t="str">
        <f aca="false">IF(OR(J79="",K79="",N(J79)=0,N(K79)&lt;=0),"",ROUNDDOWN(1000*(J79/K79)^3,0))</f>
        <v/>
      </c>
      <c r="G79" s="4" t="str">
        <f aca="false">IF(M79="","",IF(M79+1&gt;COUNT(INDEX(Нормативы!$D$2:$L$71,L79,0)),"Разряда нет",INDEX(Нормативы!$D$1:$L$1,1,M79+1)))</f>
        <v/>
      </c>
      <c r="H79" s="2" t="str">
        <f aca="false">IF(M79="","",IF(M79=0,"—",INDEX(Нормативы!$D$1:$L$1,1,M79)))</f>
        <v/>
      </c>
      <c r="I79" s="7" t="str">
        <f aca="false">IF(M79="","",IF(M79=0,"",IF(INT(ROUND(INDEX(Нормативы!$D$2:$L$71,L79,M79)*100,0)/6000)&gt;0,INT(ROUND(INDEX(Нормативы!$D$2:$L$71,L79,M79)*100,0)/6000)&amp;":"&amp;RIGHT("0"&amp;INT(MOD(ROUND(INDEX(Нормативы!$D$2:$L$71,L79,M79)*100,0),6000)/100),2),INT(MOD(ROUND(INDEX(Нормативы!$D$2:$L$71,L79,M79)*100,0),6000)/100))&amp;"."&amp;RIGHT("0"&amp;MOD(ROUND(INDEX(Нормативы!$D$2:$L$71,L79,M79)*100,0),100),2)))</f>
        <v/>
      </c>
      <c r="J79" s="12" t="str">
        <f aca="false">IF(D79="","",SUMIFS('Базовые времена'!$D$2:$D$71,'Базовые времена'!$A$2:$A$71,B79,'Базовые времена'!$B$2:$B$71,C79,'Базовые времена'!$C$2:$C$71,D79))</f>
        <v/>
      </c>
      <c r="K79" s="12" t="str">
        <f aca="false">IF(E79="","",IF(ISNUMBER(E79),IF(E79&lt;1,E79*86400,E79),IFERROR(IF(ISNUMBER(FIND(":",SUBSTITUTE(TRIM(E79),",","."))),VALUE(LEFT(SUBSTITUTE(TRIM(E79),",","."),FIND(":",SUBSTITUTE(TRIM(E79),",","."))-1))*60+_xlfn.NUMBERVALUE(MID(SUBSTITUTE(TRIM(E79),",","."),FIND(":",SUBSTITUTE(TRIM(E79),",","."))+1,99),"."),_xlfn.NUMBERVALUE(SUBSTITUTE(TRIM(E79),",","."),".")),0)))</f>
        <v/>
      </c>
      <c r="L79" s="3" t="str">
        <f aca="false">IF(OR(D79="",N(K79)&lt;=0),"",IFERROR(MATCH(B79&amp;"|"&amp;C79&amp;"|"&amp;D79,Нормативы!$M$2:$M$71,0),""))</f>
        <v/>
      </c>
      <c r="M79" s="3" t="str">
        <f aca="false">IF(L79="","",SUMPRODUCT((INDEX(Нормативы!$D$2:$L$71,L79,0)&lt;K79)*ISNUMBER(INDEX(Нормативы!$D$2:$L$71,L79,0))))</f>
        <v/>
      </c>
    </row>
    <row r="80" customFormat="false" ht="15" hidden="false" customHeight="false" outlineLevel="0" collapsed="false">
      <c r="A80" s="5"/>
      <c r="B80" s="5"/>
      <c r="C80" s="5"/>
      <c r="D80" s="5"/>
      <c r="E80" s="14"/>
      <c r="F80" s="4" t="str">
        <f aca="false">IF(OR(J80="",K80="",N(J80)=0,N(K80)&lt;=0),"",ROUNDDOWN(1000*(J80/K80)^3,0))</f>
        <v/>
      </c>
      <c r="G80" s="4" t="str">
        <f aca="false">IF(M80="","",IF(M80+1&gt;COUNT(INDEX(Нормативы!$D$2:$L$71,L80,0)),"Разряда нет",INDEX(Нормативы!$D$1:$L$1,1,M80+1)))</f>
        <v/>
      </c>
      <c r="H80" s="2" t="str">
        <f aca="false">IF(M80="","",IF(M80=0,"—",INDEX(Нормативы!$D$1:$L$1,1,M80)))</f>
        <v/>
      </c>
      <c r="I80" s="7" t="str">
        <f aca="false">IF(M80="","",IF(M80=0,"",IF(INT(ROUND(INDEX(Нормативы!$D$2:$L$71,L80,M80)*100,0)/6000)&gt;0,INT(ROUND(INDEX(Нормативы!$D$2:$L$71,L80,M80)*100,0)/6000)&amp;":"&amp;RIGHT("0"&amp;INT(MOD(ROUND(INDEX(Нормативы!$D$2:$L$71,L80,M80)*100,0),6000)/100),2),INT(MOD(ROUND(INDEX(Нормативы!$D$2:$L$71,L80,M80)*100,0),6000)/100))&amp;"."&amp;RIGHT("0"&amp;MOD(ROUND(INDEX(Нормативы!$D$2:$L$71,L80,M80)*100,0),100),2)))</f>
        <v/>
      </c>
      <c r="J80" s="12" t="str">
        <f aca="false">IF(D80="","",SUMIFS('Базовые времена'!$D$2:$D$71,'Базовые времена'!$A$2:$A$71,B80,'Базовые времена'!$B$2:$B$71,C80,'Базовые времена'!$C$2:$C$71,D80))</f>
        <v/>
      </c>
      <c r="K80" s="12" t="str">
        <f aca="false">IF(E80="","",IF(ISNUMBER(E80),IF(E80&lt;1,E80*86400,E80),IFERROR(IF(ISNUMBER(FIND(":",SUBSTITUTE(TRIM(E80),",","."))),VALUE(LEFT(SUBSTITUTE(TRIM(E80),",","."),FIND(":",SUBSTITUTE(TRIM(E80),",","."))-1))*60+_xlfn.NUMBERVALUE(MID(SUBSTITUTE(TRIM(E80),",","."),FIND(":",SUBSTITUTE(TRIM(E80),",","."))+1,99),"."),_xlfn.NUMBERVALUE(SUBSTITUTE(TRIM(E80),",","."),".")),0)))</f>
        <v/>
      </c>
      <c r="L80" s="3" t="str">
        <f aca="false">IF(OR(D80="",N(K80)&lt;=0),"",IFERROR(MATCH(B80&amp;"|"&amp;C80&amp;"|"&amp;D80,Нормативы!$M$2:$M$71,0),""))</f>
        <v/>
      </c>
      <c r="M80" s="3" t="str">
        <f aca="false">IF(L80="","",SUMPRODUCT((INDEX(Нормативы!$D$2:$L$71,L80,0)&lt;K80)*ISNUMBER(INDEX(Нормативы!$D$2:$L$71,L80,0))))</f>
        <v/>
      </c>
    </row>
    <row r="81" customFormat="false" ht="15" hidden="false" customHeight="false" outlineLevel="0" collapsed="false">
      <c r="A81" s="5"/>
      <c r="B81" s="5"/>
      <c r="C81" s="5"/>
      <c r="D81" s="5"/>
      <c r="E81" s="14"/>
      <c r="F81" s="4" t="str">
        <f aca="false">IF(OR(J81="",K81="",N(J81)=0,N(K81)&lt;=0),"",ROUNDDOWN(1000*(J81/K81)^3,0))</f>
        <v/>
      </c>
      <c r="G81" s="4" t="str">
        <f aca="false">IF(M81="","",IF(M81+1&gt;COUNT(INDEX(Нормативы!$D$2:$L$71,L81,0)),"Разряда нет",INDEX(Нормативы!$D$1:$L$1,1,M81+1)))</f>
        <v/>
      </c>
      <c r="H81" s="2" t="str">
        <f aca="false">IF(M81="","",IF(M81=0,"—",INDEX(Нормативы!$D$1:$L$1,1,M81)))</f>
        <v/>
      </c>
      <c r="I81" s="7" t="str">
        <f aca="false">IF(M81="","",IF(M81=0,"",IF(INT(ROUND(INDEX(Нормативы!$D$2:$L$71,L81,M81)*100,0)/6000)&gt;0,INT(ROUND(INDEX(Нормативы!$D$2:$L$71,L81,M81)*100,0)/6000)&amp;":"&amp;RIGHT("0"&amp;INT(MOD(ROUND(INDEX(Нормативы!$D$2:$L$71,L81,M81)*100,0),6000)/100),2),INT(MOD(ROUND(INDEX(Нормативы!$D$2:$L$71,L81,M81)*100,0),6000)/100))&amp;"."&amp;RIGHT("0"&amp;MOD(ROUND(INDEX(Нормативы!$D$2:$L$71,L81,M81)*100,0),100),2)))</f>
        <v/>
      </c>
      <c r="J81" s="12" t="str">
        <f aca="false">IF(D81="","",SUMIFS('Базовые времена'!$D$2:$D$71,'Базовые времена'!$A$2:$A$71,B81,'Базовые времена'!$B$2:$B$71,C81,'Базовые времена'!$C$2:$C$71,D81))</f>
        <v/>
      </c>
      <c r="K81" s="12" t="str">
        <f aca="false">IF(E81="","",IF(ISNUMBER(E81),IF(E81&lt;1,E81*86400,E81),IFERROR(IF(ISNUMBER(FIND(":",SUBSTITUTE(TRIM(E81),",","."))),VALUE(LEFT(SUBSTITUTE(TRIM(E81),",","."),FIND(":",SUBSTITUTE(TRIM(E81),",","."))-1))*60+_xlfn.NUMBERVALUE(MID(SUBSTITUTE(TRIM(E81),",","."),FIND(":",SUBSTITUTE(TRIM(E81),",","."))+1,99),"."),_xlfn.NUMBERVALUE(SUBSTITUTE(TRIM(E81),",","."),".")),0)))</f>
        <v/>
      </c>
      <c r="L81" s="3" t="str">
        <f aca="false">IF(OR(D81="",N(K81)&lt;=0),"",IFERROR(MATCH(B81&amp;"|"&amp;C81&amp;"|"&amp;D81,Нормативы!$M$2:$M$71,0),""))</f>
        <v/>
      </c>
      <c r="M81" s="3" t="str">
        <f aca="false">IF(L81="","",SUMPRODUCT((INDEX(Нормативы!$D$2:$L$71,L81,0)&lt;K81)*ISNUMBER(INDEX(Нормативы!$D$2:$L$71,L81,0))))</f>
        <v/>
      </c>
    </row>
    <row r="82" customFormat="false" ht="15" hidden="false" customHeight="false" outlineLevel="0" collapsed="false">
      <c r="A82" s="5"/>
      <c r="B82" s="5"/>
      <c r="C82" s="5"/>
      <c r="D82" s="5"/>
      <c r="E82" s="14"/>
      <c r="F82" s="4" t="str">
        <f aca="false">IF(OR(J82="",K82="",N(J82)=0,N(K82)&lt;=0),"",ROUNDDOWN(1000*(J82/K82)^3,0))</f>
        <v/>
      </c>
      <c r="G82" s="4" t="str">
        <f aca="false">IF(M82="","",IF(M82+1&gt;COUNT(INDEX(Нормативы!$D$2:$L$71,L82,0)),"Разряда нет",INDEX(Нормативы!$D$1:$L$1,1,M82+1)))</f>
        <v/>
      </c>
      <c r="H82" s="2" t="str">
        <f aca="false">IF(M82="","",IF(M82=0,"—",INDEX(Нормативы!$D$1:$L$1,1,M82)))</f>
        <v/>
      </c>
      <c r="I82" s="7" t="str">
        <f aca="false">IF(M82="","",IF(M82=0,"",IF(INT(ROUND(INDEX(Нормативы!$D$2:$L$71,L82,M82)*100,0)/6000)&gt;0,INT(ROUND(INDEX(Нормативы!$D$2:$L$71,L82,M82)*100,0)/6000)&amp;":"&amp;RIGHT("0"&amp;INT(MOD(ROUND(INDEX(Нормативы!$D$2:$L$71,L82,M82)*100,0),6000)/100),2),INT(MOD(ROUND(INDEX(Нормативы!$D$2:$L$71,L82,M82)*100,0),6000)/100))&amp;"."&amp;RIGHT("0"&amp;MOD(ROUND(INDEX(Нормативы!$D$2:$L$71,L82,M82)*100,0),100),2)))</f>
        <v/>
      </c>
      <c r="J82" s="12" t="str">
        <f aca="false">IF(D82="","",SUMIFS('Базовые времена'!$D$2:$D$71,'Базовые времена'!$A$2:$A$71,B82,'Базовые времена'!$B$2:$B$71,C82,'Базовые времена'!$C$2:$C$71,D82))</f>
        <v/>
      </c>
      <c r="K82" s="12" t="str">
        <f aca="false">IF(E82="","",IF(ISNUMBER(E82),IF(E82&lt;1,E82*86400,E82),IFERROR(IF(ISNUMBER(FIND(":",SUBSTITUTE(TRIM(E82),",","."))),VALUE(LEFT(SUBSTITUTE(TRIM(E82),",","."),FIND(":",SUBSTITUTE(TRIM(E82),",","."))-1))*60+_xlfn.NUMBERVALUE(MID(SUBSTITUTE(TRIM(E82),",","."),FIND(":",SUBSTITUTE(TRIM(E82),",","."))+1,99),"."),_xlfn.NUMBERVALUE(SUBSTITUTE(TRIM(E82),",","."),".")),0)))</f>
        <v/>
      </c>
      <c r="L82" s="3" t="str">
        <f aca="false">IF(OR(D82="",N(K82)&lt;=0),"",IFERROR(MATCH(B82&amp;"|"&amp;C82&amp;"|"&amp;D82,Нормативы!$M$2:$M$71,0),""))</f>
        <v/>
      </c>
      <c r="M82" s="3" t="str">
        <f aca="false">IF(L82="","",SUMPRODUCT((INDEX(Нормативы!$D$2:$L$71,L82,0)&lt;K82)*ISNUMBER(INDEX(Нормативы!$D$2:$L$71,L82,0))))</f>
        <v/>
      </c>
    </row>
    <row r="83" customFormat="false" ht="15" hidden="false" customHeight="false" outlineLevel="0" collapsed="false">
      <c r="A83" s="5"/>
      <c r="B83" s="5"/>
      <c r="C83" s="5"/>
      <c r="D83" s="5"/>
      <c r="E83" s="14"/>
      <c r="F83" s="4" t="str">
        <f aca="false">IF(OR(J83="",K83="",N(J83)=0,N(K83)&lt;=0),"",ROUNDDOWN(1000*(J83/K83)^3,0))</f>
        <v/>
      </c>
      <c r="G83" s="4" t="str">
        <f aca="false">IF(M83="","",IF(M83+1&gt;COUNT(INDEX(Нормативы!$D$2:$L$71,L83,0)),"Разряда нет",INDEX(Нормативы!$D$1:$L$1,1,M83+1)))</f>
        <v/>
      </c>
      <c r="H83" s="2" t="str">
        <f aca="false">IF(M83="","",IF(M83=0,"—",INDEX(Нормативы!$D$1:$L$1,1,M83)))</f>
        <v/>
      </c>
      <c r="I83" s="7" t="str">
        <f aca="false">IF(M83="","",IF(M83=0,"",IF(INT(ROUND(INDEX(Нормативы!$D$2:$L$71,L83,M83)*100,0)/6000)&gt;0,INT(ROUND(INDEX(Нормативы!$D$2:$L$71,L83,M83)*100,0)/6000)&amp;":"&amp;RIGHT("0"&amp;INT(MOD(ROUND(INDEX(Нормативы!$D$2:$L$71,L83,M83)*100,0),6000)/100),2),INT(MOD(ROUND(INDEX(Нормативы!$D$2:$L$71,L83,M83)*100,0),6000)/100))&amp;"."&amp;RIGHT("0"&amp;MOD(ROUND(INDEX(Нормативы!$D$2:$L$71,L83,M83)*100,0),100),2)))</f>
        <v/>
      </c>
      <c r="J83" s="12" t="str">
        <f aca="false">IF(D83="","",SUMIFS('Базовые времена'!$D$2:$D$71,'Базовые времена'!$A$2:$A$71,B83,'Базовые времена'!$B$2:$B$71,C83,'Базовые времена'!$C$2:$C$71,D83))</f>
        <v/>
      </c>
      <c r="K83" s="12" t="str">
        <f aca="false">IF(E83="","",IF(ISNUMBER(E83),IF(E83&lt;1,E83*86400,E83),IFERROR(IF(ISNUMBER(FIND(":",SUBSTITUTE(TRIM(E83),",","."))),VALUE(LEFT(SUBSTITUTE(TRIM(E83),",","."),FIND(":",SUBSTITUTE(TRIM(E83),",","."))-1))*60+_xlfn.NUMBERVALUE(MID(SUBSTITUTE(TRIM(E83),",","."),FIND(":",SUBSTITUTE(TRIM(E83),",","."))+1,99),"."),_xlfn.NUMBERVALUE(SUBSTITUTE(TRIM(E83),",","."),".")),0)))</f>
        <v/>
      </c>
      <c r="L83" s="3" t="str">
        <f aca="false">IF(OR(D83="",N(K83)&lt;=0),"",IFERROR(MATCH(B83&amp;"|"&amp;C83&amp;"|"&amp;D83,Нормативы!$M$2:$M$71,0),""))</f>
        <v/>
      </c>
      <c r="M83" s="3" t="str">
        <f aca="false">IF(L83="","",SUMPRODUCT((INDEX(Нормативы!$D$2:$L$71,L83,0)&lt;K83)*ISNUMBER(INDEX(Нормативы!$D$2:$L$71,L83,0))))</f>
        <v/>
      </c>
    </row>
    <row r="84" customFormat="false" ht="15" hidden="false" customHeight="false" outlineLevel="0" collapsed="false">
      <c r="A84" s="5"/>
      <c r="B84" s="5"/>
      <c r="C84" s="5"/>
      <c r="D84" s="5"/>
      <c r="E84" s="14"/>
      <c r="F84" s="4" t="str">
        <f aca="false">IF(OR(J84="",K84="",N(J84)=0,N(K84)&lt;=0),"",ROUNDDOWN(1000*(J84/K84)^3,0))</f>
        <v/>
      </c>
      <c r="G84" s="4" t="str">
        <f aca="false">IF(M84="","",IF(M84+1&gt;COUNT(INDEX(Нормативы!$D$2:$L$71,L84,0)),"Разряда нет",INDEX(Нормативы!$D$1:$L$1,1,M84+1)))</f>
        <v/>
      </c>
      <c r="H84" s="2" t="str">
        <f aca="false">IF(M84="","",IF(M84=0,"—",INDEX(Нормативы!$D$1:$L$1,1,M84)))</f>
        <v/>
      </c>
      <c r="I84" s="7" t="str">
        <f aca="false">IF(M84="","",IF(M84=0,"",IF(INT(ROUND(INDEX(Нормативы!$D$2:$L$71,L84,M84)*100,0)/6000)&gt;0,INT(ROUND(INDEX(Нормативы!$D$2:$L$71,L84,M84)*100,0)/6000)&amp;":"&amp;RIGHT("0"&amp;INT(MOD(ROUND(INDEX(Нормативы!$D$2:$L$71,L84,M84)*100,0),6000)/100),2),INT(MOD(ROUND(INDEX(Нормативы!$D$2:$L$71,L84,M84)*100,0),6000)/100))&amp;"."&amp;RIGHT("0"&amp;MOD(ROUND(INDEX(Нормативы!$D$2:$L$71,L84,M84)*100,0),100),2)))</f>
        <v/>
      </c>
      <c r="J84" s="12" t="str">
        <f aca="false">IF(D84="","",SUMIFS('Базовые времена'!$D$2:$D$71,'Базовые времена'!$A$2:$A$71,B84,'Базовые времена'!$B$2:$B$71,C84,'Базовые времена'!$C$2:$C$71,D84))</f>
        <v/>
      </c>
      <c r="K84" s="12" t="str">
        <f aca="false">IF(E84="","",IF(ISNUMBER(E84),IF(E84&lt;1,E84*86400,E84),IFERROR(IF(ISNUMBER(FIND(":",SUBSTITUTE(TRIM(E84),",","."))),VALUE(LEFT(SUBSTITUTE(TRIM(E84),",","."),FIND(":",SUBSTITUTE(TRIM(E84),",","."))-1))*60+_xlfn.NUMBERVALUE(MID(SUBSTITUTE(TRIM(E84),",","."),FIND(":",SUBSTITUTE(TRIM(E84),",","."))+1,99),"."),_xlfn.NUMBERVALUE(SUBSTITUTE(TRIM(E84),",","."),".")),0)))</f>
        <v/>
      </c>
      <c r="L84" s="3" t="str">
        <f aca="false">IF(OR(D84="",N(K84)&lt;=0),"",IFERROR(MATCH(B84&amp;"|"&amp;C84&amp;"|"&amp;D84,Нормативы!$M$2:$M$71,0),""))</f>
        <v/>
      </c>
      <c r="M84" s="3" t="str">
        <f aca="false">IF(L84="","",SUMPRODUCT((INDEX(Нормативы!$D$2:$L$71,L84,0)&lt;K84)*ISNUMBER(INDEX(Нормативы!$D$2:$L$71,L84,0))))</f>
        <v/>
      </c>
    </row>
    <row r="85" customFormat="false" ht="15" hidden="false" customHeight="false" outlineLevel="0" collapsed="false">
      <c r="A85" s="5"/>
      <c r="B85" s="5"/>
      <c r="C85" s="5"/>
      <c r="D85" s="5"/>
      <c r="E85" s="14"/>
      <c r="F85" s="4" t="str">
        <f aca="false">IF(OR(J85="",K85="",N(J85)=0,N(K85)&lt;=0),"",ROUNDDOWN(1000*(J85/K85)^3,0))</f>
        <v/>
      </c>
      <c r="G85" s="4" t="str">
        <f aca="false">IF(M85="","",IF(M85+1&gt;COUNT(INDEX(Нормативы!$D$2:$L$71,L85,0)),"Разряда нет",INDEX(Нормативы!$D$1:$L$1,1,M85+1)))</f>
        <v/>
      </c>
      <c r="H85" s="2" t="str">
        <f aca="false">IF(M85="","",IF(M85=0,"—",INDEX(Нормативы!$D$1:$L$1,1,M85)))</f>
        <v/>
      </c>
      <c r="I85" s="7" t="str">
        <f aca="false">IF(M85="","",IF(M85=0,"",IF(INT(ROUND(INDEX(Нормативы!$D$2:$L$71,L85,M85)*100,0)/6000)&gt;0,INT(ROUND(INDEX(Нормативы!$D$2:$L$71,L85,M85)*100,0)/6000)&amp;":"&amp;RIGHT("0"&amp;INT(MOD(ROUND(INDEX(Нормативы!$D$2:$L$71,L85,M85)*100,0),6000)/100),2),INT(MOD(ROUND(INDEX(Нормативы!$D$2:$L$71,L85,M85)*100,0),6000)/100))&amp;"."&amp;RIGHT("0"&amp;MOD(ROUND(INDEX(Нормативы!$D$2:$L$71,L85,M85)*100,0),100),2)))</f>
        <v/>
      </c>
      <c r="J85" s="12" t="str">
        <f aca="false">IF(D85="","",SUMIFS('Базовые времена'!$D$2:$D$71,'Базовые времена'!$A$2:$A$71,B85,'Базовые времена'!$B$2:$B$71,C85,'Базовые времена'!$C$2:$C$71,D85))</f>
        <v/>
      </c>
      <c r="K85" s="12" t="str">
        <f aca="false">IF(E85="","",IF(ISNUMBER(E85),IF(E85&lt;1,E85*86400,E85),IFERROR(IF(ISNUMBER(FIND(":",SUBSTITUTE(TRIM(E85),",","."))),VALUE(LEFT(SUBSTITUTE(TRIM(E85),",","."),FIND(":",SUBSTITUTE(TRIM(E85),",","."))-1))*60+_xlfn.NUMBERVALUE(MID(SUBSTITUTE(TRIM(E85),",","."),FIND(":",SUBSTITUTE(TRIM(E85),",","."))+1,99),"."),_xlfn.NUMBERVALUE(SUBSTITUTE(TRIM(E85),",","."),".")),0)))</f>
        <v/>
      </c>
      <c r="L85" s="3" t="str">
        <f aca="false">IF(OR(D85="",N(K85)&lt;=0),"",IFERROR(MATCH(B85&amp;"|"&amp;C85&amp;"|"&amp;D85,Нормативы!$M$2:$M$71,0),""))</f>
        <v/>
      </c>
      <c r="M85" s="3" t="str">
        <f aca="false">IF(L85="","",SUMPRODUCT((INDEX(Нормативы!$D$2:$L$71,L85,0)&lt;K85)*ISNUMBER(INDEX(Нормативы!$D$2:$L$71,L85,0))))</f>
        <v/>
      </c>
    </row>
    <row r="86" customFormat="false" ht="15" hidden="false" customHeight="false" outlineLevel="0" collapsed="false">
      <c r="A86" s="5"/>
      <c r="B86" s="5"/>
      <c r="C86" s="5"/>
      <c r="D86" s="5"/>
      <c r="E86" s="14"/>
      <c r="F86" s="4" t="str">
        <f aca="false">IF(OR(J86="",K86="",N(J86)=0,N(K86)&lt;=0),"",ROUNDDOWN(1000*(J86/K86)^3,0))</f>
        <v/>
      </c>
      <c r="G86" s="4" t="str">
        <f aca="false">IF(M86="","",IF(M86+1&gt;COUNT(INDEX(Нормативы!$D$2:$L$71,L86,0)),"Разряда нет",INDEX(Нормативы!$D$1:$L$1,1,M86+1)))</f>
        <v/>
      </c>
      <c r="H86" s="2" t="str">
        <f aca="false">IF(M86="","",IF(M86=0,"—",INDEX(Нормативы!$D$1:$L$1,1,M86)))</f>
        <v/>
      </c>
      <c r="I86" s="7" t="str">
        <f aca="false">IF(M86="","",IF(M86=0,"",IF(INT(ROUND(INDEX(Нормативы!$D$2:$L$71,L86,M86)*100,0)/6000)&gt;0,INT(ROUND(INDEX(Нормативы!$D$2:$L$71,L86,M86)*100,0)/6000)&amp;":"&amp;RIGHT("0"&amp;INT(MOD(ROUND(INDEX(Нормативы!$D$2:$L$71,L86,M86)*100,0),6000)/100),2),INT(MOD(ROUND(INDEX(Нормативы!$D$2:$L$71,L86,M86)*100,0),6000)/100))&amp;"."&amp;RIGHT("0"&amp;MOD(ROUND(INDEX(Нормативы!$D$2:$L$71,L86,M86)*100,0),100),2)))</f>
        <v/>
      </c>
      <c r="J86" s="12" t="str">
        <f aca="false">IF(D86="","",SUMIFS('Базовые времена'!$D$2:$D$71,'Базовые времена'!$A$2:$A$71,B86,'Базовые времена'!$B$2:$B$71,C86,'Базовые времена'!$C$2:$C$71,D86))</f>
        <v/>
      </c>
      <c r="K86" s="12" t="str">
        <f aca="false">IF(E86="","",IF(ISNUMBER(E86),IF(E86&lt;1,E86*86400,E86),IFERROR(IF(ISNUMBER(FIND(":",SUBSTITUTE(TRIM(E86),",","."))),VALUE(LEFT(SUBSTITUTE(TRIM(E86),",","."),FIND(":",SUBSTITUTE(TRIM(E86),",","."))-1))*60+_xlfn.NUMBERVALUE(MID(SUBSTITUTE(TRIM(E86),",","."),FIND(":",SUBSTITUTE(TRIM(E86),",","."))+1,99),"."),_xlfn.NUMBERVALUE(SUBSTITUTE(TRIM(E86),",","."),".")),0)))</f>
        <v/>
      </c>
      <c r="L86" s="3" t="str">
        <f aca="false">IF(OR(D86="",N(K86)&lt;=0),"",IFERROR(MATCH(B86&amp;"|"&amp;C86&amp;"|"&amp;D86,Нормативы!$M$2:$M$71,0),""))</f>
        <v/>
      </c>
      <c r="M86" s="3" t="str">
        <f aca="false">IF(L86="","",SUMPRODUCT((INDEX(Нормативы!$D$2:$L$71,L86,0)&lt;K86)*ISNUMBER(INDEX(Нормативы!$D$2:$L$71,L86,0))))</f>
        <v/>
      </c>
    </row>
    <row r="87" customFormat="false" ht="15" hidden="false" customHeight="false" outlineLevel="0" collapsed="false">
      <c r="A87" s="5"/>
      <c r="B87" s="5"/>
      <c r="C87" s="5"/>
      <c r="D87" s="5"/>
      <c r="E87" s="14"/>
      <c r="F87" s="4" t="str">
        <f aca="false">IF(OR(J87="",K87="",N(J87)=0,N(K87)&lt;=0),"",ROUNDDOWN(1000*(J87/K87)^3,0))</f>
        <v/>
      </c>
      <c r="G87" s="4" t="str">
        <f aca="false">IF(M87="","",IF(M87+1&gt;COUNT(INDEX(Нормативы!$D$2:$L$71,L87,0)),"Разряда нет",INDEX(Нормативы!$D$1:$L$1,1,M87+1)))</f>
        <v/>
      </c>
      <c r="H87" s="2" t="str">
        <f aca="false">IF(M87="","",IF(M87=0,"—",INDEX(Нормативы!$D$1:$L$1,1,M87)))</f>
        <v/>
      </c>
      <c r="I87" s="7" t="str">
        <f aca="false">IF(M87="","",IF(M87=0,"",IF(INT(ROUND(INDEX(Нормативы!$D$2:$L$71,L87,M87)*100,0)/6000)&gt;0,INT(ROUND(INDEX(Нормативы!$D$2:$L$71,L87,M87)*100,0)/6000)&amp;":"&amp;RIGHT("0"&amp;INT(MOD(ROUND(INDEX(Нормативы!$D$2:$L$71,L87,M87)*100,0),6000)/100),2),INT(MOD(ROUND(INDEX(Нормативы!$D$2:$L$71,L87,M87)*100,0),6000)/100))&amp;"."&amp;RIGHT("0"&amp;MOD(ROUND(INDEX(Нормативы!$D$2:$L$71,L87,M87)*100,0),100),2)))</f>
        <v/>
      </c>
      <c r="J87" s="12" t="str">
        <f aca="false">IF(D87="","",SUMIFS('Базовые времена'!$D$2:$D$71,'Базовые времена'!$A$2:$A$71,B87,'Базовые времена'!$B$2:$B$71,C87,'Базовые времена'!$C$2:$C$71,D87))</f>
        <v/>
      </c>
      <c r="K87" s="12" t="str">
        <f aca="false">IF(E87="","",IF(ISNUMBER(E87),IF(E87&lt;1,E87*86400,E87),IFERROR(IF(ISNUMBER(FIND(":",SUBSTITUTE(TRIM(E87),",","."))),VALUE(LEFT(SUBSTITUTE(TRIM(E87),",","."),FIND(":",SUBSTITUTE(TRIM(E87),",","."))-1))*60+_xlfn.NUMBERVALUE(MID(SUBSTITUTE(TRIM(E87),",","."),FIND(":",SUBSTITUTE(TRIM(E87),",","."))+1,99),"."),_xlfn.NUMBERVALUE(SUBSTITUTE(TRIM(E87),",","."),".")),0)))</f>
        <v/>
      </c>
      <c r="L87" s="3" t="str">
        <f aca="false">IF(OR(D87="",N(K87)&lt;=0),"",IFERROR(MATCH(B87&amp;"|"&amp;C87&amp;"|"&amp;D87,Нормативы!$M$2:$M$71,0),""))</f>
        <v/>
      </c>
      <c r="M87" s="3" t="str">
        <f aca="false">IF(L87="","",SUMPRODUCT((INDEX(Нормативы!$D$2:$L$71,L87,0)&lt;K87)*ISNUMBER(INDEX(Нормативы!$D$2:$L$71,L87,0))))</f>
        <v/>
      </c>
    </row>
    <row r="88" customFormat="false" ht="15" hidden="false" customHeight="false" outlineLevel="0" collapsed="false">
      <c r="A88" s="5"/>
      <c r="B88" s="5"/>
      <c r="C88" s="5"/>
      <c r="D88" s="5"/>
      <c r="E88" s="14"/>
      <c r="F88" s="4" t="str">
        <f aca="false">IF(OR(J88="",K88="",N(J88)=0,N(K88)&lt;=0),"",ROUNDDOWN(1000*(J88/K88)^3,0))</f>
        <v/>
      </c>
      <c r="G88" s="4" t="str">
        <f aca="false">IF(M88="","",IF(M88+1&gt;COUNT(INDEX(Нормативы!$D$2:$L$71,L88,0)),"Разряда нет",INDEX(Нормативы!$D$1:$L$1,1,M88+1)))</f>
        <v/>
      </c>
      <c r="H88" s="2" t="str">
        <f aca="false">IF(M88="","",IF(M88=0,"—",INDEX(Нормативы!$D$1:$L$1,1,M88)))</f>
        <v/>
      </c>
      <c r="I88" s="7" t="str">
        <f aca="false">IF(M88="","",IF(M88=0,"",IF(INT(ROUND(INDEX(Нормативы!$D$2:$L$71,L88,M88)*100,0)/6000)&gt;0,INT(ROUND(INDEX(Нормативы!$D$2:$L$71,L88,M88)*100,0)/6000)&amp;":"&amp;RIGHT("0"&amp;INT(MOD(ROUND(INDEX(Нормативы!$D$2:$L$71,L88,M88)*100,0),6000)/100),2),INT(MOD(ROUND(INDEX(Нормативы!$D$2:$L$71,L88,M88)*100,0),6000)/100))&amp;"."&amp;RIGHT("0"&amp;MOD(ROUND(INDEX(Нормативы!$D$2:$L$71,L88,M88)*100,0),100),2)))</f>
        <v/>
      </c>
      <c r="J88" s="12" t="str">
        <f aca="false">IF(D88="","",SUMIFS('Базовые времена'!$D$2:$D$71,'Базовые времена'!$A$2:$A$71,B88,'Базовые времена'!$B$2:$B$71,C88,'Базовые времена'!$C$2:$C$71,D88))</f>
        <v/>
      </c>
      <c r="K88" s="12" t="str">
        <f aca="false">IF(E88="","",IF(ISNUMBER(E88),IF(E88&lt;1,E88*86400,E88),IFERROR(IF(ISNUMBER(FIND(":",SUBSTITUTE(TRIM(E88),",","."))),VALUE(LEFT(SUBSTITUTE(TRIM(E88),",","."),FIND(":",SUBSTITUTE(TRIM(E88),",","."))-1))*60+_xlfn.NUMBERVALUE(MID(SUBSTITUTE(TRIM(E88),",","."),FIND(":",SUBSTITUTE(TRIM(E88),",","."))+1,99),"."),_xlfn.NUMBERVALUE(SUBSTITUTE(TRIM(E88),",","."),".")),0)))</f>
        <v/>
      </c>
      <c r="L88" s="3" t="str">
        <f aca="false">IF(OR(D88="",N(K88)&lt;=0),"",IFERROR(MATCH(B88&amp;"|"&amp;C88&amp;"|"&amp;D88,Нормативы!$M$2:$M$71,0),""))</f>
        <v/>
      </c>
      <c r="M88" s="3" t="str">
        <f aca="false">IF(L88="","",SUMPRODUCT((INDEX(Нормативы!$D$2:$L$71,L88,0)&lt;K88)*ISNUMBER(INDEX(Нормативы!$D$2:$L$71,L88,0))))</f>
        <v/>
      </c>
    </row>
    <row r="89" customFormat="false" ht="15" hidden="false" customHeight="false" outlineLevel="0" collapsed="false">
      <c r="A89" s="5"/>
      <c r="B89" s="5"/>
      <c r="C89" s="5"/>
      <c r="D89" s="5"/>
      <c r="E89" s="14"/>
      <c r="F89" s="4" t="str">
        <f aca="false">IF(OR(J89="",K89="",N(J89)=0,N(K89)&lt;=0),"",ROUNDDOWN(1000*(J89/K89)^3,0))</f>
        <v/>
      </c>
      <c r="G89" s="4" t="str">
        <f aca="false">IF(M89="","",IF(M89+1&gt;COUNT(INDEX(Нормативы!$D$2:$L$71,L89,0)),"Разряда нет",INDEX(Нормативы!$D$1:$L$1,1,M89+1)))</f>
        <v/>
      </c>
      <c r="H89" s="2" t="str">
        <f aca="false">IF(M89="","",IF(M89=0,"—",INDEX(Нормативы!$D$1:$L$1,1,M89)))</f>
        <v/>
      </c>
      <c r="I89" s="7" t="str">
        <f aca="false">IF(M89="","",IF(M89=0,"",IF(INT(ROUND(INDEX(Нормативы!$D$2:$L$71,L89,M89)*100,0)/6000)&gt;0,INT(ROUND(INDEX(Нормативы!$D$2:$L$71,L89,M89)*100,0)/6000)&amp;":"&amp;RIGHT("0"&amp;INT(MOD(ROUND(INDEX(Нормативы!$D$2:$L$71,L89,M89)*100,0),6000)/100),2),INT(MOD(ROUND(INDEX(Нормативы!$D$2:$L$71,L89,M89)*100,0),6000)/100))&amp;"."&amp;RIGHT("0"&amp;MOD(ROUND(INDEX(Нормативы!$D$2:$L$71,L89,M89)*100,0),100),2)))</f>
        <v/>
      </c>
      <c r="J89" s="12" t="str">
        <f aca="false">IF(D89="","",SUMIFS('Базовые времена'!$D$2:$D$71,'Базовые времена'!$A$2:$A$71,B89,'Базовые времена'!$B$2:$B$71,C89,'Базовые времена'!$C$2:$C$71,D89))</f>
        <v/>
      </c>
      <c r="K89" s="12" t="str">
        <f aca="false">IF(E89="","",IF(ISNUMBER(E89),IF(E89&lt;1,E89*86400,E89),IFERROR(IF(ISNUMBER(FIND(":",SUBSTITUTE(TRIM(E89),",","."))),VALUE(LEFT(SUBSTITUTE(TRIM(E89),",","."),FIND(":",SUBSTITUTE(TRIM(E89),",","."))-1))*60+_xlfn.NUMBERVALUE(MID(SUBSTITUTE(TRIM(E89),",","."),FIND(":",SUBSTITUTE(TRIM(E89),",","."))+1,99),"."),_xlfn.NUMBERVALUE(SUBSTITUTE(TRIM(E89),",","."),".")),0)))</f>
        <v/>
      </c>
      <c r="L89" s="3" t="str">
        <f aca="false">IF(OR(D89="",N(K89)&lt;=0),"",IFERROR(MATCH(B89&amp;"|"&amp;C89&amp;"|"&amp;D89,Нормативы!$M$2:$M$71,0),""))</f>
        <v/>
      </c>
      <c r="M89" s="3" t="str">
        <f aca="false">IF(L89="","",SUMPRODUCT((INDEX(Нормативы!$D$2:$L$71,L89,0)&lt;K89)*ISNUMBER(INDEX(Нормативы!$D$2:$L$71,L89,0))))</f>
        <v/>
      </c>
    </row>
    <row r="90" customFormat="false" ht="15" hidden="false" customHeight="false" outlineLevel="0" collapsed="false">
      <c r="A90" s="5"/>
      <c r="B90" s="5"/>
      <c r="C90" s="5"/>
      <c r="D90" s="5"/>
      <c r="E90" s="14"/>
      <c r="F90" s="4" t="str">
        <f aca="false">IF(OR(J90="",K90="",N(J90)=0,N(K90)&lt;=0),"",ROUNDDOWN(1000*(J90/K90)^3,0))</f>
        <v/>
      </c>
      <c r="G90" s="4" t="str">
        <f aca="false">IF(M90="","",IF(M90+1&gt;COUNT(INDEX(Нормативы!$D$2:$L$71,L90,0)),"Разряда нет",INDEX(Нормативы!$D$1:$L$1,1,M90+1)))</f>
        <v/>
      </c>
      <c r="H90" s="2" t="str">
        <f aca="false">IF(M90="","",IF(M90=0,"—",INDEX(Нормативы!$D$1:$L$1,1,M90)))</f>
        <v/>
      </c>
      <c r="I90" s="7" t="str">
        <f aca="false">IF(M90="","",IF(M90=0,"",IF(INT(ROUND(INDEX(Нормативы!$D$2:$L$71,L90,M90)*100,0)/6000)&gt;0,INT(ROUND(INDEX(Нормативы!$D$2:$L$71,L90,M90)*100,0)/6000)&amp;":"&amp;RIGHT("0"&amp;INT(MOD(ROUND(INDEX(Нормативы!$D$2:$L$71,L90,M90)*100,0),6000)/100),2),INT(MOD(ROUND(INDEX(Нормативы!$D$2:$L$71,L90,M90)*100,0),6000)/100))&amp;"."&amp;RIGHT("0"&amp;MOD(ROUND(INDEX(Нормативы!$D$2:$L$71,L90,M90)*100,0),100),2)))</f>
        <v/>
      </c>
      <c r="J90" s="12" t="str">
        <f aca="false">IF(D90="","",SUMIFS('Базовые времена'!$D$2:$D$71,'Базовые времена'!$A$2:$A$71,B90,'Базовые времена'!$B$2:$B$71,C90,'Базовые времена'!$C$2:$C$71,D90))</f>
        <v/>
      </c>
      <c r="K90" s="12" t="str">
        <f aca="false">IF(E90="","",IF(ISNUMBER(E90),IF(E90&lt;1,E90*86400,E90),IFERROR(IF(ISNUMBER(FIND(":",SUBSTITUTE(TRIM(E90),",","."))),VALUE(LEFT(SUBSTITUTE(TRIM(E90),",","."),FIND(":",SUBSTITUTE(TRIM(E90),",","."))-1))*60+_xlfn.NUMBERVALUE(MID(SUBSTITUTE(TRIM(E90),",","."),FIND(":",SUBSTITUTE(TRIM(E90),",","."))+1,99),"."),_xlfn.NUMBERVALUE(SUBSTITUTE(TRIM(E90),",","."),".")),0)))</f>
        <v/>
      </c>
      <c r="L90" s="3" t="str">
        <f aca="false">IF(OR(D90="",N(K90)&lt;=0),"",IFERROR(MATCH(B90&amp;"|"&amp;C90&amp;"|"&amp;D90,Нормативы!$M$2:$M$71,0),""))</f>
        <v/>
      </c>
      <c r="M90" s="3" t="str">
        <f aca="false">IF(L90="","",SUMPRODUCT((INDEX(Нормативы!$D$2:$L$71,L90,0)&lt;K90)*ISNUMBER(INDEX(Нормативы!$D$2:$L$71,L90,0))))</f>
        <v/>
      </c>
    </row>
    <row r="91" customFormat="false" ht="15" hidden="false" customHeight="false" outlineLevel="0" collapsed="false">
      <c r="A91" s="5"/>
      <c r="B91" s="5"/>
      <c r="C91" s="5"/>
      <c r="D91" s="5"/>
      <c r="E91" s="14"/>
      <c r="F91" s="4" t="str">
        <f aca="false">IF(OR(J91="",K91="",N(J91)=0,N(K91)&lt;=0),"",ROUNDDOWN(1000*(J91/K91)^3,0))</f>
        <v/>
      </c>
      <c r="G91" s="4" t="str">
        <f aca="false">IF(M91="","",IF(M91+1&gt;COUNT(INDEX(Нормативы!$D$2:$L$71,L91,0)),"Разряда нет",INDEX(Нормативы!$D$1:$L$1,1,M91+1)))</f>
        <v/>
      </c>
      <c r="H91" s="2" t="str">
        <f aca="false">IF(M91="","",IF(M91=0,"—",INDEX(Нормативы!$D$1:$L$1,1,M91)))</f>
        <v/>
      </c>
      <c r="I91" s="7" t="str">
        <f aca="false">IF(M91="","",IF(M91=0,"",IF(INT(ROUND(INDEX(Нормативы!$D$2:$L$71,L91,M91)*100,0)/6000)&gt;0,INT(ROUND(INDEX(Нормативы!$D$2:$L$71,L91,M91)*100,0)/6000)&amp;":"&amp;RIGHT("0"&amp;INT(MOD(ROUND(INDEX(Нормативы!$D$2:$L$71,L91,M91)*100,0),6000)/100),2),INT(MOD(ROUND(INDEX(Нормативы!$D$2:$L$71,L91,M91)*100,0),6000)/100))&amp;"."&amp;RIGHT("0"&amp;MOD(ROUND(INDEX(Нормативы!$D$2:$L$71,L91,M91)*100,0),100),2)))</f>
        <v/>
      </c>
      <c r="J91" s="12" t="str">
        <f aca="false">IF(D91="","",SUMIFS('Базовые времена'!$D$2:$D$71,'Базовые времена'!$A$2:$A$71,B91,'Базовые времена'!$B$2:$B$71,C91,'Базовые времена'!$C$2:$C$71,D91))</f>
        <v/>
      </c>
      <c r="K91" s="12" t="str">
        <f aca="false">IF(E91="","",IF(ISNUMBER(E91),IF(E91&lt;1,E91*86400,E91),IFERROR(IF(ISNUMBER(FIND(":",SUBSTITUTE(TRIM(E91),",","."))),VALUE(LEFT(SUBSTITUTE(TRIM(E91),",","."),FIND(":",SUBSTITUTE(TRIM(E91),",","."))-1))*60+_xlfn.NUMBERVALUE(MID(SUBSTITUTE(TRIM(E91),",","."),FIND(":",SUBSTITUTE(TRIM(E91),",","."))+1,99),"."),_xlfn.NUMBERVALUE(SUBSTITUTE(TRIM(E91),",","."),".")),0)))</f>
        <v/>
      </c>
      <c r="L91" s="3" t="str">
        <f aca="false">IF(OR(D91="",N(K91)&lt;=0),"",IFERROR(MATCH(B91&amp;"|"&amp;C91&amp;"|"&amp;D91,Нормативы!$M$2:$M$71,0),""))</f>
        <v/>
      </c>
      <c r="M91" s="3" t="str">
        <f aca="false">IF(L91="","",SUMPRODUCT((INDEX(Нормативы!$D$2:$L$71,L91,0)&lt;K91)*ISNUMBER(INDEX(Нормативы!$D$2:$L$71,L91,0))))</f>
        <v/>
      </c>
    </row>
    <row r="92" customFormat="false" ht="15" hidden="false" customHeight="false" outlineLevel="0" collapsed="false">
      <c r="A92" s="5"/>
      <c r="B92" s="5"/>
      <c r="C92" s="5"/>
      <c r="D92" s="5"/>
      <c r="E92" s="14"/>
      <c r="F92" s="4" t="str">
        <f aca="false">IF(OR(J92="",K92="",N(J92)=0,N(K92)&lt;=0),"",ROUNDDOWN(1000*(J92/K92)^3,0))</f>
        <v/>
      </c>
      <c r="G92" s="4" t="str">
        <f aca="false">IF(M92="","",IF(M92+1&gt;COUNT(INDEX(Нормативы!$D$2:$L$71,L92,0)),"Разряда нет",INDEX(Нормативы!$D$1:$L$1,1,M92+1)))</f>
        <v/>
      </c>
      <c r="H92" s="2" t="str">
        <f aca="false">IF(M92="","",IF(M92=0,"—",INDEX(Нормативы!$D$1:$L$1,1,M92)))</f>
        <v/>
      </c>
      <c r="I92" s="7" t="str">
        <f aca="false">IF(M92="","",IF(M92=0,"",IF(INT(ROUND(INDEX(Нормативы!$D$2:$L$71,L92,M92)*100,0)/6000)&gt;0,INT(ROUND(INDEX(Нормативы!$D$2:$L$71,L92,M92)*100,0)/6000)&amp;":"&amp;RIGHT("0"&amp;INT(MOD(ROUND(INDEX(Нормативы!$D$2:$L$71,L92,M92)*100,0),6000)/100),2),INT(MOD(ROUND(INDEX(Нормативы!$D$2:$L$71,L92,M92)*100,0),6000)/100))&amp;"."&amp;RIGHT("0"&amp;MOD(ROUND(INDEX(Нормативы!$D$2:$L$71,L92,M92)*100,0),100),2)))</f>
        <v/>
      </c>
      <c r="J92" s="12" t="str">
        <f aca="false">IF(D92="","",SUMIFS('Базовые времена'!$D$2:$D$71,'Базовые времена'!$A$2:$A$71,B92,'Базовые времена'!$B$2:$B$71,C92,'Базовые времена'!$C$2:$C$71,D92))</f>
        <v/>
      </c>
      <c r="K92" s="12" t="str">
        <f aca="false">IF(E92="","",IF(ISNUMBER(E92),IF(E92&lt;1,E92*86400,E92),IFERROR(IF(ISNUMBER(FIND(":",SUBSTITUTE(TRIM(E92),",","."))),VALUE(LEFT(SUBSTITUTE(TRIM(E92),",","."),FIND(":",SUBSTITUTE(TRIM(E92),",","."))-1))*60+_xlfn.NUMBERVALUE(MID(SUBSTITUTE(TRIM(E92),",","."),FIND(":",SUBSTITUTE(TRIM(E92),",","."))+1,99),"."),_xlfn.NUMBERVALUE(SUBSTITUTE(TRIM(E92),",","."),".")),0)))</f>
        <v/>
      </c>
      <c r="L92" s="3" t="str">
        <f aca="false">IF(OR(D92="",N(K92)&lt;=0),"",IFERROR(MATCH(B92&amp;"|"&amp;C92&amp;"|"&amp;D92,Нормативы!$M$2:$M$71,0),""))</f>
        <v/>
      </c>
      <c r="M92" s="3" t="str">
        <f aca="false">IF(L92="","",SUMPRODUCT((INDEX(Нормативы!$D$2:$L$71,L92,0)&lt;K92)*ISNUMBER(INDEX(Нормативы!$D$2:$L$71,L92,0))))</f>
        <v/>
      </c>
    </row>
    <row r="93" customFormat="false" ht="15" hidden="false" customHeight="false" outlineLevel="0" collapsed="false">
      <c r="A93" s="5"/>
      <c r="B93" s="5"/>
      <c r="C93" s="5"/>
      <c r="D93" s="5"/>
      <c r="E93" s="14"/>
      <c r="F93" s="4" t="str">
        <f aca="false">IF(OR(J93="",K93="",N(J93)=0,N(K93)&lt;=0),"",ROUNDDOWN(1000*(J93/K93)^3,0))</f>
        <v/>
      </c>
      <c r="G93" s="4" t="str">
        <f aca="false">IF(M93="","",IF(M93+1&gt;COUNT(INDEX(Нормативы!$D$2:$L$71,L93,0)),"Разряда нет",INDEX(Нормативы!$D$1:$L$1,1,M93+1)))</f>
        <v/>
      </c>
      <c r="H93" s="2" t="str">
        <f aca="false">IF(M93="","",IF(M93=0,"—",INDEX(Нормативы!$D$1:$L$1,1,M93)))</f>
        <v/>
      </c>
      <c r="I93" s="7" t="str">
        <f aca="false">IF(M93="","",IF(M93=0,"",IF(INT(ROUND(INDEX(Нормативы!$D$2:$L$71,L93,M93)*100,0)/6000)&gt;0,INT(ROUND(INDEX(Нормативы!$D$2:$L$71,L93,M93)*100,0)/6000)&amp;":"&amp;RIGHT("0"&amp;INT(MOD(ROUND(INDEX(Нормативы!$D$2:$L$71,L93,M93)*100,0),6000)/100),2),INT(MOD(ROUND(INDEX(Нормативы!$D$2:$L$71,L93,M93)*100,0),6000)/100))&amp;"."&amp;RIGHT("0"&amp;MOD(ROUND(INDEX(Нормативы!$D$2:$L$71,L93,M93)*100,0),100),2)))</f>
        <v/>
      </c>
      <c r="J93" s="12" t="str">
        <f aca="false">IF(D93="","",SUMIFS('Базовые времена'!$D$2:$D$71,'Базовые времена'!$A$2:$A$71,B93,'Базовые времена'!$B$2:$B$71,C93,'Базовые времена'!$C$2:$C$71,D93))</f>
        <v/>
      </c>
      <c r="K93" s="12" t="str">
        <f aca="false">IF(E93="","",IF(ISNUMBER(E93),IF(E93&lt;1,E93*86400,E93),IFERROR(IF(ISNUMBER(FIND(":",SUBSTITUTE(TRIM(E93),",","."))),VALUE(LEFT(SUBSTITUTE(TRIM(E93),",","."),FIND(":",SUBSTITUTE(TRIM(E93),",","."))-1))*60+_xlfn.NUMBERVALUE(MID(SUBSTITUTE(TRIM(E93),",","."),FIND(":",SUBSTITUTE(TRIM(E93),",","."))+1,99),"."),_xlfn.NUMBERVALUE(SUBSTITUTE(TRIM(E93),",","."),".")),0)))</f>
        <v/>
      </c>
      <c r="L93" s="3" t="str">
        <f aca="false">IF(OR(D93="",N(K93)&lt;=0),"",IFERROR(MATCH(B93&amp;"|"&amp;C93&amp;"|"&amp;D93,Нормативы!$M$2:$M$71,0),""))</f>
        <v/>
      </c>
      <c r="M93" s="3" t="str">
        <f aca="false">IF(L93="","",SUMPRODUCT((INDEX(Нормативы!$D$2:$L$71,L93,0)&lt;K93)*ISNUMBER(INDEX(Нормативы!$D$2:$L$71,L93,0))))</f>
        <v/>
      </c>
    </row>
    <row r="94" customFormat="false" ht="15" hidden="false" customHeight="false" outlineLevel="0" collapsed="false">
      <c r="A94" s="5"/>
      <c r="B94" s="5"/>
      <c r="C94" s="5"/>
      <c r="D94" s="5"/>
      <c r="E94" s="14"/>
      <c r="F94" s="4" t="str">
        <f aca="false">IF(OR(J94="",K94="",N(J94)=0,N(K94)&lt;=0),"",ROUNDDOWN(1000*(J94/K94)^3,0))</f>
        <v/>
      </c>
      <c r="G94" s="4" t="str">
        <f aca="false">IF(M94="","",IF(M94+1&gt;COUNT(INDEX(Нормативы!$D$2:$L$71,L94,0)),"Разряда нет",INDEX(Нормативы!$D$1:$L$1,1,M94+1)))</f>
        <v/>
      </c>
      <c r="H94" s="2" t="str">
        <f aca="false">IF(M94="","",IF(M94=0,"—",INDEX(Нормативы!$D$1:$L$1,1,M94)))</f>
        <v/>
      </c>
      <c r="I94" s="7" t="str">
        <f aca="false">IF(M94="","",IF(M94=0,"",IF(INT(ROUND(INDEX(Нормативы!$D$2:$L$71,L94,M94)*100,0)/6000)&gt;0,INT(ROUND(INDEX(Нормативы!$D$2:$L$71,L94,M94)*100,0)/6000)&amp;":"&amp;RIGHT("0"&amp;INT(MOD(ROUND(INDEX(Нормативы!$D$2:$L$71,L94,M94)*100,0),6000)/100),2),INT(MOD(ROUND(INDEX(Нормативы!$D$2:$L$71,L94,M94)*100,0),6000)/100))&amp;"."&amp;RIGHT("0"&amp;MOD(ROUND(INDEX(Нормативы!$D$2:$L$71,L94,M94)*100,0),100),2)))</f>
        <v/>
      </c>
      <c r="J94" s="12" t="str">
        <f aca="false">IF(D94="","",SUMIFS('Базовые времена'!$D$2:$D$71,'Базовые времена'!$A$2:$A$71,B94,'Базовые времена'!$B$2:$B$71,C94,'Базовые времена'!$C$2:$C$71,D94))</f>
        <v/>
      </c>
      <c r="K94" s="12" t="str">
        <f aca="false">IF(E94="","",IF(ISNUMBER(E94),IF(E94&lt;1,E94*86400,E94),IFERROR(IF(ISNUMBER(FIND(":",SUBSTITUTE(TRIM(E94),",","."))),VALUE(LEFT(SUBSTITUTE(TRIM(E94),",","."),FIND(":",SUBSTITUTE(TRIM(E94),",","."))-1))*60+_xlfn.NUMBERVALUE(MID(SUBSTITUTE(TRIM(E94),",","."),FIND(":",SUBSTITUTE(TRIM(E94),",","."))+1,99),"."),_xlfn.NUMBERVALUE(SUBSTITUTE(TRIM(E94),",","."),".")),0)))</f>
        <v/>
      </c>
      <c r="L94" s="3" t="str">
        <f aca="false">IF(OR(D94="",N(K94)&lt;=0),"",IFERROR(MATCH(B94&amp;"|"&amp;C94&amp;"|"&amp;D94,Нормативы!$M$2:$M$71,0),""))</f>
        <v/>
      </c>
      <c r="M94" s="3" t="str">
        <f aca="false">IF(L94="","",SUMPRODUCT((INDEX(Нормативы!$D$2:$L$71,L94,0)&lt;K94)*ISNUMBER(INDEX(Нормативы!$D$2:$L$71,L94,0))))</f>
        <v/>
      </c>
    </row>
    <row r="95" customFormat="false" ht="15" hidden="false" customHeight="false" outlineLevel="0" collapsed="false">
      <c r="A95" s="5"/>
      <c r="B95" s="5"/>
      <c r="C95" s="5"/>
      <c r="D95" s="5"/>
      <c r="E95" s="14"/>
      <c r="F95" s="4" t="str">
        <f aca="false">IF(OR(J95="",K95="",N(J95)=0,N(K95)&lt;=0),"",ROUNDDOWN(1000*(J95/K95)^3,0))</f>
        <v/>
      </c>
      <c r="G95" s="4" t="str">
        <f aca="false">IF(M95="","",IF(M95+1&gt;COUNT(INDEX(Нормативы!$D$2:$L$71,L95,0)),"Разряда нет",INDEX(Нормативы!$D$1:$L$1,1,M95+1)))</f>
        <v/>
      </c>
      <c r="H95" s="2" t="str">
        <f aca="false">IF(M95="","",IF(M95=0,"—",INDEX(Нормативы!$D$1:$L$1,1,M95)))</f>
        <v/>
      </c>
      <c r="I95" s="7" t="str">
        <f aca="false">IF(M95="","",IF(M95=0,"",IF(INT(ROUND(INDEX(Нормативы!$D$2:$L$71,L95,M95)*100,0)/6000)&gt;0,INT(ROUND(INDEX(Нормативы!$D$2:$L$71,L95,M95)*100,0)/6000)&amp;":"&amp;RIGHT("0"&amp;INT(MOD(ROUND(INDEX(Нормативы!$D$2:$L$71,L95,M95)*100,0),6000)/100),2),INT(MOD(ROUND(INDEX(Нормативы!$D$2:$L$71,L95,M95)*100,0),6000)/100))&amp;"."&amp;RIGHT("0"&amp;MOD(ROUND(INDEX(Нормативы!$D$2:$L$71,L95,M95)*100,0),100),2)))</f>
        <v/>
      </c>
      <c r="J95" s="12" t="str">
        <f aca="false">IF(D95="","",SUMIFS('Базовые времена'!$D$2:$D$71,'Базовые времена'!$A$2:$A$71,B95,'Базовые времена'!$B$2:$B$71,C95,'Базовые времена'!$C$2:$C$71,D95))</f>
        <v/>
      </c>
      <c r="K95" s="12" t="str">
        <f aca="false">IF(E95="","",IF(ISNUMBER(E95),IF(E95&lt;1,E95*86400,E95),IFERROR(IF(ISNUMBER(FIND(":",SUBSTITUTE(TRIM(E95),",","."))),VALUE(LEFT(SUBSTITUTE(TRIM(E95),",","."),FIND(":",SUBSTITUTE(TRIM(E95),",","."))-1))*60+_xlfn.NUMBERVALUE(MID(SUBSTITUTE(TRIM(E95),",","."),FIND(":",SUBSTITUTE(TRIM(E95),",","."))+1,99),"."),_xlfn.NUMBERVALUE(SUBSTITUTE(TRIM(E95),",","."),".")),0)))</f>
        <v/>
      </c>
      <c r="L95" s="3" t="str">
        <f aca="false">IF(OR(D95="",N(K95)&lt;=0),"",IFERROR(MATCH(B95&amp;"|"&amp;C95&amp;"|"&amp;D95,Нормативы!$M$2:$M$71,0),""))</f>
        <v/>
      </c>
      <c r="M95" s="3" t="str">
        <f aca="false">IF(L95="","",SUMPRODUCT((INDEX(Нормативы!$D$2:$L$71,L95,0)&lt;K95)*ISNUMBER(INDEX(Нормативы!$D$2:$L$71,L95,0))))</f>
        <v/>
      </c>
    </row>
    <row r="96" customFormat="false" ht="15" hidden="false" customHeight="false" outlineLevel="0" collapsed="false">
      <c r="A96" s="5"/>
      <c r="B96" s="5"/>
      <c r="C96" s="5"/>
      <c r="D96" s="5"/>
      <c r="E96" s="14"/>
      <c r="F96" s="4" t="str">
        <f aca="false">IF(OR(J96="",K96="",N(J96)=0,N(K96)&lt;=0),"",ROUNDDOWN(1000*(J96/K96)^3,0))</f>
        <v/>
      </c>
      <c r="G96" s="4" t="str">
        <f aca="false">IF(M96="","",IF(M96+1&gt;COUNT(INDEX(Нормативы!$D$2:$L$71,L96,0)),"Разряда нет",INDEX(Нормативы!$D$1:$L$1,1,M96+1)))</f>
        <v/>
      </c>
      <c r="H96" s="2" t="str">
        <f aca="false">IF(M96="","",IF(M96=0,"—",INDEX(Нормативы!$D$1:$L$1,1,M96)))</f>
        <v/>
      </c>
      <c r="I96" s="7" t="str">
        <f aca="false">IF(M96="","",IF(M96=0,"",IF(INT(ROUND(INDEX(Нормативы!$D$2:$L$71,L96,M96)*100,0)/6000)&gt;0,INT(ROUND(INDEX(Нормативы!$D$2:$L$71,L96,M96)*100,0)/6000)&amp;":"&amp;RIGHT("0"&amp;INT(MOD(ROUND(INDEX(Нормативы!$D$2:$L$71,L96,M96)*100,0),6000)/100),2),INT(MOD(ROUND(INDEX(Нормативы!$D$2:$L$71,L96,M96)*100,0),6000)/100))&amp;"."&amp;RIGHT("0"&amp;MOD(ROUND(INDEX(Нормативы!$D$2:$L$71,L96,M96)*100,0),100),2)))</f>
        <v/>
      </c>
      <c r="J96" s="12" t="str">
        <f aca="false">IF(D96="","",SUMIFS('Базовые времена'!$D$2:$D$71,'Базовые времена'!$A$2:$A$71,B96,'Базовые времена'!$B$2:$B$71,C96,'Базовые времена'!$C$2:$C$71,D96))</f>
        <v/>
      </c>
      <c r="K96" s="12" t="str">
        <f aca="false">IF(E96="","",IF(ISNUMBER(E96),IF(E96&lt;1,E96*86400,E96),IFERROR(IF(ISNUMBER(FIND(":",SUBSTITUTE(TRIM(E96),",","."))),VALUE(LEFT(SUBSTITUTE(TRIM(E96),",","."),FIND(":",SUBSTITUTE(TRIM(E96),",","."))-1))*60+_xlfn.NUMBERVALUE(MID(SUBSTITUTE(TRIM(E96),",","."),FIND(":",SUBSTITUTE(TRIM(E96),",","."))+1,99),"."),_xlfn.NUMBERVALUE(SUBSTITUTE(TRIM(E96),",","."),".")),0)))</f>
        <v/>
      </c>
      <c r="L96" s="3" t="str">
        <f aca="false">IF(OR(D96="",N(K96)&lt;=0),"",IFERROR(MATCH(B96&amp;"|"&amp;C96&amp;"|"&amp;D96,Нормативы!$M$2:$M$71,0),""))</f>
        <v/>
      </c>
      <c r="M96" s="3" t="str">
        <f aca="false">IF(L96="","",SUMPRODUCT((INDEX(Нормативы!$D$2:$L$71,L96,0)&lt;K96)*ISNUMBER(INDEX(Нормативы!$D$2:$L$71,L96,0))))</f>
        <v/>
      </c>
    </row>
    <row r="97" customFormat="false" ht="15" hidden="false" customHeight="false" outlineLevel="0" collapsed="false">
      <c r="A97" s="5"/>
      <c r="B97" s="5"/>
      <c r="C97" s="5"/>
      <c r="D97" s="5"/>
      <c r="E97" s="14"/>
      <c r="F97" s="4" t="str">
        <f aca="false">IF(OR(J97="",K97="",N(J97)=0,N(K97)&lt;=0),"",ROUNDDOWN(1000*(J97/K97)^3,0))</f>
        <v/>
      </c>
      <c r="G97" s="4" t="str">
        <f aca="false">IF(M97="","",IF(M97+1&gt;COUNT(INDEX(Нормативы!$D$2:$L$71,L97,0)),"Разряда нет",INDEX(Нормативы!$D$1:$L$1,1,M97+1)))</f>
        <v/>
      </c>
      <c r="H97" s="2" t="str">
        <f aca="false">IF(M97="","",IF(M97=0,"—",INDEX(Нормативы!$D$1:$L$1,1,M97)))</f>
        <v/>
      </c>
      <c r="I97" s="7" t="str">
        <f aca="false">IF(M97="","",IF(M97=0,"",IF(INT(ROUND(INDEX(Нормативы!$D$2:$L$71,L97,M97)*100,0)/6000)&gt;0,INT(ROUND(INDEX(Нормативы!$D$2:$L$71,L97,M97)*100,0)/6000)&amp;":"&amp;RIGHT("0"&amp;INT(MOD(ROUND(INDEX(Нормативы!$D$2:$L$71,L97,M97)*100,0),6000)/100),2),INT(MOD(ROUND(INDEX(Нормативы!$D$2:$L$71,L97,M97)*100,0),6000)/100))&amp;"."&amp;RIGHT("0"&amp;MOD(ROUND(INDEX(Нормативы!$D$2:$L$71,L97,M97)*100,0),100),2)))</f>
        <v/>
      </c>
      <c r="J97" s="12" t="str">
        <f aca="false">IF(D97="","",SUMIFS('Базовые времена'!$D$2:$D$71,'Базовые времена'!$A$2:$A$71,B97,'Базовые времена'!$B$2:$B$71,C97,'Базовые времена'!$C$2:$C$71,D97))</f>
        <v/>
      </c>
      <c r="K97" s="12" t="str">
        <f aca="false">IF(E97="","",IF(ISNUMBER(E97),IF(E97&lt;1,E97*86400,E97),IFERROR(IF(ISNUMBER(FIND(":",SUBSTITUTE(TRIM(E97),",","."))),VALUE(LEFT(SUBSTITUTE(TRIM(E97),",","."),FIND(":",SUBSTITUTE(TRIM(E97),",","."))-1))*60+_xlfn.NUMBERVALUE(MID(SUBSTITUTE(TRIM(E97),",","."),FIND(":",SUBSTITUTE(TRIM(E97),",","."))+1,99),"."),_xlfn.NUMBERVALUE(SUBSTITUTE(TRIM(E97),",","."),".")),0)))</f>
        <v/>
      </c>
      <c r="L97" s="3" t="str">
        <f aca="false">IF(OR(D97="",N(K97)&lt;=0),"",IFERROR(MATCH(B97&amp;"|"&amp;C97&amp;"|"&amp;D97,Нормативы!$M$2:$M$71,0),""))</f>
        <v/>
      </c>
      <c r="M97" s="3" t="str">
        <f aca="false">IF(L97="","",SUMPRODUCT((INDEX(Нормативы!$D$2:$L$71,L97,0)&lt;K97)*ISNUMBER(INDEX(Нормативы!$D$2:$L$71,L97,0))))</f>
        <v/>
      </c>
    </row>
    <row r="98" customFormat="false" ht="15" hidden="false" customHeight="false" outlineLevel="0" collapsed="false">
      <c r="A98" s="5"/>
      <c r="B98" s="5"/>
      <c r="C98" s="5"/>
      <c r="D98" s="5"/>
      <c r="E98" s="14"/>
      <c r="F98" s="4" t="str">
        <f aca="false">IF(OR(J98="",K98="",N(J98)=0,N(K98)&lt;=0),"",ROUNDDOWN(1000*(J98/K98)^3,0))</f>
        <v/>
      </c>
      <c r="G98" s="4" t="str">
        <f aca="false">IF(M98="","",IF(M98+1&gt;COUNT(INDEX(Нормативы!$D$2:$L$71,L98,0)),"Разряда нет",INDEX(Нормативы!$D$1:$L$1,1,M98+1)))</f>
        <v/>
      </c>
      <c r="H98" s="2" t="str">
        <f aca="false">IF(M98="","",IF(M98=0,"—",INDEX(Нормативы!$D$1:$L$1,1,M98)))</f>
        <v/>
      </c>
      <c r="I98" s="7" t="str">
        <f aca="false">IF(M98="","",IF(M98=0,"",IF(INT(ROUND(INDEX(Нормативы!$D$2:$L$71,L98,M98)*100,0)/6000)&gt;0,INT(ROUND(INDEX(Нормативы!$D$2:$L$71,L98,M98)*100,0)/6000)&amp;":"&amp;RIGHT("0"&amp;INT(MOD(ROUND(INDEX(Нормативы!$D$2:$L$71,L98,M98)*100,0),6000)/100),2),INT(MOD(ROUND(INDEX(Нормативы!$D$2:$L$71,L98,M98)*100,0),6000)/100))&amp;"."&amp;RIGHT("0"&amp;MOD(ROUND(INDEX(Нормативы!$D$2:$L$71,L98,M98)*100,0),100),2)))</f>
        <v/>
      </c>
      <c r="J98" s="12" t="str">
        <f aca="false">IF(D98="","",SUMIFS('Базовые времена'!$D$2:$D$71,'Базовые времена'!$A$2:$A$71,B98,'Базовые времена'!$B$2:$B$71,C98,'Базовые времена'!$C$2:$C$71,D98))</f>
        <v/>
      </c>
      <c r="K98" s="12" t="str">
        <f aca="false">IF(E98="","",IF(ISNUMBER(E98),IF(E98&lt;1,E98*86400,E98),IFERROR(IF(ISNUMBER(FIND(":",SUBSTITUTE(TRIM(E98),",","."))),VALUE(LEFT(SUBSTITUTE(TRIM(E98),",","."),FIND(":",SUBSTITUTE(TRIM(E98),",","."))-1))*60+_xlfn.NUMBERVALUE(MID(SUBSTITUTE(TRIM(E98),",","."),FIND(":",SUBSTITUTE(TRIM(E98),",","."))+1,99),"."),_xlfn.NUMBERVALUE(SUBSTITUTE(TRIM(E98),",","."),".")),0)))</f>
        <v/>
      </c>
      <c r="L98" s="3" t="str">
        <f aca="false">IF(OR(D98="",N(K98)&lt;=0),"",IFERROR(MATCH(B98&amp;"|"&amp;C98&amp;"|"&amp;D98,Нормативы!$M$2:$M$71,0),""))</f>
        <v/>
      </c>
      <c r="M98" s="3" t="str">
        <f aca="false">IF(L98="","",SUMPRODUCT((INDEX(Нормативы!$D$2:$L$71,L98,0)&lt;K98)*ISNUMBER(INDEX(Нормативы!$D$2:$L$71,L98,0))))</f>
        <v/>
      </c>
    </row>
    <row r="99" customFormat="false" ht="15" hidden="false" customHeight="false" outlineLevel="0" collapsed="false">
      <c r="A99" s="5"/>
      <c r="B99" s="5"/>
      <c r="C99" s="5"/>
      <c r="D99" s="5"/>
      <c r="E99" s="14"/>
      <c r="F99" s="4" t="str">
        <f aca="false">IF(OR(J99="",K99="",N(J99)=0,N(K99)&lt;=0),"",ROUNDDOWN(1000*(J99/K99)^3,0))</f>
        <v/>
      </c>
      <c r="G99" s="4" t="str">
        <f aca="false">IF(M99="","",IF(M99+1&gt;COUNT(INDEX(Нормативы!$D$2:$L$71,L99,0)),"Разряда нет",INDEX(Нормативы!$D$1:$L$1,1,M99+1)))</f>
        <v/>
      </c>
      <c r="H99" s="2" t="str">
        <f aca="false">IF(M99="","",IF(M99=0,"—",INDEX(Нормативы!$D$1:$L$1,1,M99)))</f>
        <v/>
      </c>
      <c r="I99" s="7" t="str">
        <f aca="false">IF(M99="","",IF(M99=0,"",IF(INT(ROUND(INDEX(Нормативы!$D$2:$L$71,L99,M99)*100,0)/6000)&gt;0,INT(ROUND(INDEX(Нормативы!$D$2:$L$71,L99,M99)*100,0)/6000)&amp;":"&amp;RIGHT("0"&amp;INT(MOD(ROUND(INDEX(Нормативы!$D$2:$L$71,L99,M99)*100,0),6000)/100),2),INT(MOD(ROUND(INDEX(Нормативы!$D$2:$L$71,L99,M99)*100,0),6000)/100))&amp;"."&amp;RIGHT("0"&amp;MOD(ROUND(INDEX(Нормативы!$D$2:$L$71,L99,M99)*100,0),100),2)))</f>
        <v/>
      </c>
      <c r="J99" s="12" t="str">
        <f aca="false">IF(D99="","",SUMIFS('Базовые времена'!$D$2:$D$71,'Базовые времена'!$A$2:$A$71,B99,'Базовые времена'!$B$2:$B$71,C99,'Базовые времена'!$C$2:$C$71,D99))</f>
        <v/>
      </c>
      <c r="K99" s="12" t="str">
        <f aca="false">IF(E99="","",IF(ISNUMBER(E99),IF(E99&lt;1,E99*86400,E99),IFERROR(IF(ISNUMBER(FIND(":",SUBSTITUTE(TRIM(E99),",","."))),VALUE(LEFT(SUBSTITUTE(TRIM(E99),",","."),FIND(":",SUBSTITUTE(TRIM(E99),",","."))-1))*60+_xlfn.NUMBERVALUE(MID(SUBSTITUTE(TRIM(E99),",","."),FIND(":",SUBSTITUTE(TRIM(E99),",","."))+1,99),"."),_xlfn.NUMBERVALUE(SUBSTITUTE(TRIM(E99),",","."),".")),0)))</f>
        <v/>
      </c>
      <c r="L99" s="3" t="str">
        <f aca="false">IF(OR(D99="",N(K99)&lt;=0),"",IFERROR(MATCH(B99&amp;"|"&amp;C99&amp;"|"&amp;D99,Нормативы!$M$2:$M$71,0),""))</f>
        <v/>
      </c>
      <c r="M99" s="3" t="str">
        <f aca="false">IF(L99="","",SUMPRODUCT((INDEX(Нормативы!$D$2:$L$71,L99,0)&lt;K99)*ISNUMBER(INDEX(Нормативы!$D$2:$L$71,L99,0))))</f>
        <v/>
      </c>
    </row>
    <row r="100" customFormat="false" ht="15" hidden="false" customHeight="false" outlineLevel="0" collapsed="false">
      <c r="A100" s="5"/>
      <c r="B100" s="5"/>
      <c r="C100" s="5"/>
      <c r="D100" s="5"/>
      <c r="E100" s="14"/>
      <c r="F100" s="4" t="str">
        <f aca="false">IF(OR(J100="",K100="",N(J100)=0,N(K100)&lt;=0),"",ROUNDDOWN(1000*(J100/K100)^3,0))</f>
        <v/>
      </c>
      <c r="G100" s="4" t="str">
        <f aca="false">IF(M100="","",IF(M100+1&gt;COUNT(INDEX(Нормативы!$D$2:$L$71,L100,0)),"Разряда нет",INDEX(Нормативы!$D$1:$L$1,1,M100+1)))</f>
        <v/>
      </c>
      <c r="H100" s="2" t="str">
        <f aca="false">IF(M100="","",IF(M100=0,"—",INDEX(Нормативы!$D$1:$L$1,1,M100)))</f>
        <v/>
      </c>
      <c r="I100" s="7" t="str">
        <f aca="false">IF(M100="","",IF(M100=0,"",IF(INT(ROUND(INDEX(Нормативы!$D$2:$L$71,L100,M100)*100,0)/6000)&gt;0,INT(ROUND(INDEX(Нормативы!$D$2:$L$71,L100,M100)*100,0)/6000)&amp;":"&amp;RIGHT("0"&amp;INT(MOD(ROUND(INDEX(Нормативы!$D$2:$L$71,L100,M100)*100,0),6000)/100),2),INT(MOD(ROUND(INDEX(Нормативы!$D$2:$L$71,L100,M100)*100,0),6000)/100))&amp;"."&amp;RIGHT("0"&amp;MOD(ROUND(INDEX(Нормативы!$D$2:$L$71,L100,M100)*100,0),100),2)))</f>
        <v/>
      </c>
      <c r="J100" s="12" t="str">
        <f aca="false">IF(D100="","",SUMIFS('Базовые времена'!$D$2:$D$71,'Базовые времена'!$A$2:$A$71,B100,'Базовые времена'!$B$2:$B$71,C100,'Базовые времена'!$C$2:$C$71,D100))</f>
        <v/>
      </c>
      <c r="K100" s="12" t="str">
        <f aca="false">IF(E100="","",IF(ISNUMBER(E100),IF(E100&lt;1,E100*86400,E100),IFERROR(IF(ISNUMBER(FIND(":",SUBSTITUTE(TRIM(E100),",","."))),VALUE(LEFT(SUBSTITUTE(TRIM(E100),",","."),FIND(":",SUBSTITUTE(TRIM(E100),",","."))-1))*60+_xlfn.NUMBERVALUE(MID(SUBSTITUTE(TRIM(E100),",","."),FIND(":",SUBSTITUTE(TRIM(E100),",","."))+1,99),"."),_xlfn.NUMBERVALUE(SUBSTITUTE(TRIM(E100),",","."),".")),0)))</f>
        <v/>
      </c>
      <c r="L100" s="3" t="str">
        <f aca="false">IF(OR(D100="",N(K100)&lt;=0),"",IFERROR(MATCH(B100&amp;"|"&amp;C100&amp;"|"&amp;D100,Нормативы!$M$2:$M$71,0),""))</f>
        <v/>
      </c>
      <c r="M100" s="3" t="str">
        <f aca="false">IF(L100="","",SUMPRODUCT((INDEX(Нормативы!$D$2:$L$71,L100,0)&lt;K100)*ISNUMBER(INDEX(Нормативы!$D$2:$L$71,L100,0))))</f>
        <v/>
      </c>
    </row>
    <row r="101" customFormat="false" ht="15" hidden="false" customHeight="false" outlineLevel="0" collapsed="false">
      <c r="A101" s="5"/>
      <c r="B101" s="5"/>
      <c r="C101" s="5"/>
      <c r="D101" s="5"/>
      <c r="E101" s="14"/>
      <c r="F101" s="4" t="str">
        <f aca="false">IF(OR(J101="",K101="",N(J101)=0,N(K101)&lt;=0),"",ROUNDDOWN(1000*(J101/K101)^3,0))</f>
        <v/>
      </c>
      <c r="G101" s="4" t="str">
        <f aca="false">IF(M101="","",IF(M101+1&gt;COUNT(INDEX(Нормативы!$D$2:$L$71,L101,0)),"Разряда нет",INDEX(Нормативы!$D$1:$L$1,1,M101+1)))</f>
        <v/>
      </c>
      <c r="H101" s="2" t="str">
        <f aca="false">IF(M101="","",IF(M101=0,"—",INDEX(Нормативы!$D$1:$L$1,1,M101)))</f>
        <v/>
      </c>
      <c r="I101" s="7" t="str">
        <f aca="false">IF(M101="","",IF(M101=0,"",IF(INT(ROUND(INDEX(Нормативы!$D$2:$L$71,L101,M101)*100,0)/6000)&gt;0,INT(ROUND(INDEX(Нормативы!$D$2:$L$71,L101,M101)*100,0)/6000)&amp;":"&amp;RIGHT("0"&amp;INT(MOD(ROUND(INDEX(Нормативы!$D$2:$L$71,L101,M101)*100,0),6000)/100),2),INT(MOD(ROUND(INDEX(Нормативы!$D$2:$L$71,L101,M101)*100,0),6000)/100))&amp;"."&amp;RIGHT("0"&amp;MOD(ROUND(INDEX(Нормативы!$D$2:$L$71,L101,M101)*100,0),100),2)))</f>
        <v/>
      </c>
      <c r="J101" s="12" t="str">
        <f aca="false">IF(D101="","",SUMIFS('Базовые времена'!$D$2:$D$71,'Базовые времена'!$A$2:$A$71,B101,'Базовые времена'!$B$2:$B$71,C101,'Базовые времена'!$C$2:$C$71,D101))</f>
        <v/>
      </c>
      <c r="K101" s="12" t="str">
        <f aca="false">IF(E101="","",IF(ISNUMBER(E101),IF(E101&lt;1,E101*86400,E101),IFERROR(IF(ISNUMBER(FIND(":",SUBSTITUTE(TRIM(E101),",","."))),VALUE(LEFT(SUBSTITUTE(TRIM(E101),",","."),FIND(":",SUBSTITUTE(TRIM(E101),",","."))-1))*60+_xlfn.NUMBERVALUE(MID(SUBSTITUTE(TRIM(E101),",","."),FIND(":",SUBSTITUTE(TRIM(E101),",","."))+1,99),"."),_xlfn.NUMBERVALUE(SUBSTITUTE(TRIM(E101),",","."),".")),0)))</f>
        <v/>
      </c>
      <c r="L101" s="3" t="str">
        <f aca="false">IF(OR(D101="",N(K101)&lt;=0),"",IFERROR(MATCH(B101&amp;"|"&amp;C101&amp;"|"&amp;D101,Нормативы!$M$2:$M$71,0),""))</f>
        <v/>
      </c>
      <c r="M101" s="3" t="str">
        <f aca="false">IF(L101="","",SUMPRODUCT((INDEX(Нормативы!$D$2:$L$71,L101,0)&lt;K101)*ISNUMBER(INDEX(Нормативы!$D$2:$L$71,L101,0))))</f>
        <v/>
      </c>
    </row>
    <row r="102" customFormat="false" ht="15" hidden="false" customHeight="false" outlineLevel="0" collapsed="false">
      <c r="A102" s="5"/>
      <c r="B102" s="5"/>
      <c r="C102" s="5"/>
      <c r="D102" s="5"/>
      <c r="E102" s="14"/>
      <c r="F102" s="4" t="str">
        <f aca="false">IF(OR(J102="",K102="",N(J102)=0,N(K102)&lt;=0),"",ROUNDDOWN(1000*(J102/K102)^3,0))</f>
        <v/>
      </c>
      <c r="G102" s="4" t="str">
        <f aca="false">IF(M102="","",IF(M102+1&gt;COUNT(INDEX(Нормативы!$D$2:$L$71,L102,0)),"Разряда нет",INDEX(Нормативы!$D$1:$L$1,1,M102+1)))</f>
        <v/>
      </c>
      <c r="H102" s="2" t="str">
        <f aca="false">IF(M102="","",IF(M102=0,"—",INDEX(Нормативы!$D$1:$L$1,1,M102)))</f>
        <v/>
      </c>
      <c r="I102" s="7" t="str">
        <f aca="false">IF(M102="","",IF(M102=0,"",IF(INT(ROUND(INDEX(Нормативы!$D$2:$L$71,L102,M102)*100,0)/6000)&gt;0,INT(ROUND(INDEX(Нормативы!$D$2:$L$71,L102,M102)*100,0)/6000)&amp;":"&amp;RIGHT("0"&amp;INT(MOD(ROUND(INDEX(Нормативы!$D$2:$L$71,L102,M102)*100,0),6000)/100),2),INT(MOD(ROUND(INDEX(Нормативы!$D$2:$L$71,L102,M102)*100,0),6000)/100))&amp;"."&amp;RIGHT("0"&amp;MOD(ROUND(INDEX(Нормативы!$D$2:$L$71,L102,M102)*100,0),100),2)))</f>
        <v/>
      </c>
      <c r="J102" s="12" t="str">
        <f aca="false">IF(D102="","",SUMIFS('Базовые времена'!$D$2:$D$71,'Базовые времена'!$A$2:$A$71,B102,'Базовые времена'!$B$2:$B$71,C102,'Базовые времена'!$C$2:$C$71,D102))</f>
        <v/>
      </c>
      <c r="K102" s="12" t="str">
        <f aca="false">IF(E102="","",IF(ISNUMBER(E102),IF(E102&lt;1,E102*86400,E102),IFERROR(IF(ISNUMBER(FIND(":",SUBSTITUTE(TRIM(E102),",","."))),VALUE(LEFT(SUBSTITUTE(TRIM(E102),",","."),FIND(":",SUBSTITUTE(TRIM(E102),",","."))-1))*60+_xlfn.NUMBERVALUE(MID(SUBSTITUTE(TRIM(E102),",","."),FIND(":",SUBSTITUTE(TRIM(E102),",","."))+1,99),"."),_xlfn.NUMBERVALUE(SUBSTITUTE(TRIM(E102),",","."),".")),0)))</f>
        <v/>
      </c>
      <c r="L102" s="3" t="str">
        <f aca="false">IF(OR(D102="",N(K102)&lt;=0),"",IFERROR(MATCH(B102&amp;"|"&amp;C102&amp;"|"&amp;D102,Нормативы!$M$2:$M$71,0),""))</f>
        <v/>
      </c>
      <c r="M102" s="3" t="str">
        <f aca="false">IF(L102="","",SUMPRODUCT((INDEX(Нормативы!$D$2:$L$71,L102,0)&lt;K102)*ISNUMBER(INDEX(Нормативы!$D$2:$L$71,L102,0))))</f>
        <v/>
      </c>
    </row>
    <row r="103" customFormat="false" ht="15" hidden="false" customHeight="false" outlineLevel="0" collapsed="false">
      <c r="A103" s="5"/>
      <c r="B103" s="5"/>
      <c r="C103" s="5"/>
      <c r="D103" s="5"/>
      <c r="E103" s="14"/>
      <c r="F103" s="4" t="str">
        <f aca="false">IF(OR(J103="",K103="",N(J103)=0,N(K103)&lt;=0),"",ROUNDDOWN(1000*(J103/K103)^3,0))</f>
        <v/>
      </c>
      <c r="G103" s="4" t="str">
        <f aca="false">IF(M103="","",IF(M103+1&gt;COUNT(INDEX(Нормативы!$D$2:$L$71,L103,0)),"Разряда нет",INDEX(Нормативы!$D$1:$L$1,1,M103+1)))</f>
        <v/>
      </c>
      <c r="H103" s="2" t="str">
        <f aca="false">IF(M103="","",IF(M103=0,"—",INDEX(Нормативы!$D$1:$L$1,1,M103)))</f>
        <v/>
      </c>
      <c r="I103" s="7" t="str">
        <f aca="false">IF(M103="","",IF(M103=0,"",IF(INT(ROUND(INDEX(Нормативы!$D$2:$L$71,L103,M103)*100,0)/6000)&gt;0,INT(ROUND(INDEX(Нормативы!$D$2:$L$71,L103,M103)*100,0)/6000)&amp;":"&amp;RIGHT("0"&amp;INT(MOD(ROUND(INDEX(Нормативы!$D$2:$L$71,L103,M103)*100,0),6000)/100),2),INT(MOD(ROUND(INDEX(Нормативы!$D$2:$L$71,L103,M103)*100,0),6000)/100))&amp;"."&amp;RIGHT("0"&amp;MOD(ROUND(INDEX(Нормативы!$D$2:$L$71,L103,M103)*100,0),100),2)))</f>
        <v/>
      </c>
      <c r="J103" s="12" t="str">
        <f aca="false">IF(D103="","",SUMIFS('Базовые времена'!$D$2:$D$71,'Базовые времена'!$A$2:$A$71,B103,'Базовые времена'!$B$2:$B$71,C103,'Базовые времена'!$C$2:$C$71,D103))</f>
        <v/>
      </c>
      <c r="K103" s="12" t="str">
        <f aca="false">IF(E103="","",IF(ISNUMBER(E103),IF(E103&lt;1,E103*86400,E103),IFERROR(IF(ISNUMBER(FIND(":",SUBSTITUTE(TRIM(E103),",","."))),VALUE(LEFT(SUBSTITUTE(TRIM(E103),",","."),FIND(":",SUBSTITUTE(TRIM(E103),",","."))-1))*60+_xlfn.NUMBERVALUE(MID(SUBSTITUTE(TRIM(E103),",","."),FIND(":",SUBSTITUTE(TRIM(E103),",","."))+1,99),"."),_xlfn.NUMBERVALUE(SUBSTITUTE(TRIM(E103),",","."),".")),0)))</f>
        <v/>
      </c>
      <c r="L103" s="3" t="str">
        <f aca="false">IF(OR(D103="",N(K103)&lt;=0),"",IFERROR(MATCH(B103&amp;"|"&amp;C103&amp;"|"&amp;D103,Нормативы!$M$2:$M$71,0),""))</f>
        <v/>
      </c>
      <c r="M103" s="3" t="str">
        <f aca="false">IF(L103="","",SUMPRODUCT((INDEX(Нормативы!$D$2:$L$71,L103,0)&lt;K103)*ISNUMBER(INDEX(Нормативы!$D$2:$L$71,L103,0))))</f>
        <v/>
      </c>
    </row>
    <row r="104" customFormat="false" ht="15" hidden="false" customHeight="false" outlineLevel="0" collapsed="false">
      <c r="A104" s="5"/>
      <c r="B104" s="5"/>
      <c r="C104" s="5"/>
      <c r="D104" s="5"/>
      <c r="E104" s="14"/>
      <c r="F104" s="4" t="str">
        <f aca="false">IF(OR(J104="",K104="",N(J104)=0,N(K104)&lt;=0),"",ROUNDDOWN(1000*(J104/K104)^3,0))</f>
        <v/>
      </c>
      <c r="G104" s="4" t="str">
        <f aca="false">IF(M104="","",IF(M104+1&gt;COUNT(INDEX(Нормативы!$D$2:$L$71,L104,0)),"Разряда нет",INDEX(Нормативы!$D$1:$L$1,1,M104+1)))</f>
        <v/>
      </c>
      <c r="H104" s="2" t="str">
        <f aca="false">IF(M104="","",IF(M104=0,"—",INDEX(Нормативы!$D$1:$L$1,1,M104)))</f>
        <v/>
      </c>
      <c r="I104" s="7" t="str">
        <f aca="false">IF(M104="","",IF(M104=0,"",IF(INT(ROUND(INDEX(Нормативы!$D$2:$L$71,L104,M104)*100,0)/6000)&gt;0,INT(ROUND(INDEX(Нормативы!$D$2:$L$71,L104,M104)*100,0)/6000)&amp;":"&amp;RIGHT("0"&amp;INT(MOD(ROUND(INDEX(Нормативы!$D$2:$L$71,L104,M104)*100,0),6000)/100),2),INT(MOD(ROUND(INDEX(Нормативы!$D$2:$L$71,L104,M104)*100,0),6000)/100))&amp;"."&amp;RIGHT("0"&amp;MOD(ROUND(INDEX(Нормативы!$D$2:$L$71,L104,M104)*100,0),100),2)))</f>
        <v/>
      </c>
      <c r="J104" s="12" t="str">
        <f aca="false">IF(D104="","",SUMIFS('Базовые времена'!$D$2:$D$71,'Базовые времена'!$A$2:$A$71,B104,'Базовые времена'!$B$2:$B$71,C104,'Базовые времена'!$C$2:$C$71,D104))</f>
        <v/>
      </c>
      <c r="K104" s="12" t="str">
        <f aca="false">IF(E104="","",IF(ISNUMBER(E104),IF(E104&lt;1,E104*86400,E104),IFERROR(IF(ISNUMBER(FIND(":",SUBSTITUTE(TRIM(E104),",","."))),VALUE(LEFT(SUBSTITUTE(TRIM(E104),",","."),FIND(":",SUBSTITUTE(TRIM(E104),",","."))-1))*60+_xlfn.NUMBERVALUE(MID(SUBSTITUTE(TRIM(E104),",","."),FIND(":",SUBSTITUTE(TRIM(E104),",","."))+1,99),"."),_xlfn.NUMBERVALUE(SUBSTITUTE(TRIM(E104),",","."),".")),0)))</f>
        <v/>
      </c>
      <c r="L104" s="3" t="str">
        <f aca="false">IF(OR(D104="",N(K104)&lt;=0),"",IFERROR(MATCH(B104&amp;"|"&amp;C104&amp;"|"&amp;D104,Нормативы!$M$2:$M$71,0),""))</f>
        <v/>
      </c>
      <c r="M104" s="3" t="str">
        <f aca="false">IF(L104="","",SUMPRODUCT((INDEX(Нормативы!$D$2:$L$71,L104,0)&lt;K104)*ISNUMBER(INDEX(Нормативы!$D$2:$L$71,L104,0))))</f>
        <v/>
      </c>
    </row>
    <row r="105" customFormat="false" ht="15" hidden="false" customHeight="false" outlineLevel="0" collapsed="false">
      <c r="A105" s="5"/>
      <c r="B105" s="5"/>
      <c r="C105" s="5"/>
      <c r="D105" s="5"/>
      <c r="E105" s="14"/>
      <c r="F105" s="4" t="str">
        <f aca="false">IF(OR(J105="",K105="",N(J105)=0,N(K105)&lt;=0),"",ROUNDDOWN(1000*(J105/K105)^3,0))</f>
        <v/>
      </c>
      <c r="G105" s="4" t="str">
        <f aca="false">IF(M105="","",IF(M105+1&gt;COUNT(INDEX(Нормативы!$D$2:$L$71,L105,0)),"Разряда нет",INDEX(Нормативы!$D$1:$L$1,1,M105+1)))</f>
        <v/>
      </c>
      <c r="H105" s="2" t="str">
        <f aca="false">IF(M105="","",IF(M105=0,"—",INDEX(Нормативы!$D$1:$L$1,1,M105)))</f>
        <v/>
      </c>
      <c r="I105" s="7" t="str">
        <f aca="false">IF(M105="","",IF(M105=0,"",IF(INT(ROUND(INDEX(Нормативы!$D$2:$L$71,L105,M105)*100,0)/6000)&gt;0,INT(ROUND(INDEX(Нормативы!$D$2:$L$71,L105,M105)*100,0)/6000)&amp;":"&amp;RIGHT("0"&amp;INT(MOD(ROUND(INDEX(Нормативы!$D$2:$L$71,L105,M105)*100,0),6000)/100),2),INT(MOD(ROUND(INDEX(Нормативы!$D$2:$L$71,L105,M105)*100,0),6000)/100))&amp;"."&amp;RIGHT("0"&amp;MOD(ROUND(INDEX(Нормативы!$D$2:$L$71,L105,M105)*100,0),100),2)))</f>
        <v/>
      </c>
      <c r="J105" s="12" t="str">
        <f aca="false">IF(D105="","",SUMIFS('Базовые времена'!$D$2:$D$71,'Базовые времена'!$A$2:$A$71,B105,'Базовые времена'!$B$2:$B$71,C105,'Базовые времена'!$C$2:$C$71,D105))</f>
        <v/>
      </c>
      <c r="K105" s="12" t="str">
        <f aca="false">IF(E105="","",IF(ISNUMBER(E105),IF(E105&lt;1,E105*86400,E105),IFERROR(IF(ISNUMBER(FIND(":",SUBSTITUTE(TRIM(E105),",","."))),VALUE(LEFT(SUBSTITUTE(TRIM(E105),",","."),FIND(":",SUBSTITUTE(TRIM(E105),",","."))-1))*60+_xlfn.NUMBERVALUE(MID(SUBSTITUTE(TRIM(E105),",","."),FIND(":",SUBSTITUTE(TRIM(E105),",","."))+1,99),"."),_xlfn.NUMBERVALUE(SUBSTITUTE(TRIM(E105),",","."),".")),0)))</f>
        <v/>
      </c>
      <c r="L105" s="3" t="str">
        <f aca="false">IF(OR(D105="",N(K105)&lt;=0),"",IFERROR(MATCH(B105&amp;"|"&amp;C105&amp;"|"&amp;D105,Нормативы!$M$2:$M$71,0),""))</f>
        <v/>
      </c>
      <c r="M105" s="3" t="str">
        <f aca="false">IF(L105="","",SUMPRODUCT((INDEX(Нормативы!$D$2:$L$71,L105,0)&lt;K105)*ISNUMBER(INDEX(Нормативы!$D$2:$L$71,L105,0))))</f>
        <v/>
      </c>
    </row>
    <row r="106" customFormat="false" ht="15" hidden="false" customHeight="false" outlineLevel="0" collapsed="false">
      <c r="A106" s="5"/>
      <c r="B106" s="5"/>
      <c r="C106" s="5"/>
      <c r="D106" s="5"/>
      <c r="E106" s="14"/>
      <c r="F106" s="4" t="str">
        <f aca="false">IF(OR(J106="",K106="",N(J106)=0,N(K106)&lt;=0),"",ROUNDDOWN(1000*(J106/K106)^3,0))</f>
        <v/>
      </c>
      <c r="G106" s="4" t="str">
        <f aca="false">IF(M106="","",IF(M106+1&gt;COUNT(INDEX(Нормативы!$D$2:$L$71,L106,0)),"Разряда нет",INDEX(Нормативы!$D$1:$L$1,1,M106+1)))</f>
        <v/>
      </c>
      <c r="H106" s="2" t="str">
        <f aca="false">IF(M106="","",IF(M106=0,"—",INDEX(Нормативы!$D$1:$L$1,1,M106)))</f>
        <v/>
      </c>
      <c r="I106" s="7" t="str">
        <f aca="false">IF(M106="","",IF(M106=0,"",IF(INT(ROUND(INDEX(Нормативы!$D$2:$L$71,L106,M106)*100,0)/6000)&gt;0,INT(ROUND(INDEX(Нормативы!$D$2:$L$71,L106,M106)*100,0)/6000)&amp;":"&amp;RIGHT("0"&amp;INT(MOD(ROUND(INDEX(Нормативы!$D$2:$L$71,L106,M106)*100,0),6000)/100),2),INT(MOD(ROUND(INDEX(Нормативы!$D$2:$L$71,L106,M106)*100,0),6000)/100))&amp;"."&amp;RIGHT("0"&amp;MOD(ROUND(INDEX(Нормативы!$D$2:$L$71,L106,M106)*100,0),100),2)))</f>
        <v/>
      </c>
      <c r="J106" s="12" t="str">
        <f aca="false">IF(D106="","",SUMIFS('Базовые времена'!$D$2:$D$71,'Базовые времена'!$A$2:$A$71,B106,'Базовые времена'!$B$2:$B$71,C106,'Базовые времена'!$C$2:$C$71,D106))</f>
        <v/>
      </c>
      <c r="K106" s="12" t="str">
        <f aca="false">IF(E106="","",IF(ISNUMBER(E106),IF(E106&lt;1,E106*86400,E106),IFERROR(IF(ISNUMBER(FIND(":",SUBSTITUTE(TRIM(E106),",","."))),VALUE(LEFT(SUBSTITUTE(TRIM(E106),",","."),FIND(":",SUBSTITUTE(TRIM(E106),",","."))-1))*60+_xlfn.NUMBERVALUE(MID(SUBSTITUTE(TRIM(E106),",","."),FIND(":",SUBSTITUTE(TRIM(E106),",","."))+1,99),"."),_xlfn.NUMBERVALUE(SUBSTITUTE(TRIM(E106),",","."),".")),0)))</f>
        <v/>
      </c>
      <c r="L106" s="3" t="str">
        <f aca="false">IF(OR(D106="",N(K106)&lt;=0),"",IFERROR(MATCH(B106&amp;"|"&amp;C106&amp;"|"&amp;D106,Нормативы!$M$2:$M$71,0),""))</f>
        <v/>
      </c>
      <c r="M106" s="3" t="str">
        <f aca="false">IF(L106="","",SUMPRODUCT((INDEX(Нормативы!$D$2:$L$71,L106,0)&lt;K106)*ISNUMBER(INDEX(Нормативы!$D$2:$L$71,L106,0))))</f>
        <v/>
      </c>
    </row>
    <row r="107" customFormat="false" ht="15" hidden="false" customHeight="false" outlineLevel="0" collapsed="false">
      <c r="A107" s="5"/>
      <c r="B107" s="5"/>
      <c r="C107" s="5"/>
      <c r="D107" s="5"/>
      <c r="E107" s="14"/>
      <c r="F107" s="4" t="str">
        <f aca="false">IF(OR(J107="",K107="",N(J107)=0,N(K107)&lt;=0),"",ROUNDDOWN(1000*(J107/K107)^3,0))</f>
        <v/>
      </c>
      <c r="G107" s="4" t="str">
        <f aca="false">IF(M107="","",IF(M107+1&gt;COUNT(INDEX(Нормативы!$D$2:$L$71,L107,0)),"Разряда нет",INDEX(Нормативы!$D$1:$L$1,1,M107+1)))</f>
        <v/>
      </c>
      <c r="H107" s="2" t="str">
        <f aca="false">IF(M107="","",IF(M107=0,"—",INDEX(Нормативы!$D$1:$L$1,1,M107)))</f>
        <v/>
      </c>
      <c r="I107" s="7" t="str">
        <f aca="false">IF(M107="","",IF(M107=0,"",IF(INT(ROUND(INDEX(Нормативы!$D$2:$L$71,L107,M107)*100,0)/6000)&gt;0,INT(ROUND(INDEX(Нормативы!$D$2:$L$71,L107,M107)*100,0)/6000)&amp;":"&amp;RIGHT("0"&amp;INT(MOD(ROUND(INDEX(Нормативы!$D$2:$L$71,L107,M107)*100,0),6000)/100),2),INT(MOD(ROUND(INDEX(Нормативы!$D$2:$L$71,L107,M107)*100,0),6000)/100))&amp;"."&amp;RIGHT("0"&amp;MOD(ROUND(INDEX(Нормативы!$D$2:$L$71,L107,M107)*100,0),100),2)))</f>
        <v/>
      </c>
      <c r="J107" s="12" t="str">
        <f aca="false">IF(D107="","",SUMIFS('Базовые времена'!$D$2:$D$71,'Базовые времена'!$A$2:$A$71,B107,'Базовые времена'!$B$2:$B$71,C107,'Базовые времена'!$C$2:$C$71,D107))</f>
        <v/>
      </c>
      <c r="K107" s="12" t="str">
        <f aca="false">IF(E107="","",IF(ISNUMBER(E107),IF(E107&lt;1,E107*86400,E107),IFERROR(IF(ISNUMBER(FIND(":",SUBSTITUTE(TRIM(E107),",","."))),VALUE(LEFT(SUBSTITUTE(TRIM(E107),",","."),FIND(":",SUBSTITUTE(TRIM(E107),",","."))-1))*60+_xlfn.NUMBERVALUE(MID(SUBSTITUTE(TRIM(E107),",","."),FIND(":",SUBSTITUTE(TRIM(E107),",","."))+1,99),"."),_xlfn.NUMBERVALUE(SUBSTITUTE(TRIM(E107),",","."),".")),0)))</f>
        <v/>
      </c>
      <c r="L107" s="3" t="str">
        <f aca="false">IF(OR(D107="",N(K107)&lt;=0),"",IFERROR(MATCH(B107&amp;"|"&amp;C107&amp;"|"&amp;D107,Нормативы!$M$2:$M$71,0),""))</f>
        <v/>
      </c>
      <c r="M107" s="3" t="str">
        <f aca="false">IF(L107="","",SUMPRODUCT((INDEX(Нормативы!$D$2:$L$71,L107,0)&lt;K107)*ISNUMBER(INDEX(Нормативы!$D$2:$L$71,L107,0))))</f>
        <v/>
      </c>
    </row>
    <row r="108" customFormat="false" ht="15" hidden="false" customHeight="false" outlineLevel="0" collapsed="false">
      <c r="A108" s="5"/>
      <c r="B108" s="5"/>
      <c r="C108" s="5"/>
      <c r="D108" s="5"/>
      <c r="E108" s="14"/>
      <c r="F108" s="4" t="str">
        <f aca="false">IF(OR(J108="",K108="",N(J108)=0,N(K108)&lt;=0),"",ROUNDDOWN(1000*(J108/K108)^3,0))</f>
        <v/>
      </c>
      <c r="G108" s="4" t="str">
        <f aca="false">IF(M108="","",IF(M108+1&gt;COUNT(INDEX(Нормативы!$D$2:$L$71,L108,0)),"Разряда нет",INDEX(Нормативы!$D$1:$L$1,1,M108+1)))</f>
        <v/>
      </c>
      <c r="H108" s="2" t="str">
        <f aca="false">IF(M108="","",IF(M108=0,"—",INDEX(Нормативы!$D$1:$L$1,1,M108)))</f>
        <v/>
      </c>
      <c r="I108" s="7" t="str">
        <f aca="false">IF(M108="","",IF(M108=0,"",IF(INT(ROUND(INDEX(Нормативы!$D$2:$L$71,L108,M108)*100,0)/6000)&gt;0,INT(ROUND(INDEX(Нормативы!$D$2:$L$71,L108,M108)*100,0)/6000)&amp;":"&amp;RIGHT("0"&amp;INT(MOD(ROUND(INDEX(Нормативы!$D$2:$L$71,L108,M108)*100,0),6000)/100),2),INT(MOD(ROUND(INDEX(Нормативы!$D$2:$L$71,L108,M108)*100,0),6000)/100))&amp;"."&amp;RIGHT("0"&amp;MOD(ROUND(INDEX(Нормативы!$D$2:$L$71,L108,M108)*100,0),100),2)))</f>
        <v/>
      </c>
      <c r="J108" s="12" t="str">
        <f aca="false">IF(D108="","",SUMIFS('Базовые времена'!$D$2:$D$71,'Базовые времена'!$A$2:$A$71,B108,'Базовые времена'!$B$2:$B$71,C108,'Базовые времена'!$C$2:$C$71,D108))</f>
        <v/>
      </c>
      <c r="K108" s="12" t="str">
        <f aca="false">IF(E108="","",IF(ISNUMBER(E108),IF(E108&lt;1,E108*86400,E108),IFERROR(IF(ISNUMBER(FIND(":",SUBSTITUTE(TRIM(E108),",","."))),VALUE(LEFT(SUBSTITUTE(TRIM(E108),",","."),FIND(":",SUBSTITUTE(TRIM(E108),",","."))-1))*60+_xlfn.NUMBERVALUE(MID(SUBSTITUTE(TRIM(E108),",","."),FIND(":",SUBSTITUTE(TRIM(E108),",","."))+1,99),"."),_xlfn.NUMBERVALUE(SUBSTITUTE(TRIM(E108),",","."),".")),0)))</f>
        <v/>
      </c>
      <c r="L108" s="3" t="str">
        <f aca="false">IF(OR(D108="",N(K108)&lt;=0),"",IFERROR(MATCH(B108&amp;"|"&amp;C108&amp;"|"&amp;D108,Нормативы!$M$2:$M$71,0),""))</f>
        <v/>
      </c>
      <c r="M108" s="3" t="str">
        <f aca="false">IF(L108="","",SUMPRODUCT((INDEX(Нормативы!$D$2:$L$71,L108,0)&lt;K108)*ISNUMBER(INDEX(Нормативы!$D$2:$L$71,L108,0))))</f>
        <v/>
      </c>
    </row>
    <row r="109" customFormat="false" ht="15" hidden="false" customHeight="false" outlineLevel="0" collapsed="false">
      <c r="A109" s="5"/>
      <c r="B109" s="5"/>
      <c r="C109" s="5"/>
      <c r="D109" s="5"/>
      <c r="E109" s="14"/>
      <c r="F109" s="4" t="str">
        <f aca="false">IF(OR(J109="",K109="",N(J109)=0,N(K109)&lt;=0),"",ROUNDDOWN(1000*(J109/K109)^3,0))</f>
        <v/>
      </c>
      <c r="G109" s="4" t="str">
        <f aca="false">IF(M109="","",IF(M109+1&gt;COUNT(INDEX(Нормативы!$D$2:$L$71,L109,0)),"Разряда нет",INDEX(Нормативы!$D$1:$L$1,1,M109+1)))</f>
        <v/>
      </c>
      <c r="H109" s="2" t="str">
        <f aca="false">IF(M109="","",IF(M109=0,"—",INDEX(Нормативы!$D$1:$L$1,1,M109)))</f>
        <v/>
      </c>
      <c r="I109" s="7" t="str">
        <f aca="false">IF(M109="","",IF(M109=0,"",IF(INT(ROUND(INDEX(Нормативы!$D$2:$L$71,L109,M109)*100,0)/6000)&gt;0,INT(ROUND(INDEX(Нормативы!$D$2:$L$71,L109,M109)*100,0)/6000)&amp;":"&amp;RIGHT("0"&amp;INT(MOD(ROUND(INDEX(Нормативы!$D$2:$L$71,L109,M109)*100,0),6000)/100),2),INT(MOD(ROUND(INDEX(Нормативы!$D$2:$L$71,L109,M109)*100,0),6000)/100))&amp;"."&amp;RIGHT("0"&amp;MOD(ROUND(INDEX(Нормативы!$D$2:$L$71,L109,M109)*100,0),100),2)))</f>
        <v/>
      </c>
      <c r="J109" s="12" t="str">
        <f aca="false">IF(D109="","",SUMIFS('Базовые времена'!$D$2:$D$71,'Базовые времена'!$A$2:$A$71,B109,'Базовые времена'!$B$2:$B$71,C109,'Базовые времена'!$C$2:$C$71,D109))</f>
        <v/>
      </c>
      <c r="K109" s="12" t="str">
        <f aca="false">IF(E109="","",IF(ISNUMBER(E109),IF(E109&lt;1,E109*86400,E109),IFERROR(IF(ISNUMBER(FIND(":",SUBSTITUTE(TRIM(E109),",","."))),VALUE(LEFT(SUBSTITUTE(TRIM(E109),",","."),FIND(":",SUBSTITUTE(TRIM(E109),",","."))-1))*60+_xlfn.NUMBERVALUE(MID(SUBSTITUTE(TRIM(E109),",","."),FIND(":",SUBSTITUTE(TRIM(E109),",","."))+1,99),"."),_xlfn.NUMBERVALUE(SUBSTITUTE(TRIM(E109),",","."),".")),0)))</f>
        <v/>
      </c>
      <c r="L109" s="3" t="str">
        <f aca="false">IF(OR(D109="",N(K109)&lt;=0),"",IFERROR(MATCH(B109&amp;"|"&amp;C109&amp;"|"&amp;D109,Нормативы!$M$2:$M$71,0),""))</f>
        <v/>
      </c>
      <c r="M109" s="3" t="str">
        <f aca="false">IF(L109="","",SUMPRODUCT((INDEX(Нормативы!$D$2:$L$71,L109,0)&lt;K109)*ISNUMBER(INDEX(Нормативы!$D$2:$L$71,L109,0))))</f>
        <v/>
      </c>
    </row>
    <row r="110" customFormat="false" ht="15" hidden="false" customHeight="false" outlineLevel="0" collapsed="false">
      <c r="A110" s="5"/>
      <c r="B110" s="5"/>
      <c r="C110" s="5"/>
      <c r="D110" s="5"/>
      <c r="E110" s="14"/>
      <c r="F110" s="4" t="str">
        <f aca="false">IF(OR(J110="",K110="",N(J110)=0,N(K110)&lt;=0),"",ROUNDDOWN(1000*(J110/K110)^3,0))</f>
        <v/>
      </c>
      <c r="G110" s="4" t="str">
        <f aca="false">IF(M110="","",IF(M110+1&gt;COUNT(INDEX(Нормативы!$D$2:$L$71,L110,0)),"Разряда нет",INDEX(Нормативы!$D$1:$L$1,1,M110+1)))</f>
        <v/>
      </c>
      <c r="H110" s="2" t="str">
        <f aca="false">IF(M110="","",IF(M110=0,"—",INDEX(Нормативы!$D$1:$L$1,1,M110)))</f>
        <v/>
      </c>
      <c r="I110" s="7" t="str">
        <f aca="false">IF(M110="","",IF(M110=0,"",IF(INT(ROUND(INDEX(Нормативы!$D$2:$L$71,L110,M110)*100,0)/6000)&gt;0,INT(ROUND(INDEX(Нормативы!$D$2:$L$71,L110,M110)*100,0)/6000)&amp;":"&amp;RIGHT("0"&amp;INT(MOD(ROUND(INDEX(Нормативы!$D$2:$L$71,L110,M110)*100,0),6000)/100),2),INT(MOD(ROUND(INDEX(Нормативы!$D$2:$L$71,L110,M110)*100,0),6000)/100))&amp;"."&amp;RIGHT("0"&amp;MOD(ROUND(INDEX(Нормативы!$D$2:$L$71,L110,M110)*100,0),100),2)))</f>
        <v/>
      </c>
      <c r="J110" s="12" t="str">
        <f aca="false">IF(D110="","",SUMIFS('Базовые времена'!$D$2:$D$71,'Базовые времена'!$A$2:$A$71,B110,'Базовые времена'!$B$2:$B$71,C110,'Базовые времена'!$C$2:$C$71,D110))</f>
        <v/>
      </c>
      <c r="K110" s="12" t="str">
        <f aca="false">IF(E110="","",IF(ISNUMBER(E110),IF(E110&lt;1,E110*86400,E110),IFERROR(IF(ISNUMBER(FIND(":",SUBSTITUTE(TRIM(E110),",","."))),VALUE(LEFT(SUBSTITUTE(TRIM(E110),",","."),FIND(":",SUBSTITUTE(TRIM(E110),",","."))-1))*60+_xlfn.NUMBERVALUE(MID(SUBSTITUTE(TRIM(E110),",","."),FIND(":",SUBSTITUTE(TRIM(E110),",","."))+1,99),"."),_xlfn.NUMBERVALUE(SUBSTITUTE(TRIM(E110),",","."),".")),0)))</f>
        <v/>
      </c>
      <c r="L110" s="3" t="str">
        <f aca="false">IF(OR(D110="",N(K110)&lt;=0),"",IFERROR(MATCH(B110&amp;"|"&amp;C110&amp;"|"&amp;D110,Нормативы!$M$2:$M$71,0),""))</f>
        <v/>
      </c>
      <c r="M110" s="3" t="str">
        <f aca="false">IF(L110="","",SUMPRODUCT((INDEX(Нормативы!$D$2:$L$71,L110,0)&lt;K110)*ISNUMBER(INDEX(Нормативы!$D$2:$L$71,L110,0))))</f>
        <v/>
      </c>
    </row>
    <row r="111" customFormat="false" ht="15" hidden="false" customHeight="false" outlineLevel="0" collapsed="false">
      <c r="A111" s="5"/>
      <c r="B111" s="5"/>
      <c r="C111" s="5"/>
      <c r="D111" s="5"/>
      <c r="E111" s="14"/>
      <c r="F111" s="4" t="str">
        <f aca="false">IF(OR(J111="",K111="",N(J111)=0,N(K111)&lt;=0),"",ROUNDDOWN(1000*(J111/K111)^3,0))</f>
        <v/>
      </c>
      <c r="G111" s="4" t="str">
        <f aca="false">IF(M111="","",IF(M111+1&gt;COUNT(INDEX(Нормативы!$D$2:$L$71,L111,0)),"Разряда нет",INDEX(Нормативы!$D$1:$L$1,1,M111+1)))</f>
        <v/>
      </c>
      <c r="H111" s="2" t="str">
        <f aca="false">IF(M111="","",IF(M111=0,"—",INDEX(Нормативы!$D$1:$L$1,1,M111)))</f>
        <v/>
      </c>
      <c r="I111" s="7" t="str">
        <f aca="false">IF(M111="","",IF(M111=0,"",IF(INT(ROUND(INDEX(Нормативы!$D$2:$L$71,L111,M111)*100,0)/6000)&gt;0,INT(ROUND(INDEX(Нормативы!$D$2:$L$71,L111,M111)*100,0)/6000)&amp;":"&amp;RIGHT("0"&amp;INT(MOD(ROUND(INDEX(Нормативы!$D$2:$L$71,L111,M111)*100,0),6000)/100),2),INT(MOD(ROUND(INDEX(Нормативы!$D$2:$L$71,L111,M111)*100,0),6000)/100))&amp;"."&amp;RIGHT("0"&amp;MOD(ROUND(INDEX(Нормативы!$D$2:$L$71,L111,M111)*100,0),100),2)))</f>
        <v/>
      </c>
      <c r="J111" s="12" t="str">
        <f aca="false">IF(D111="","",SUMIFS('Базовые времена'!$D$2:$D$71,'Базовые времена'!$A$2:$A$71,B111,'Базовые времена'!$B$2:$B$71,C111,'Базовые времена'!$C$2:$C$71,D111))</f>
        <v/>
      </c>
      <c r="K111" s="12" t="str">
        <f aca="false">IF(E111="","",IF(ISNUMBER(E111),IF(E111&lt;1,E111*86400,E111),IFERROR(IF(ISNUMBER(FIND(":",SUBSTITUTE(TRIM(E111),",","."))),VALUE(LEFT(SUBSTITUTE(TRIM(E111),",","."),FIND(":",SUBSTITUTE(TRIM(E111),",","."))-1))*60+_xlfn.NUMBERVALUE(MID(SUBSTITUTE(TRIM(E111),",","."),FIND(":",SUBSTITUTE(TRIM(E111),",","."))+1,99),"."),_xlfn.NUMBERVALUE(SUBSTITUTE(TRIM(E111),",","."),".")),0)))</f>
        <v/>
      </c>
      <c r="L111" s="3" t="str">
        <f aca="false">IF(OR(D111="",N(K111)&lt;=0),"",IFERROR(MATCH(B111&amp;"|"&amp;C111&amp;"|"&amp;D111,Нормативы!$M$2:$M$71,0),""))</f>
        <v/>
      </c>
      <c r="M111" s="3" t="str">
        <f aca="false">IF(L111="","",SUMPRODUCT((INDEX(Нормативы!$D$2:$L$71,L111,0)&lt;K111)*ISNUMBER(INDEX(Нормативы!$D$2:$L$71,L111,0))))</f>
        <v/>
      </c>
    </row>
    <row r="112" customFormat="false" ht="15" hidden="false" customHeight="false" outlineLevel="0" collapsed="false">
      <c r="A112" s="5"/>
      <c r="B112" s="5"/>
      <c r="C112" s="5"/>
      <c r="D112" s="5"/>
      <c r="E112" s="14"/>
      <c r="F112" s="4" t="str">
        <f aca="false">IF(OR(J112="",K112="",N(J112)=0,N(K112)&lt;=0),"",ROUNDDOWN(1000*(J112/K112)^3,0))</f>
        <v/>
      </c>
      <c r="G112" s="4" t="str">
        <f aca="false">IF(M112="","",IF(M112+1&gt;COUNT(INDEX(Нормативы!$D$2:$L$71,L112,0)),"Разряда нет",INDEX(Нормативы!$D$1:$L$1,1,M112+1)))</f>
        <v/>
      </c>
      <c r="H112" s="2" t="str">
        <f aca="false">IF(M112="","",IF(M112=0,"—",INDEX(Нормативы!$D$1:$L$1,1,M112)))</f>
        <v/>
      </c>
      <c r="I112" s="7" t="str">
        <f aca="false">IF(M112="","",IF(M112=0,"",IF(INT(ROUND(INDEX(Нормативы!$D$2:$L$71,L112,M112)*100,0)/6000)&gt;0,INT(ROUND(INDEX(Нормативы!$D$2:$L$71,L112,M112)*100,0)/6000)&amp;":"&amp;RIGHT("0"&amp;INT(MOD(ROUND(INDEX(Нормативы!$D$2:$L$71,L112,M112)*100,0),6000)/100),2),INT(MOD(ROUND(INDEX(Нормативы!$D$2:$L$71,L112,M112)*100,0),6000)/100))&amp;"."&amp;RIGHT("0"&amp;MOD(ROUND(INDEX(Нормативы!$D$2:$L$71,L112,M112)*100,0),100),2)))</f>
        <v/>
      </c>
      <c r="J112" s="12" t="str">
        <f aca="false">IF(D112="","",SUMIFS('Базовые времена'!$D$2:$D$71,'Базовые времена'!$A$2:$A$71,B112,'Базовые времена'!$B$2:$B$71,C112,'Базовые времена'!$C$2:$C$71,D112))</f>
        <v/>
      </c>
      <c r="K112" s="12" t="str">
        <f aca="false">IF(E112="","",IF(ISNUMBER(E112),IF(E112&lt;1,E112*86400,E112),IFERROR(IF(ISNUMBER(FIND(":",SUBSTITUTE(TRIM(E112),",","."))),VALUE(LEFT(SUBSTITUTE(TRIM(E112),",","."),FIND(":",SUBSTITUTE(TRIM(E112),",","."))-1))*60+_xlfn.NUMBERVALUE(MID(SUBSTITUTE(TRIM(E112),",","."),FIND(":",SUBSTITUTE(TRIM(E112),",","."))+1,99),"."),_xlfn.NUMBERVALUE(SUBSTITUTE(TRIM(E112),",","."),".")),0)))</f>
        <v/>
      </c>
      <c r="L112" s="3" t="str">
        <f aca="false">IF(OR(D112="",N(K112)&lt;=0),"",IFERROR(MATCH(B112&amp;"|"&amp;C112&amp;"|"&amp;D112,Нормативы!$M$2:$M$71,0),""))</f>
        <v/>
      </c>
      <c r="M112" s="3" t="str">
        <f aca="false">IF(L112="","",SUMPRODUCT((INDEX(Нормативы!$D$2:$L$71,L112,0)&lt;K112)*ISNUMBER(INDEX(Нормативы!$D$2:$L$71,L112,0))))</f>
        <v/>
      </c>
    </row>
    <row r="113" customFormat="false" ht="15" hidden="false" customHeight="false" outlineLevel="0" collapsed="false">
      <c r="A113" s="5"/>
      <c r="B113" s="5"/>
      <c r="C113" s="5"/>
      <c r="D113" s="5"/>
      <c r="E113" s="14"/>
      <c r="F113" s="4" t="str">
        <f aca="false">IF(OR(J113="",K113="",N(J113)=0,N(K113)&lt;=0),"",ROUNDDOWN(1000*(J113/K113)^3,0))</f>
        <v/>
      </c>
      <c r="G113" s="4" t="str">
        <f aca="false">IF(M113="","",IF(M113+1&gt;COUNT(INDEX(Нормативы!$D$2:$L$71,L113,0)),"Разряда нет",INDEX(Нормативы!$D$1:$L$1,1,M113+1)))</f>
        <v/>
      </c>
      <c r="H113" s="2" t="str">
        <f aca="false">IF(M113="","",IF(M113=0,"—",INDEX(Нормативы!$D$1:$L$1,1,M113)))</f>
        <v/>
      </c>
      <c r="I113" s="7" t="str">
        <f aca="false">IF(M113="","",IF(M113=0,"",IF(INT(ROUND(INDEX(Нормативы!$D$2:$L$71,L113,M113)*100,0)/6000)&gt;0,INT(ROUND(INDEX(Нормативы!$D$2:$L$71,L113,M113)*100,0)/6000)&amp;":"&amp;RIGHT("0"&amp;INT(MOD(ROUND(INDEX(Нормативы!$D$2:$L$71,L113,M113)*100,0),6000)/100),2),INT(MOD(ROUND(INDEX(Нормативы!$D$2:$L$71,L113,M113)*100,0),6000)/100))&amp;"."&amp;RIGHT("0"&amp;MOD(ROUND(INDEX(Нормативы!$D$2:$L$71,L113,M113)*100,0),100),2)))</f>
        <v/>
      </c>
      <c r="J113" s="12" t="str">
        <f aca="false">IF(D113="","",SUMIFS('Базовые времена'!$D$2:$D$71,'Базовые времена'!$A$2:$A$71,B113,'Базовые времена'!$B$2:$B$71,C113,'Базовые времена'!$C$2:$C$71,D113))</f>
        <v/>
      </c>
      <c r="K113" s="12" t="str">
        <f aca="false">IF(E113="","",IF(ISNUMBER(E113),IF(E113&lt;1,E113*86400,E113),IFERROR(IF(ISNUMBER(FIND(":",SUBSTITUTE(TRIM(E113),",","."))),VALUE(LEFT(SUBSTITUTE(TRIM(E113),",","."),FIND(":",SUBSTITUTE(TRIM(E113),",","."))-1))*60+_xlfn.NUMBERVALUE(MID(SUBSTITUTE(TRIM(E113),",","."),FIND(":",SUBSTITUTE(TRIM(E113),",","."))+1,99),"."),_xlfn.NUMBERVALUE(SUBSTITUTE(TRIM(E113),",","."),".")),0)))</f>
        <v/>
      </c>
      <c r="L113" s="3" t="str">
        <f aca="false">IF(OR(D113="",N(K113)&lt;=0),"",IFERROR(MATCH(B113&amp;"|"&amp;C113&amp;"|"&amp;D113,Нормативы!$M$2:$M$71,0),""))</f>
        <v/>
      </c>
      <c r="M113" s="3" t="str">
        <f aca="false">IF(L113="","",SUMPRODUCT((INDEX(Нормативы!$D$2:$L$71,L113,0)&lt;K113)*ISNUMBER(INDEX(Нормативы!$D$2:$L$71,L113,0))))</f>
        <v/>
      </c>
    </row>
    <row r="114" customFormat="false" ht="15" hidden="false" customHeight="false" outlineLevel="0" collapsed="false">
      <c r="A114" s="5"/>
      <c r="B114" s="5"/>
      <c r="C114" s="5"/>
      <c r="D114" s="5"/>
      <c r="E114" s="14"/>
      <c r="F114" s="4" t="str">
        <f aca="false">IF(OR(J114="",K114="",N(J114)=0,N(K114)&lt;=0),"",ROUNDDOWN(1000*(J114/K114)^3,0))</f>
        <v/>
      </c>
      <c r="G114" s="4" t="str">
        <f aca="false">IF(M114="","",IF(M114+1&gt;COUNT(INDEX(Нормативы!$D$2:$L$71,L114,0)),"Разряда нет",INDEX(Нормативы!$D$1:$L$1,1,M114+1)))</f>
        <v/>
      </c>
      <c r="H114" s="2" t="str">
        <f aca="false">IF(M114="","",IF(M114=0,"—",INDEX(Нормативы!$D$1:$L$1,1,M114)))</f>
        <v/>
      </c>
      <c r="I114" s="7" t="str">
        <f aca="false">IF(M114="","",IF(M114=0,"",IF(INT(ROUND(INDEX(Нормативы!$D$2:$L$71,L114,M114)*100,0)/6000)&gt;0,INT(ROUND(INDEX(Нормативы!$D$2:$L$71,L114,M114)*100,0)/6000)&amp;":"&amp;RIGHT("0"&amp;INT(MOD(ROUND(INDEX(Нормативы!$D$2:$L$71,L114,M114)*100,0),6000)/100),2),INT(MOD(ROUND(INDEX(Нормативы!$D$2:$L$71,L114,M114)*100,0),6000)/100))&amp;"."&amp;RIGHT("0"&amp;MOD(ROUND(INDEX(Нормативы!$D$2:$L$71,L114,M114)*100,0),100),2)))</f>
        <v/>
      </c>
      <c r="J114" s="12" t="str">
        <f aca="false">IF(D114="","",SUMIFS('Базовые времена'!$D$2:$D$71,'Базовые времена'!$A$2:$A$71,B114,'Базовые времена'!$B$2:$B$71,C114,'Базовые времена'!$C$2:$C$71,D114))</f>
        <v/>
      </c>
      <c r="K114" s="12" t="str">
        <f aca="false">IF(E114="","",IF(ISNUMBER(E114),IF(E114&lt;1,E114*86400,E114),IFERROR(IF(ISNUMBER(FIND(":",SUBSTITUTE(TRIM(E114),",","."))),VALUE(LEFT(SUBSTITUTE(TRIM(E114),",","."),FIND(":",SUBSTITUTE(TRIM(E114),",","."))-1))*60+_xlfn.NUMBERVALUE(MID(SUBSTITUTE(TRIM(E114),",","."),FIND(":",SUBSTITUTE(TRIM(E114),",","."))+1,99),"."),_xlfn.NUMBERVALUE(SUBSTITUTE(TRIM(E114),",","."),".")),0)))</f>
        <v/>
      </c>
      <c r="L114" s="3" t="str">
        <f aca="false">IF(OR(D114="",N(K114)&lt;=0),"",IFERROR(MATCH(B114&amp;"|"&amp;C114&amp;"|"&amp;D114,Нормативы!$M$2:$M$71,0),""))</f>
        <v/>
      </c>
      <c r="M114" s="3" t="str">
        <f aca="false">IF(L114="","",SUMPRODUCT((INDEX(Нормативы!$D$2:$L$71,L114,0)&lt;K114)*ISNUMBER(INDEX(Нормативы!$D$2:$L$71,L114,0))))</f>
        <v/>
      </c>
    </row>
    <row r="115" customFormat="false" ht="15" hidden="false" customHeight="false" outlineLevel="0" collapsed="false">
      <c r="A115" s="5"/>
      <c r="B115" s="5"/>
      <c r="C115" s="5"/>
      <c r="D115" s="5"/>
      <c r="E115" s="14"/>
      <c r="F115" s="4" t="str">
        <f aca="false">IF(OR(J115="",K115="",N(J115)=0,N(K115)&lt;=0),"",ROUNDDOWN(1000*(J115/K115)^3,0))</f>
        <v/>
      </c>
      <c r="G115" s="4" t="str">
        <f aca="false">IF(M115="","",IF(M115+1&gt;COUNT(INDEX(Нормативы!$D$2:$L$71,L115,0)),"Разряда нет",INDEX(Нормативы!$D$1:$L$1,1,M115+1)))</f>
        <v/>
      </c>
      <c r="H115" s="2" t="str">
        <f aca="false">IF(M115="","",IF(M115=0,"—",INDEX(Нормативы!$D$1:$L$1,1,M115)))</f>
        <v/>
      </c>
      <c r="I115" s="7" t="str">
        <f aca="false">IF(M115="","",IF(M115=0,"",IF(INT(ROUND(INDEX(Нормативы!$D$2:$L$71,L115,M115)*100,0)/6000)&gt;0,INT(ROUND(INDEX(Нормативы!$D$2:$L$71,L115,M115)*100,0)/6000)&amp;":"&amp;RIGHT("0"&amp;INT(MOD(ROUND(INDEX(Нормативы!$D$2:$L$71,L115,M115)*100,0),6000)/100),2),INT(MOD(ROUND(INDEX(Нормативы!$D$2:$L$71,L115,M115)*100,0),6000)/100))&amp;"."&amp;RIGHT("0"&amp;MOD(ROUND(INDEX(Нормативы!$D$2:$L$71,L115,M115)*100,0),100),2)))</f>
        <v/>
      </c>
      <c r="J115" s="12" t="str">
        <f aca="false">IF(D115="","",SUMIFS('Базовые времена'!$D$2:$D$71,'Базовые времена'!$A$2:$A$71,B115,'Базовые времена'!$B$2:$B$71,C115,'Базовые времена'!$C$2:$C$71,D115))</f>
        <v/>
      </c>
      <c r="K115" s="12" t="str">
        <f aca="false">IF(E115="","",IF(ISNUMBER(E115),IF(E115&lt;1,E115*86400,E115),IFERROR(IF(ISNUMBER(FIND(":",SUBSTITUTE(TRIM(E115),",","."))),VALUE(LEFT(SUBSTITUTE(TRIM(E115),",","."),FIND(":",SUBSTITUTE(TRIM(E115),",","."))-1))*60+_xlfn.NUMBERVALUE(MID(SUBSTITUTE(TRIM(E115),",","."),FIND(":",SUBSTITUTE(TRIM(E115),",","."))+1,99),"."),_xlfn.NUMBERVALUE(SUBSTITUTE(TRIM(E115),",","."),".")),0)))</f>
        <v/>
      </c>
      <c r="L115" s="3" t="str">
        <f aca="false">IF(OR(D115="",N(K115)&lt;=0),"",IFERROR(MATCH(B115&amp;"|"&amp;C115&amp;"|"&amp;D115,Нормативы!$M$2:$M$71,0),""))</f>
        <v/>
      </c>
      <c r="M115" s="3" t="str">
        <f aca="false">IF(L115="","",SUMPRODUCT((INDEX(Нормативы!$D$2:$L$71,L115,0)&lt;K115)*ISNUMBER(INDEX(Нормативы!$D$2:$L$71,L115,0))))</f>
        <v/>
      </c>
    </row>
    <row r="116" customFormat="false" ht="15" hidden="false" customHeight="false" outlineLevel="0" collapsed="false">
      <c r="A116" s="5"/>
      <c r="B116" s="5"/>
      <c r="C116" s="5"/>
      <c r="D116" s="5"/>
      <c r="E116" s="14"/>
      <c r="F116" s="4" t="str">
        <f aca="false">IF(OR(J116="",K116="",N(J116)=0,N(K116)&lt;=0),"",ROUNDDOWN(1000*(J116/K116)^3,0))</f>
        <v/>
      </c>
      <c r="G116" s="4" t="str">
        <f aca="false">IF(M116="","",IF(M116+1&gt;COUNT(INDEX(Нормативы!$D$2:$L$71,L116,0)),"Разряда нет",INDEX(Нормативы!$D$1:$L$1,1,M116+1)))</f>
        <v/>
      </c>
      <c r="H116" s="2" t="str">
        <f aca="false">IF(M116="","",IF(M116=0,"—",INDEX(Нормативы!$D$1:$L$1,1,M116)))</f>
        <v/>
      </c>
      <c r="I116" s="7" t="str">
        <f aca="false">IF(M116="","",IF(M116=0,"",IF(INT(ROUND(INDEX(Нормативы!$D$2:$L$71,L116,M116)*100,0)/6000)&gt;0,INT(ROUND(INDEX(Нормативы!$D$2:$L$71,L116,M116)*100,0)/6000)&amp;":"&amp;RIGHT("0"&amp;INT(MOD(ROUND(INDEX(Нормативы!$D$2:$L$71,L116,M116)*100,0),6000)/100),2),INT(MOD(ROUND(INDEX(Нормативы!$D$2:$L$71,L116,M116)*100,0),6000)/100))&amp;"."&amp;RIGHT("0"&amp;MOD(ROUND(INDEX(Нормативы!$D$2:$L$71,L116,M116)*100,0),100),2)))</f>
        <v/>
      </c>
      <c r="J116" s="12" t="str">
        <f aca="false">IF(D116="","",SUMIFS('Базовые времена'!$D$2:$D$71,'Базовые времена'!$A$2:$A$71,B116,'Базовые времена'!$B$2:$B$71,C116,'Базовые времена'!$C$2:$C$71,D116))</f>
        <v/>
      </c>
      <c r="K116" s="12" t="str">
        <f aca="false">IF(E116="","",IF(ISNUMBER(E116),IF(E116&lt;1,E116*86400,E116),IFERROR(IF(ISNUMBER(FIND(":",SUBSTITUTE(TRIM(E116),",","."))),VALUE(LEFT(SUBSTITUTE(TRIM(E116),",","."),FIND(":",SUBSTITUTE(TRIM(E116),",","."))-1))*60+_xlfn.NUMBERVALUE(MID(SUBSTITUTE(TRIM(E116),",","."),FIND(":",SUBSTITUTE(TRIM(E116),",","."))+1,99),"."),_xlfn.NUMBERVALUE(SUBSTITUTE(TRIM(E116),",","."),".")),0)))</f>
        <v/>
      </c>
      <c r="L116" s="3" t="str">
        <f aca="false">IF(OR(D116="",N(K116)&lt;=0),"",IFERROR(MATCH(B116&amp;"|"&amp;C116&amp;"|"&amp;D116,Нормативы!$M$2:$M$71,0),""))</f>
        <v/>
      </c>
      <c r="M116" s="3" t="str">
        <f aca="false">IF(L116="","",SUMPRODUCT((INDEX(Нормативы!$D$2:$L$71,L116,0)&lt;K116)*ISNUMBER(INDEX(Нормативы!$D$2:$L$71,L116,0))))</f>
        <v/>
      </c>
    </row>
    <row r="117" customFormat="false" ht="15" hidden="false" customHeight="false" outlineLevel="0" collapsed="false">
      <c r="A117" s="5"/>
      <c r="B117" s="5"/>
      <c r="C117" s="5"/>
      <c r="D117" s="5"/>
      <c r="E117" s="14"/>
      <c r="F117" s="4" t="str">
        <f aca="false">IF(OR(J117="",K117="",N(J117)=0,N(K117)&lt;=0),"",ROUNDDOWN(1000*(J117/K117)^3,0))</f>
        <v/>
      </c>
      <c r="G117" s="4" t="str">
        <f aca="false">IF(M117="","",IF(M117+1&gt;COUNT(INDEX(Нормативы!$D$2:$L$71,L117,0)),"Разряда нет",INDEX(Нормативы!$D$1:$L$1,1,M117+1)))</f>
        <v/>
      </c>
      <c r="H117" s="2" t="str">
        <f aca="false">IF(M117="","",IF(M117=0,"—",INDEX(Нормативы!$D$1:$L$1,1,M117)))</f>
        <v/>
      </c>
      <c r="I117" s="7" t="str">
        <f aca="false">IF(M117="","",IF(M117=0,"",IF(INT(ROUND(INDEX(Нормативы!$D$2:$L$71,L117,M117)*100,0)/6000)&gt;0,INT(ROUND(INDEX(Нормативы!$D$2:$L$71,L117,M117)*100,0)/6000)&amp;":"&amp;RIGHT("0"&amp;INT(MOD(ROUND(INDEX(Нормативы!$D$2:$L$71,L117,M117)*100,0),6000)/100),2),INT(MOD(ROUND(INDEX(Нормативы!$D$2:$L$71,L117,M117)*100,0),6000)/100))&amp;"."&amp;RIGHT("0"&amp;MOD(ROUND(INDEX(Нормативы!$D$2:$L$71,L117,M117)*100,0),100),2)))</f>
        <v/>
      </c>
      <c r="J117" s="12" t="str">
        <f aca="false">IF(D117="","",SUMIFS('Базовые времена'!$D$2:$D$71,'Базовые времена'!$A$2:$A$71,B117,'Базовые времена'!$B$2:$B$71,C117,'Базовые времена'!$C$2:$C$71,D117))</f>
        <v/>
      </c>
      <c r="K117" s="12" t="str">
        <f aca="false">IF(E117="","",IF(ISNUMBER(E117),IF(E117&lt;1,E117*86400,E117),IFERROR(IF(ISNUMBER(FIND(":",SUBSTITUTE(TRIM(E117),",","."))),VALUE(LEFT(SUBSTITUTE(TRIM(E117),",","."),FIND(":",SUBSTITUTE(TRIM(E117),",","."))-1))*60+_xlfn.NUMBERVALUE(MID(SUBSTITUTE(TRIM(E117),",","."),FIND(":",SUBSTITUTE(TRIM(E117),",","."))+1,99),"."),_xlfn.NUMBERVALUE(SUBSTITUTE(TRIM(E117),",","."),".")),0)))</f>
        <v/>
      </c>
      <c r="L117" s="3" t="str">
        <f aca="false">IF(OR(D117="",N(K117)&lt;=0),"",IFERROR(MATCH(B117&amp;"|"&amp;C117&amp;"|"&amp;D117,Нормативы!$M$2:$M$71,0),""))</f>
        <v/>
      </c>
      <c r="M117" s="3" t="str">
        <f aca="false">IF(L117="","",SUMPRODUCT((INDEX(Нормативы!$D$2:$L$71,L117,0)&lt;K117)*ISNUMBER(INDEX(Нормативы!$D$2:$L$71,L117,0))))</f>
        <v/>
      </c>
    </row>
    <row r="118" customFormat="false" ht="15" hidden="false" customHeight="false" outlineLevel="0" collapsed="false">
      <c r="A118" s="5"/>
      <c r="B118" s="5"/>
      <c r="C118" s="5"/>
      <c r="D118" s="5"/>
      <c r="E118" s="14"/>
      <c r="F118" s="4" t="str">
        <f aca="false">IF(OR(J118="",K118="",N(J118)=0,N(K118)&lt;=0),"",ROUNDDOWN(1000*(J118/K118)^3,0))</f>
        <v/>
      </c>
      <c r="G118" s="4" t="str">
        <f aca="false">IF(M118="","",IF(M118+1&gt;COUNT(INDEX(Нормативы!$D$2:$L$71,L118,0)),"Разряда нет",INDEX(Нормативы!$D$1:$L$1,1,M118+1)))</f>
        <v/>
      </c>
      <c r="H118" s="2" t="str">
        <f aca="false">IF(M118="","",IF(M118=0,"—",INDEX(Нормативы!$D$1:$L$1,1,M118)))</f>
        <v/>
      </c>
      <c r="I118" s="7" t="str">
        <f aca="false">IF(M118="","",IF(M118=0,"",IF(INT(ROUND(INDEX(Нормативы!$D$2:$L$71,L118,M118)*100,0)/6000)&gt;0,INT(ROUND(INDEX(Нормативы!$D$2:$L$71,L118,M118)*100,0)/6000)&amp;":"&amp;RIGHT("0"&amp;INT(MOD(ROUND(INDEX(Нормативы!$D$2:$L$71,L118,M118)*100,0),6000)/100),2),INT(MOD(ROUND(INDEX(Нормативы!$D$2:$L$71,L118,M118)*100,0),6000)/100))&amp;"."&amp;RIGHT("0"&amp;MOD(ROUND(INDEX(Нормативы!$D$2:$L$71,L118,M118)*100,0),100),2)))</f>
        <v/>
      </c>
      <c r="J118" s="12" t="str">
        <f aca="false">IF(D118="","",SUMIFS('Базовые времена'!$D$2:$D$71,'Базовые времена'!$A$2:$A$71,B118,'Базовые времена'!$B$2:$B$71,C118,'Базовые времена'!$C$2:$C$71,D118))</f>
        <v/>
      </c>
      <c r="K118" s="12" t="str">
        <f aca="false">IF(E118="","",IF(ISNUMBER(E118),IF(E118&lt;1,E118*86400,E118),IFERROR(IF(ISNUMBER(FIND(":",SUBSTITUTE(TRIM(E118),",","."))),VALUE(LEFT(SUBSTITUTE(TRIM(E118),",","."),FIND(":",SUBSTITUTE(TRIM(E118),",","."))-1))*60+_xlfn.NUMBERVALUE(MID(SUBSTITUTE(TRIM(E118),",","."),FIND(":",SUBSTITUTE(TRIM(E118),",","."))+1,99),"."),_xlfn.NUMBERVALUE(SUBSTITUTE(TRIM(E118),",","."),".")),0)))</f>
        <v/>
      </c>
      <c r="L118" s="3" t="str">
        <f aca="false">IF(OR(D118="",N(K118)&lt;=0),"",IFERROR(MATCH(B118&amp;"|"&amp;C118&amp;"|"&amp;D118,Нормативы!$M$2:$M$71,0),""))</f>
        <v/>
      </c>
      <c r="M118" s="3" t="str">
        <f aca="false">IF(L118="","",SUMPRODUCT((INDEX(Нормативы!$D$2:$L$71,L118,0)&lt;K118)*ISNUMBER(INDEX(Нормативы!$D$2:$L$71,L118,0))))</f>
        <v/>
      </c>
    </row>
    <row r="119" customFormat="false" ht="15" hidden="false" customHeight="false" outlineLevel="0" collapsed="false">
      <c r="A119" s="5"/>
      <c r="B119" s="5"/>
      <c r="C119" s="5"/>
      <c r="D119" s="5"/>
      <c r="E119" s="14"/>
      <c r="F119" s="4" t="str">
        <f aca="false">IF(OR(J119="",K119="",N(J119)=0,N(K119)&lt;=0),"",ROUNDDOWN(1000*(J119/K119)^3,0))</f>
        <v/>
      </c>
      <c r="G119" s="4" t="str">
        <f aca="false">IF(M119="","",IF(M119+1&gt;COUNT(INDEX(Нормативы!$D$2:$L$71,L119,0)),"Разряда нет",INDEX(Нормативы!$D$1:$L$1,1,M119+1)))</f>
        <v/>
      </c>
      <c r="H119" s="2" t="str">
        <f aca="false">IF(M119="","",IF(M119=0,"—",INDEX(Нормативы!$D$1:$L$1,1,M119)))</f>
        <v/>
      </c>
      <c r="I119" s="7" t="str">
        <f aca="false">IF(M119="","",IF(M119=0,"",IF(INT(ROUND(INDEX(Нормативы!$D$2:$L$71,L119,M119)*100,0)/6000)&gt;0,INT(ROUND(INDEX(Нормативы!$D$2:$L$71,L119,M119)*100,0)/6000)&amp;":"&amp;RIGHT("0"&amp;INT(MOD(ROUND(INDEX(Нормативы!$D$2:$L$71,L119,M119)*100,0),6000)/100),2),INT(MOD(ROUND(INDEX(Нормативы!$D$2:$L$71,L119,M119)*100,0),6000)/100))&amp;"."&amp;RIGHT("0"&amp;MOD(ROUND(INDEX(Нормативы!$D$2:$L$71,L119,M119)*100,0),100),2)))</f>
        <v/>
      </c>
      <c r="J119" s="12" t="str">
        <f aca="false">IF(D119="","",SUMIFS('Базовые времена'!$D$2:$D$71,'Базовые времена'!$A$2:$A$71,B119,'Базовые времена'!$B$2:$B$71,C119,'Базовые времена'!$C$2:$C$71,D119))</f>
        <v/>
      </c>
      <c r="K119" s="12" t="str">
        <f aca="false">IF(E119="","",IF(ISNUMBER(E119),IF(E119&lt;1,E119*86400,E119),IFERROR(IF(ISNUMBER(FIND(":",SUBSTITUTE(TRIM(E119),",","."))),VALUE(LEFT(SUBSTITUTE(TRIM(E119),",","."),FIND(":",SUBSTITUTE(TRIM(E119),",","."))-1))*60+_xlfn.NUMBERVALUE(MID(SUBSTITUTE(TRIM(E119),",","."),FIND(":",SUBSTITUTE(TRIM(E119),",","."))+1,99),"."),_xlfn.NUMBERVALUE(SUBSTITUTE(TRIM(E119),",","."),".")),0)))</f>
        <v/>
      </c>
      <c r="L119" s="3" t="str">
        <f aca="false">IF(OR(D119="",N(K119)&lt;=0),"",IFERROR(MATCH(B119&amp;"|"&amp;C119&amp;"|"&amp;D119,Нормативы!$M$2:$M$71,0),""))</f>
        <v/>
      </c>
      <c r="M119" s="3" t="str">
        <f aca="false">IF(L119="","",SUMPRODUCT((INDEX(Нормативы!$D$2:$L$71,L119,0)&lt;K119)*ISNUMBER(INDEX(Нормативы!$D$2:$L$71,L119,0))))</f>
        <v/>
      </c>
    </row>
    <row r="120" customFormat="false" ht="15" hidden="false" customHeight="false" outlineLevel="0" collapsed="false">
      <c r="A120" s="5"/>
      <c r="B120" s="5"/>
      <c r="C120" s="5"/>
      <c r="D120" s="5"/>
      <c r="E120" s="14"/>
      <c r="F120" s="4" t="str">
        <f aca="false">IF(OR(J120="",K120="",N(J120)=0,N(K120)&lt;=0),"",ROUNDDOWN(1000*(J120/K120)^3,0))</f>
        <v/>
      </c>
      <c r="G120" s="4" t="str">
        <f aca="false">IF(M120="","",IF(M120+1&gt;COUNT(INDEX(Нормативы!$D$2:$L$71,L120,0)),"Разряда нет",INDEX(Нормативы!$D$1:$L$1,1,M120+1)))</f>
        <v/>
      </c>
      <c r="H120" s="2" t="str">
        <f aca="false">IF(M120="","",IF(M120=0,"—",INDEX(Нормативы!$D$1:$L$1,1,M120)))</f>
        <v/>
      </c>
      <c r="I120" s="7" t="str">
        <f aca="false">IF(M120="","",IF(M120=0,"",IF(INT(ROUND(INDEX(Нормативы!$D$2:$L$71,L120,M120)*100,0)/6000)&gt;0,INT(ROUND(INDEX(Нормативы!$D$2:$L$71,L120,M120)*100,0)/6000)&amp;":"&amp;RIGHT("0"&amp;INT(MOD(ROUND(INDEX(Нормативы!$D$2:$L$71,L120,M120)*100,0),6000)/100),2),INT(MOD(ROUND(INDEX(Нормативы!$D$2:$L$71,L120,M120)*100,0),6000)/100))&amp;"."&amp;RIGHT("0"&amp;MOD(ROUND(INDEX(Нормативы!$D$2:$L$71,L120,M120)*100,0),100),2)))</f>
        <v/>
      </c>
      <c r="J120" s="12" t="str">
        <f aca="false">IF(D120="","",SUMIFS('Базовые времена'!$D$2:$D$71,'Базовые времена'!$A$2:$A$71,B120,'Базовые времена'!$B$2:$B$71,C120,'Базовые времена'!$C$2:$C$71,D120))</f>
        <v/>
      </c>
      <c r="K120" s="12" t="str">
        <f aca="false">IF(E120="","",IF(ISNUMBER(E120),IF(E120&lt;1,E120*86400,E120),IFERROR(IF(ISNUMBER(FIND(":",SUBSTITUTE(TRIM(E120),",","."))),VALUE(LEFT(SUBSTITUTE(TRIM(E120),",","."),FIND(":",SUBSTITUTE(TRIM(E120),",","."))-1))*60+_xlfn.NUMBERVALUE(MID(SUBSTITUTE(TRIM(E120),",","."),FIND(":",SUBSTITUTE(TRIM(E120),",","."))+1,99),"."),_xlfn.NUMBERVALUE(SUBSTITUTE(TRIM(E120),",","."),".")),0)))</f>
        <v/>
      </c>
      <c r="L120" s="3" t="str">
        <f aca="false">IF(OR(D120="",N(K120)&lt;=0),"",IFERROR(MATCH(B120&amp;"|"&amp;C120&amp;"|"&amp;D120,Нормативы!$M$2:$M$71,0),""))</f>
        <v/>
      </c>
      <c r="M120" s="3" t="str">
        <f aca="false">IF(L120="","",SUMPRODUCT((INDEX(Нормативы!$D$2:$L$71,L120,0)&lt;K120)*ISNUMBER(INDEX(Нормативы!$D$2:$L$71,L120,0))))</f>
        <v/>
      </c>
    </row>
    <row r="121" customFormat="false" ht="15" hidden="false" customHeight="false" outlineLevel="0" collapsed="false">
      <c r="A121" s="5"/>
      <c r="B121" s="5"/>
      <c r="C121" s="5"/>
      <c r="D121" s="5"/>
      <c r="E121" s="14"/>
      <c r="F121" s="4" t="str">
        <f aca="false">IF(OR(J121="",K121="",N(J121)=0,N(K121)&lt;=0),"",ROUNDDOWN(1000*(J121/K121)^3,0))</f>
        <v/>
      </c>
      <c r="G121" s="4" t="str">
        <f aca="false">IF(M121="","",IF(M121+1&gt;COUNT(INDEX(Нормативы!$D$2:$L$71,L121,0)),"Разряда нет",INDEX(Нормативы!$D$1:$L$1,1,M121+1)))</f>
        <v/>
      </c>
      <c r="H121" s="2" t="str">
        <f aca="false">IF(M121="","",IF(M121=0,"—",INDEX(Нормативы!$D$1:$L$1,1,M121)))</f>
        <v/>
      </c>
      <c r="I121" s="7" t="str">
        <f aca="false">IF(M121="","",IF(M121=0,"",IF(INT(ROUND(INDEX(Нормативы!$D$2:$L$71,L121,M121)*100,0)/6000)&gt;0,INT(ROUND(INDEX(Нормативы!$D$2:$L$71,L121,M121)*100,0)/6000)&amp;":"&amp;RIGHT("0"&amp;INT(MOD(ROUND(INDEX(Нормативы!$D$2:$L$71,L121,M121)*100,0),6000)/100),2),INT(MOD(ROUND(INDEX(Нормативы!$D$2:$L$71,L121,M121)*100,0),6000)/100))&amp;"."&amp;RIGHT("0"&amp;MOD(ROUND(INDEX(Нормативы!$D$2:$L$71,L121,M121)*100,0),100),2)))</f>
        <v/>
      </c>
      <c r="J121" s="12" t="str">
        <f aca="false">IF(D121="","",SUMIFS('Базовые времена'!$D$2:$D$71,'Базовые времена'!$A$2:$A$71,B121,'Базовые времена'!$B$2:$B$71,C121,'Базовые времена'!$C$2:$C$71,D121))</f>
        <v/>
      </c>
      <c r="K121" s="12" t="str">
        <f aca="false">IF(E121="","",IF(ISNUMBER(E121),IF(E121&lt;1,E121*86400,E121),IFERROR(IF(ISNUMBER(FIND(":",SUBSTITUTE(TRIM(E121),",","."))),VALUE(LEFT(SUBSTITUTE(TRIM(E121),",","."),FIND(":",SUBSTITUTE(TRIM(E121),",","."))-1))*60+_xlfn.NUMBERVALUE(MID(SUBSTITUTE(TRIM(E121),",","."),FIND(":",SUBSTITUTE(TRIM(E121),",","."))+1,99),"."),_xlfn.NUMBERVALUE(SUBSTITUTE(TRIM(E121),",","."),".")),0)))</f>
        <v/>
      </c>
      <c r="L121" s="3" t="str">
        <f aca="false">IF(OR(D121="",N(K121)&lt;=0),"",IFERROR(MATCH(B121&amp;"|"&amp;C121&amp;"|"&amp;D121,Нормативы!$M$2:$M$71,0),""))</f>
        <v/>
      </c>
      <c r="M121" s="3" t="str">
        <f aca="false">IF(L121="","",SUMPRODUCT((INDEX(Нормативы!$D$2:$L$71,L121,0)&lt;K121)*ISNUMBER(INDEX(Нормативы!$D$2:$L$71,L121,0))))</f>
        <v/>
      </c>
    </row>
    <row r="122" customFormat="false" ht="15" hidden="false" customHeight="false" outlineLevel="0" collapsed="false">
      <c r="A122" s="5"/>
      <c r="B122" s="5"/>
      <c r="C122" s="5"/>
      <c r="D122" s="5"/>
      <c r="E122" s="14"/>
      <c r="F122" s="4" t="str">
        <f aca="false">IF(OR(J122="",K122="",N(J122)=0,N(K122)&lt;=0),"",ROUNDDOWN(1000*(J122/K122)^3,0))</f>
        <v/>
      </c>
      <c r="G122" s="4" t="str">
        <f aca="false">IF(M122="","",IF(M122+1&gt;COUNT(INDEX(Нормативы!$D$2:$L$71,L122,0)),"Разряда нет",INDEX(Нормативы!$D$1:$L$1,1,M122+1)))</f>
        <v/>
      </c>
      <c r="H122" s="2" t="str">
        <f aca="false">IF(M122="","",IF(M122=0,"—",INDEX(Нормативы!$D$1:$L$1,1,M122)))</f>
        <v/>
      </c>
      <c r="I122" s="7" t="str">
        <f aca="false">IF(M122="","",IF(M122=0,"",IF(INT(ROUND(INDEX(Нормативы!$D$2:$L$71,L122,M122)*100,0)/6000)&gt;0,INT(ROUND(INDEX(Нормативы!$D$2:$L$71,L122,M122)*100,0)/6000)&amp;":"&amp;RIGHT("0"&amp;INT(MOD(ROUND(INDEX(Нормативы!$D$2:$L$71,L122,M122)*100,0),6000)/100),2),INT(MOD(ROUND(INDEX(Нормативы!$D$2:$L$71,L122,M122)*100,0),6000)/100))&amp;"."&amp;RIGHT("0"&amp;MOD(ROUND(INDEX(Нормативы!$D$2:$L$71,L122,M122)*100,0),100),2)))</f>
        <v/>
      </c>
      <c r="J122" s="12" t="str">
        <f aca="false">IF(D122="","",SUMIFS('Базовые времена'!$D$2:$D$71,'Базовые времена'!$A$2:$A$71,B122,'Базовые времена'!$B$2:$B$71,C122,'Базовые времена'!$C$2:$C$71,D122))</f>
        <v/>
      </c>
      <c r="K122" s="12" t="str">
        <f aca="false">IF(E122="","",IF(ISNUMBER(E122),IF(E122&lt;1,E122*86400,E122),IFERROR(IF(ISNUMBER(FIND(":",SUBSTITUTE(TRIM(E122),",","."))),VALUE(LEFT(SUBSTITUTE(TRIM(E122),",","."),FIND(":",SUBSTITUTE(TRIM(E122),",","."))-1))*60+_xlfn.NUMBERVALUE(MID(SUBSTITUTE(TRIM(E122),",","."),FIND(":",SUBSTITUTE(TRIM(E122),",","."))+1,99),"."),_xlfn.NUMBERVALUE(SUBSTITUTE(TRIM(E122),",","."),".")),0)))</f>
        <v/>
      </c>
      <c r="L122" s="3" t="str">
        <f aca="false">IF(OR(D122="",N(K122)&lt;=0),"",IFERROR(MATCH(B122&amp;"|"&amp;C122&amp;"|"&amp;D122,Нормативы!$M$2:$M$71,0),""))</f>
        <v/>
      </c>
      <c r="M122" s="3" t="str">
        <f aca="false">IF(L122="","",SUMPRODUCT((INDEX(Нормативы!$D$2:$L$71,L122,0)&lt;K122)*ISNUMBER(INDEX(Нормативы!$D$2:$L$71,L122,0))))</f>
        <v/>
      </c>
    </row>
    <row r="123" customFormat="false" ht="15" hidden="false" customHeight="false" outlineLevel="0" collapsed="false">
      <c r="A123" s="5"/>
      <c r="B123" s="5"/>
      <c r="C123" s="5"/>
      <c r="D123" s="5"/>
      <c r="E123" s="14"/>
      <c r="F123" s="4" t="str">
        <f aca="false">IF(OR(J123="",K123="",N(J123)=0,N(K123)&lt;=0),"",ROUNDDOWN(1000*(J123/K123)^3,0))</f>
        <v/>
      </c>
      <c r="G123" s="4" t="str">
        <f aca="false">IF(M123="","",IF(M123+1&gt;COUNT(INDEX(Нормативы!$D$2:$L$71,L123,0)),"Разряда нет",INDEX(Нормативы!$D$1:$L$1,1,M123+1)))</f>
        <v/>
      </c>
      <c r="H123" s="2" t="str">
        <f aca="false">IF(M123="","",IF(M123=0,"—",INDEX(Нормативы!$D$1:$L$1,1,M123)))</f>
        <v/>
      </c>
      <c r="I123" s="7" t="str">
        <f aca="false">IF(M123="","",IF(M123=0,"",IF(INT(ROUND(INDEX(Нормативы!$D$2:$L$71,L123,M123)*100,0)/6000)&gt;0,INT(ROUND(INDEX(Нормативы!$D$2:$L$71,L123,M123)*100,0)/6000)&amp;":"&amp;RIGHT("0"&amp;INT(MOD(ROUND(INDEX(Нормативы!$D$2:$L$71,L123,M123)*100,0),6000)/100),2),INT(MOD(ROUND(INDEX(Нормативы!$D$2:$L$71,L123,M123)*100,0),6000)/100))&amp;"."&amp;RIGHT("0"&amp;MOD(ROUND(INDEX(Нормативы!$D$2:$L$71,L123,M123)*100,0),100),2)))</f>
        <v/>
      </c>
      <c r="J123" s="12" t="str">
        <f aca="false">IF(D123="","",SUMIFS('Базовые времена'!$D$2:$D$71,'Базовые времена'!$A$2:$A$71,B123,'Базовые времена'!$B$2:$B$71,C123,'Базовые времена'!$C$2:$C$71,D123))</f>
        <v/>
      </c>
      <c r="K123" s="12" t="str">
        <f aca="false">IF(E123="","",IF(ISNUMBER(E123),IF(E123&lt;1,E123*86400,E123),IFERROR(IF(ISNUMBER(FIND(":",SUBSTITUTE(TRIM(E123),",","."))),VALUE(LEFT(SUBSTITUTE(TRIM(E123),",","."),FIND(":",SUBSTITUTE(TRIM(E123),",","."))-1))*60+_xlfn.NUMBERVALUE(MID(SUBSTITUTE(TRIM(E123),",","."),FIND(":",SUBSTITUTE(TRIM(E123),",","."))+1,99),"."),_xlfn.NUMBERVALUE(SUBSTITUTE(TRIM(E123),",","."),".")),0)))</f>
        <v/>
      </c>
      <c r="L123" s="3" t="str">
        <f aca="false">IF(OR(D123="",N(K123)&lt;=0),"",IFERROR(MATCH(B123&amp;"|"&amp;C123&amp;"|"&amp;D123,Нормативы!$M$2:$M$71,0),""))</f>
        <v/>
      </c>
      <c r="M123" s="3" t="str">
        <f aca="false">IF(L123="","",SUMPRODUCT((INDEX(Нормативы!$D$2:$L$71,L123,0)&lt;K123)*ISNUMBER(INDEX(Нормативы!$D$2:$L$71,L123,0))))</f>
        <v/>
      </c>
    </row>
    <row r="124" customFormat="false" ht="15" hidden="false" customHeight="false" outlineLevel="0" collapsed="false">
      <c r="A124" s="5"/>
      <c r="B124" s="5"/>
      <c r="C124" s="5"/>
      <c r="D124" s="5"/>
      <c r="E124" s="14"/>
      <c r="F124" s="4" t="str">
        <f aca="false">IF(OR(J124="",K124="",N(J124)=0,N(K124)&lt;=0),"",ROUNDDOWN(1000*(J124/K124)^3,0))</f>
        <v/>
      </c>
      <c r="G124" s="4" t="str">
        <f aca="false">IF(M124="","",IF(M124+1&gt;COUNT(INDEX(Нормативы!$D$2:$L$71,L124,0)),"Разряда нет",INDEX(Нормативы!$D$1:$L$1,1,M124+1)))</f>
        <v/>
      </c>
      <c r="H124" s="2" t="str">
        <f aca="false">IF(M124="","",IF(M124=0,"—",INDEX(Нормативы!$D$1:$L$1,1,M124)))</f>
        <v/>
      </c>
      <c r="I124" s="7" t="str">
        <f aca="false">IF(M124="","",IF(M124=0,"",IF(INT(ROUND(INDEX(Нормативы!$D$2:$L$71,L124,M124)*100,0)/6000)&gt;0,INT(ROUND(INDEX(Нормативы!$D$2:$L$71,L124,M124)*100,0)/6000)&amp;":"&amp;RIGHT("0"&amp;INT(MOD(ROUND(INDEX(Нормативы!$D$2:$L$71,L124,M124)*100,0),6000)/100),2),INT(MOD(ROUND(INDEX(Нормативы!$D$2:$L$71,L124,M124)*100,0),6000)/100))&amp;"."&amp;RIGHT("0"&amp;MOD(ROUND(INDEX(Нормативы!$D$2:$L$71,L124,M124)*100,0),100),2)))</f>
        <v/>
      </c>
      <c r="J124" s="12" t="str">
        <f aca="false">IF(D124="","",SUMIFS('Базовые времена'!$D$2:$D$71,'Базовые времена'!$A$2:$A$71,B124,'Базовые времена'!$B$2:$B$71,C124,'Базовые времена'!$C$2:$C$71,D124))</f>
        <v/>
      </c>
      <c r="K124" s="12" t="str">
        <f aca="false">IF(E124="","",IF(ISNUMBER(E124),IF(E124&lt;1,E124*86400,E124),IFERROR(IF(ISNUMBER(FIND(":",SUBSTITUTE(TRIM(E124),",","."))),VALUE(LEFT(SUBSTITUTE(TRIM(E124),",","."),FIND(":",SUBSTITUTE(TRIM(E124),",","."))-1))*60+_xlfn.NUMBERVALUE(MID(SUBSTITUTE(TRIM(E124),",","."),FIND(":",SUBSTITUTE(TRIM(E124),",","."))+1,99),"."),_xlfn.NUMBERVALUE(SUBSTITUTE(TRIM(E124),",","."),".")),0)))</f>
        <v/>
      </c>
      <c r="L124" s="3" t="str">
        <f aca="false">IF(OR(D124="",N(K124)&lt;=0),"",IFERROR(MATCH(B124&amp;"|"&amp;C124&amp;"|"&amp;D124,Нормативы!$M$2:$M$71,0),""))</f>
        <v/>
      </c>
      <c r="M124" s="3" t="str">
        <f aca="false">IF(L124="","",SUMPRODUCT((INDEX(Нормативы!$D$2:$L$71,L124,0)&lt;K124)*ISNUMBER(INDEX(Нормативы!$D$2:$L$71,L124,0))))</f>
        <v/>
      </c>
    </row>
    <row r="125" customFormat="false" ht="15" hidden="false" customHeight="false" outlineLevel="0" collapsed="false">
      <c r="A125" s="5"/>
      <c r="B125" s="5"/>
      <c r="C125" s="5"/>
      <c r="D125" s="5"/>
      <c r="E125" s="14"/>
      <c r="F125" s="4" t="str">
        <f aca="false">IF(OR(J125="",K125="",N(J125)=0,N(K125)&lt;=0),"",ROUNDDOWN(1000*(J125/K125)^3,0))</f>
        <v/>
      </c>
      <c r="G125" s="4" t="str">
        <f aca="false">IF(M125="","",IF(M125+1&gt;COUNT(INDEX(Нормативы!$D$2:$L$71,L125,0)),"Разряда нет",INDEX(Нормативы!$D$1:$L$1,1,M125+1)))</f>
        <v/>
      </c>
      <c r="H125" s="2" t="str">
        <f aca="false">IF(M125="","",IF(M125=0,"—",INDEX(Нормативы!$D$1:$L$1,1,M125)))</f>
        <v/>
      </c>
      <c r="I125" s="7" t="str">
        <f aca="false">IF(M125="","",IF(M125=0,"",IF(INT(ROUND(INDEX(Нормативы!$D$2:$L$71,L125,M125)*100,0)/6000)&gt;0,INT(ROUND(INDEX(Нормативы!$D$2:$L$71,L125,M125)*100,0)/6000)&amp;":"&amp;RIGHT("0"&amp;INT(MOD(ROUND(INDEX(Нормативы!$D$2:$L$71,L125,M125)*100,0),6000)/100),2),INT(MOD(ROUND(INDEX(Нормативы!$D$2:$L$71,L125,M125)*100,0),6000)/100))&amp;"."&amp;RIGHT("0"&amp;MOD(ROUND(INDEX(Нормативы!$D$2:$L$71,L125,M125)*100,0),100),2)))</f>
        <v/>
      </c>
      <c r="J125" s="12" t="str">
        <f aca="false">IF(D125="","",SUMIFS('Базовые времена'!$D$2:$D$71,'Базовые времена'!$A$2:$A$71,B125,'Базовые времена'!$B$2:$B$71,C125,'Базовые времена'!$C$2:$C$71,D125))</f>
        <v/>
      </c>
      <c r="K125" s="12" t="str">
        <f aca="false">IF(E125="","",IF(ISNUMBER(E125),IF(E125&lt;1,E125*86400,E125),IFERROR(IF(ISNUMBER(FIND(":",SUBSTITUTE(TRIM(E125),",","."))),VALUE(LEFT(SUBSTITUTE(TRIM(E125),",","."),FIND(":",SUBSTITUTE(TRIM(E125),",","."))-1))*60+_xlfn.NUMBERVALUE(MID(SUBSTITUTE(TRIM(E125),",","."),FIND(":",SUBSTITUTE(TRIM(E125),",","."))+1,99),"."),_xlfn.NUMBERVALUE(SUBSTITUTE(TRIM(E125),",","."),".")),0)))</f>
        <v/>
      </c>
      <c r="L125" s="3" t="str">
        <f aca="false">IF(OR(D125="",N(K125)&lt;=0),"",IFERROR(MATCH(B125&amp;"|"&amp;C125&amp;"|"&amp;D125,Нормативы!$M$2:$M$71,0),""))</f>
        <v/>
      </c>
      <c r="M125" s="3" t="str">
        <f aca="false">IF(L125="","",SUMPRODUCT((INDEX(Нормативы!$D$2:$L$71,L125,0)&lt;K125)*ISNUMBER(INDEX(Нормативы!$D$2:$L$71,L125,0))))</f>
        <v/>
      </c>
    </row>
    <row r="126" customFormat="false" ht="15" hidden="false" customHeight="false" outlineLevel="0" collapsed="false">
      <c r="A126" s="5"/>
      <c r="B126" s="5"/>
      <c r="C126" s="5"/>
      <c r="D126" s="5"/>
      <c r="E126" s="14"/>
      <c r="F126" s="4" t="str">
        <f aca="false">IF(OR(J126="",K126="",N(J126)=0,N(K126)&lt;=0),"",ROUNDDOWN(1000*(J126/K126)^3,0))</f>
        <v/>
      </c>
      <c r="G126" s="4" t="str">
        <f aca="false">IF(M126="","",IF(M126+1&gt;COUNT(INDEX(Нормативы!$D$2:$L$71,L126,0)),"Разряда нет",INDEX(Нормативы!$D$1:$L$1,1,M126+1)))</f>
        <v/>
      </c>
      <c r="H126" s="2" t="str">
        <f aca="false">IF(M126="","",IF(M126=0,"—",INDEX(Нормативы!$D$1:$L$1,1,M126)))</f>
        <v/>
      </c>
      <c r="I126" s="7" t="str">
        <f aca="false">IF(M126="","",IF(M126=0,"",IF(INT(ROUND(INDEX(Нормативы!$D$2:$L$71,L126,M126)*100,0)/6000)&gt;0,INT(ROUND(INDEX(Нормативы!$D$2:$L$71,L126,M126)*100,0)/6000)&amp;":"&amp;RIGHT("0"&amp;INT(MOD(ROUND(INDEX(Нормативы!$D$2:$L$71,L126,M126)*100,0),6000)/100),2),INT(MOD(ROUND(INDEX(Нормативы!$D$2:$L$71,L126,M126)*100,0),6000)/100))&amp;"."&amp;RIGHT("0"&amp;MOD(ROUND(INDEX(Нормативы!$D$2:$L$71,L126,M126)*100,0),100),2)))</f>
        <v/>
      </c>
      <c r="J126" s="12" t="str">
        <f aca="false">IF(D126="","",SUMIFS('Базовые времена'!$D$2:$D$71,'Базовые времена'!$A$2:$A$71,B126,'Базовые времена'!$B$2:$B$71,C126,'Базовые времена'!$C$2:$C$71,D126))</f>
        <v/>
      </c>
      <c r="K126" s="12" t="str">
        <f aca="false">IF(E126="","",IF(ISNUMBER(E126),IF(E126&lt;1,E126*86400,E126),IFERROR(IF(ISNUMBER(FIND(":",SUBSTITUTE(TRIM(E126),",","."))),VALUE(LEFT(SUBSTITUTE(TRIM(E126),",","."),FIND(":",SUBSTITUTE(TRIM(E126),",","."))-1))*60+_xlfn.NUMBERVALUE(MID(SUBSTITUTE(TRIM(E126),",","."),FIND(":",SUBSTITUTE(TRIM(E126),",","."))+1,99),"."),_xlfn.NUMBERVALUE(SUBSTITUTE(TRIM(E126),",","."),".")),0)))</f>
        <v/>
      </c>
      <c r="L126" s="3" t="str">
        <f aca="false">IF(OR(D126="",N(K126)&lt;=0),"",IFERROR(MATCH(B126&amp;"|"&amp;C126&amp;"|"&amp;D126,Нормативы!$M$2:$M$71,0),""))</f>
        <v/>
      </c>
      <c r="M126" s="3" t="str">
        <f aca="false">IF(L126="","",SUMPRODUCT((INDEX(Нормативы!$D$2:$L$71,L126,0)&lt;K126)*ISNUMBER(INDEX(Нормативы!$D$2:$L$71,L126,0))))</f>
        <v/>
      </c>
    </row>
    <row r="127" customFormat="false" ht="15" hidden="false" customHeight="false" outlineLevel="0" collapsed="false">
      <c r="A127" s="5"/>
      <c r="B127" s="5"/>
      <c r="C127" s="5"/>
      <c r="D127" s="5"/>
      <c r="E127" s="14"/>
      <c r="F127" s="4" t="str">
        <f aca="false">IF(OR(J127="",K127="",N(J127)=0,N(K127)&lt;=0),"",ROUNDDOWN(1000*(J127/K127)^3,0))</f>
        <v/>
      </c>
      <c r="G127" s="4" t="str">
        <f aca="false">IF(M127="","",IF(M127+1&gt;COUNT(INDEX(Нормативы!$D$2:$L$71,L127,0)),"Разряда нет",INDEX(Нормативы!$D$1:$L$1,1,M127+1)))</f>
        <v/>
      </c>
      <c r="H127" s="2" t="str">
        <f aca="false">IF(M127="","",IF(M127=0,"—",INDEX(Нормативы!$D$1:$L$1,1,M127)))</f>
        <v/>
      </c>
      <c r="I127" s="7" t="str">
        <f aca="false">IF(M127="","",IF(M127=0,"",IF(INT(ROUND(INDEX(Нормативы!$D$2:$L$71,L127,M127)*100,0)/6000)&gt;0,INT(ROUND(INDEX(Нормативы!$D$2:$L$71,L127,M127)*100,0)/6000)&amp;":"&amp;RIGHT("0"&amp;INT(MOD(ROUND(INDEX(Нормативы!$D$2:$L$71,L127,M127)*100,0),6000)/100),2),INT(MOD(ROUND(INDEX(Нормативы!$D$2:$L$71,L127,M127)*100,0),6000)/100))&amp;"."&amp;RIGHT("0"&amp;MOD(ROUND(INDEX(Нормативы!$D$2:$L$71,L127,M127)*100,0),100),2)))</f>
        <v/>
      </c>
      <c r="J127" s="12" t="str">
        <f aca="false">IF(D127="","",SUMIFS('Базовые времена'!$D$2:$D$71,'Базовые времена'!$A$2:$A$71,B127,'Базовые времена'!$B$2:$B$71,C127,'Базовые времена'!$C$2:$C$71,D127))</f>
        <v/>
      </c>
      <c r="K127" s="12" t="str">
        <f aca="false">IF(E127="","",IF(ISNUMBER(E127),IF(E127&lt;1,E127*86400,E127),IFERROR(IF(ISNUMBER(FIND(":",SUBSTITUTE(TRIM(E127),",","."))),VALUE(LEFT(SUBSTITUTE(TRIM(E127),",","."),FIND(":",SUBSTITUTE(TRIM(E127),",","."))-1))*60+_xlfn.NUMBERVALUE(MID(SUBSTITUTE(TRIM(E127),",","."),FIND(":",SUBSTITUTE(TRIM(E127),",","."))+1,99),"."),_xlfn.NUMBERVALUE(SUBSTITUTE(TRIM(E127),",","."),".")),0)))</f>
        <v/>
      </c>
      <c r="L127" s="3" t="str">
        <f aca="false">IF(OR(D127="",N(K127)&lt;=0),"",IFERROR(MATCH(B127&amp;"|"&amp;C127&amp;"|"&amp;D127,Нормативы!$M$2:$M$71,0),""))</f>
        <v/>
      </c>
      <c r="M127" s="3" t="str">
        <f aca="false">IF(L127="","",SUMPRODUCT((INDEX(Нормативы!$D$2:$L$71,L127,0)&lt;K127)*ISNUMBER(INDEX(Нормативы!$D$2:$L$71,L127,0))))</f>
        <v/>
      </c>
    </row>
    <row r="128" customFormat="false" ht="15" hidden="false" customHeight="false" outlineLevel="0" collapsed="false">
      <c r="A128" s="5"/>
      <c r="B128" s="5"/>
      <c r="C128" s="5"/>
      <c r="D128" s="5"/>
      <c r="E128" s="14"/>
      <c r="F128" s="4" t="str">
        <f aca="false">IF(OR(J128="",K128="",N(J128)=0,N(K128)&lt;=0),"",ROUNDDOWN(1000*(J128/K128)^3,0))</f>
        <v/>
      </c>
      <c r="G128" s="4" t="str">
        <f aca="false">IF(M128="","",IF(M128+1&gt;COUNT(INDEX(Нормативы!$D$2:$L$71,L128,0)),"Разряда нет",INDEX(Нормативы!$D$1:$L$1,1,M128+1)))</f>
        <v/>
      </c>
      <c r="H128" s="2" t="str">
        <f aca="false">IF(M128="","",IF(M128=0,"—",INDEX(Нормативы!$D$1:$L$1,1,M128)))</f>
        <v/>
      </c>
      <c r="I128" s="7" t="str">
        <f aca="false">IF(M128="","",IF(M128=0,"",IF(INT(ROUND(INDEX(Нормативы!$D$2:$L$71,L128,M128)*100,0)/6000)&gt;0,INT(ROUND(INDEX(Нормативы!$D$2:$L$71,L128,M128)*100,0)/6000)&amp;":"&amp;RIGHT("0"&amp;INT(MOD(ROUND(INDEX(Нормативы!$D$2:$L$71,L128,M128)*100,0),6000)/100),2),INT(MOD(ROUND(INDEX(Нормативы!$D$2:$L$71,L128,M128)*100,0),6000)/100))&amp;"."&amp;RIGHT("0"&amp;MOD(ROUND(INDEX(Нормативы!$D$2:$L$71,L128,M128)*100,0),100),2)))</f>
        <v/>
      </c>
      <c r="J128" s="12" t="str">
        <f aca="false">IF(D128="","",SUMIFS('Базовые времена'!$D$2:$D$71,'Базовые времена'!$A$2:$A$71,B128,'Базовые времена'!$B$2:$B$71,C128,'Базовые времена'!$C$2:$C$71,D128))</f>
        <v/>
      </c>
      <c r="K128" s="12" t="str">
        <f aca="false">IF(E128="","",IF(ISNUMBER(E128),IF(E128&lt;1,E128*86400,E128),IFERROR(IF(ISNUMBER(FIND(":",SUBSTITUTE(TRIM(E128),",","."))),VALUE(LEFT(SUBSTITUTE(TRIM(E128),",","."),FIND(":",SUBSTITUTE(TRIM(E128),",","."))-1))*60+_xlfn.NUMBERVALUE(MID(SUBSTITUTE(TRIM(E128),",","."),FIND(":",SUBSTITUTE(TRIM(E128),",","."))+1,99),"."),_xlfn.NUMBERVALUE(SUBSTITUTE(TRIM(E128),",","."),".")),0)))</f>
        <v/>
      </c>
      <c r="L128" s="3" t="str">
        <f aca="false">IF(OR(D128="",N(K128)&lt;=0),"",IFERROR(MATCH(B128&amp;"|"&amp;C128&amp;"|"&amp;D128,Нормативы!$M$2:$M$71,0),""))</f>
        <v/>
      </c>
      <c r="M128" s="3" t="str">
        <f aca="false">IF(L128="","",SUMPRODUCT((INDEX(Нормативы!$D$2:$L$71,L128,0)&lt;K128)*ISNUMBER(INDEX(Нормативы!$D$2:$L$71,L128,0))))</f>
        <v/>
      </c>
    </row>
    <row r="129" customFormat="false" ht="15" hidden="false" customHeight="false" outlineLevel="0" collapsed="false">
      <c r="A129" s="5"/>
      <c r="B129" s="5"/>
      <c r="C129" s="5"/>
      <c r="D129" s="5"/>
      <c r="E129" s="14"/>
      <c r="F129" s="4" t="str">
        <f aca="false">IF(OR(J129="",K129="",N(J129)=0,N(K129)&lt;=0),"",ROUNDDOWN(1000*(J129/K129)^3,0))</f>
        <v/>
      </c>
      <c r="G129" s="4" t="str">
        <f aca="false">IF(M129="","",IF(M129+1&gt;COUNT(INDEX(Нормативы!$D$2:$L$71,L129,0)),"Разряда нет",INDEX(Нормативы!$D$1:$L$1,1,M129+1)))</f>
        <v/>
      </c>
      <c r="H129" s="2" t="str">
        <f aca="false">IF(M129="","",IF(M129=0,"—",INDEX(Нормативы!$D$1:$L$1,1,M129)))</f>
        <v/>
      </c>
      <c r="I129" s="7" t="str">
        <f aca="false">IF(M129="","",IF(M129=0,"",IF(INT(ROUND(INDEX(Нормативы!$D$2:$L$71,L129,M129)*100,0)/6000)&gt;0,INT(ROUND(INDEX(Нормативы!$D$2:$L$71,L129,M129)*100,0)/6000)&amp;":"&amp;RIGHT("0"&amp;INT(MOD(ROUND(INDEX(Нормативы!$D$2:$L$71,L129,M129)*100,0),6000)/100),2),INT(MOD(ROUND(INDEX(Нормативы!$D$2:$L$71,L129,M129)*100,0),6000)/100))&amp;"."&amp;RIGHT("0"&amp;MOD(ROUND(INDEX(Нормативы!$D$2:$L$71,L129,M129)*100,0),100),2)))</f>
        <v/>
      </c>
      <c r="J129" s="12" t="str">
        <f aca="false">IF(D129="","",SUMIFS('Базовые времена'!$D$2:$D$71,'Базовые времена'!$A$2:$A$71,B129,'Базовые времена'!$B$2:$B$71,C129,'Базовые времена'!$C$2:$C$71,D129))</f>
        <v/>
      </c>
      <c r="K129" s="12" t="str">
        <f aca="false">IF(E129="","",IF(ISNUMBER(E129),IF(E129&lt;1,E129*86400,E129),IFERROR(IF(ISNUMBER(FIND(":",SUBSTITUTE(TRIM(E129),",","."))),VALUE(LEFT(SUBSTITUTE(TRIM(E129),",","."),FIND(":",SUBSTITUTE(TRIM(E129),",","."))-1))*60+_xlfn.NUMBERVALUE(MID(SUBSTITUTE(TRIM(E129),",","."),FIND(":",SUBSTITUTE(TRIM(E129),",","."))+1,99),"."),_xlfn.NUMBERVALUE(SUBSTITUTE(TRIM(E129),",","."),".")),0)))</f>
        <v/>
      </c>
      <c r="L129" s="3" t="str">
        <f aca="false">IF(OR(D129="",N(K129)&lt;=0),"",IFERROR(MATCH(B129&amp;"|"&amp;C129&amp;"|"&amp;D129,Нормативы!$M$2:$M$71,0),""))</f>
        <v/>
      </c>
      <c r="M129" s="3" t="str">
        <f aca="false">IF(L129="","",SUMPRODUCT((INDEX(Нормативы!$D$2:$L$71,L129,0)&lt;K129)*ISNUMBER(INDEX(Нормативы!$D$2:$L$71,L129,0))))</f>
        <v/>
      </c>
    </row>
    <row r="130" customFormat="false" ht="15" hidden="false" customHeight="false" outlineLevel="0" collapsed="false">
      <c r="A130" s="5"/>
      <c r="B130" s="5"/>
      <c r="C130" s="5"/>
      <c r="D130" s="5"/>
      <c r="E130" s="14"/>
      <c r="F130" s="4" t="str">
        <f aca="false">IF(OR(J130="",K130="",N(J130)=0,N(K130)&lt;=0),"",ROUNDDOWN(1000*(J130/K130)^3,0))</f>
        <v/>
      </c>
      <c r="G130" s="4" t="str">
        <f aca="false">IF(M130="","",IF(M130+1&gt;COUNT(INDEX(Нормативы!$D$2:$L$71,L130,0)),"Разряда нет",INDEX(Нормативы!$D$1:$L$1,1,M130+1)))</f>
        <v/>
      </c>
      <c r="H130" s="2" t="str">
        <f aca="false">IF(M130="","",IF(M130=0,"—",INDEX(Нормативы!$D$1:$L$1,1,M130)))</f>
        <v/>
      </c>
      <c r="I130" s="7" t="str">
        <f aca="false">IF(M130="","",IF(M130=0,"",IF(INT(ROUND(INDEX(Нормативы!$D$2:$L$71,L130,M130)*100,0)/6000)&gt;0,INT(ROUND(INDEX(Нормативы!$D$2:$L$71,L130,M130)*100,0)/6000)&amp;":"&amp;RIGHT("0"&amp;INT(MOD(ROUND(INDEX(Нормативы!$D$2:$L$71,L130,M130)*100,0),6000)/100),2),INT(MOD(ROUND(INDEX(Нормативы!$D$2:$L$71,L130,M130)*100,0),6000)/100))&amp;"."&amp;RIGHT("0"&amp;MOD(ROUND(INDEX(Нормативы!$D$2:$L$71,L130,M130)*100,0),100),2)))</f>
        <v/>
      </c>
      <c r="J130" s="12" t="str">
        <f aca="false">IF(D130="","",SUMIFS('Базовые времена'!$D$2:$D$71,'Базовые времена'!$A$2:$A$71,B130,'Базовые времена'!$B$2:$B$71,C130,'Базовые времена'!$C$2:$C$71,D130))</f>
        <v/>
      </c>
      <c r="K130" s="12" t="str">
        <f aca="false">IF(E130="","",IF(ISNUMBER(E130),IF(E130&lt;1,E130*86400,E130),IFERROR(IF(ISNUMBER(FIND(":",SUBSTITUTE(TRIM(E130),",","."))),VALUE(LEFT(SUBSTITUTE(TRIM(E130),",","."),FIND(":",SUBSTITUTE(TRIM(E130),",","."))-1))*60+_xlfn.NUMBERVALUE(MID(SUBSTITUTE(TRIM(E130),",","."),FIND(":",SUBSTITUTE(TRIM(E130),",","."))+1,99),"."),_xlfn.NUMBERVALUE(SUBSTITUTE(TRIM(E130),",","."),".")),0)))</f>
        <v/>
      </c>
      <c r="L130" s="3" t="str">
        <f aca="false">IF(OR(D130="",N(K130)&lt;=0),"",IFERROR(MATCH(B130&amp;"|"&amp;C130&amp;"|"&amp;D130,Нормативы!$M$2:$M$71,0),""))</f>
        <v/>
      </c>
      <c r="M130" s="3" t="str">
        <f aca="false">IF(L130="","",SUMPRODUCT((INDEX(Нормативы!$D$2:$L$71,L130,0)&lt;K130)*ISNUMBER(INDEX(Нормативы!$D$2:$L$71,L130,0))))</f>
        <v/>
      </c>
    </row>
    <row r="131" customFormat="false" ht="15" hidden="false" customHeight="false" outlineLevel="0" collapsed="false">
      <c r="A131" s="5"/>
      <c r="B131" s="5"/>
      <c r="C131" s="5"/>
      <c r="D131" s="5"/>
      <c r="E131" s="14"/>
      <c r="F131" s="4" t="str">
        <f aca="false">IF(OR(J131="",K131="",N(J131)=0,N(K131)&lt;=0),"",ROUNDDOWN(1000*(J131/K131)^3,0))</f>
        <v/>
      </c>
      <c r="G131" s="4" t="str">
        <f aca="false">IF(M131="","",IF(M131+1&gt;COUNT(INDEX(Нормативы!$D$2:$L$71,L131,0)),"Разряда нет",INDEX(Нормативы!$D$1:$L$1,1,M131+1)))</f>
        <v/>
      </c>
      <c r="H131" s="2" t="str">
        <f aca="false">IF(M131="","",IF(M131=0,"—",INDEX(Нормативы!$D$1:$L$1,1,M131)))</f>
        <v/>
      </c>
      <c r="I131" s="7" t="str">
        <f aca="false">IF(M131="","",IF(M131=0,"",IF(INT(ROUND(INDEX(Нормативы!$D$2:$L$71,L131,M131)*100,0)/6000)&gt;0,INT(ROUND(INDEX(Нормативы!$D$2:$L$71,L131,M131)*100,0)/6000)&amp;":"&amp;RIGHT("0"&amp;INT(MOD(ROUND(INDEX(Нормативы!$D$2:$L$71,L131,M131)*100,0),6000)/100),2),INT(MOD(ROUND(INDEX(Нормативы!$D$2:$L$71,L131,M131)*100,0),6000)/100))&amp;"."&amp;RIGHT("0"&amp;MOD(ROUND(INDEX(Нормативы!$D$2:$L$71,L131,M131)*100,0),100),2)))</f>
        <v/>
      </c>
      <c r="J131" s="12" t="str">
        <f aca="false">IF(D131="","",SUMIFS('Базовые времена'!$D$2:$D$71,'Базовые времена'!$A$2:$A$71,B131,'Базовые времена'!$B$2:$B$71,C131,'Базовые времена'!$C$2:$C$71,D131))</f>
        <v/>
      </c>
      <c r="K131" s="12" t="str">
        <f aca="false">IF(E131="","",IF(ISNUMBER(E131),IF(E131&lt;1,E131*86400,E131),IFERROR(IF(ISNUMBER(FIND(":",SUBSTITUTE(TRIM(E131),",","."))),VALUE(LEFT(SUBSTITUTE(TRIM(E131),",","."),FIND(":",SUBSTITUTE(TRIM(E131),",","."))-1))*60+_xlfn.NUMBERVALUE(MID(SUBSTITUTE(TRIM(E131),",","."),FIND(":",SUBSTITUTE(TRIM(E131),",","."))+1,99),"."),_xlfn.NUMBERVALUE(SUBSTITUTE(TRIM(E131),",","."),".")),0)))</f>
        <v/>
      </c>
      <c r="L131" s="3" t="str">
        <f aca="false">IF(OR(D131="",N(K131)&lt;=0),"",IFERROR(MATCH(B131&amp;"|"&amp;C131&amp;"|"&amp;D131,Нормативы!$M$2:$M$71,0),""))</f>
        <v/>
      </c>
      <c r="M131" s="3" t="str">
        <f aca="false">IF(L131="","",SUMPRODUCT((INDEX(Нормативы!$D$2:$L$71,L131,0)&lt;K131)*ISNUMBER(INDEX(Нормативы!$D$2:$L$71,L131,0))))</f>
        <v/>
      </c>
    </row>
    <row r="132" customFormat="false" ht="15" hidden="false" customHeight="false" outlineLevel="0" collapsed="false">
      <c r="A132" s="5"/>
      <c r="B132" s="5"/>
      <c r="C132" s="5"/>
      <c r="D132" s="5"/>
      <c r="E132" s="14"/>
      <c r="F132" s="4" t="str">
        <f aca="false">IF(OR(J132="",K132="",N(J132)=0,N(K132)&lt;=0),"",ROUNDDOWN(1000*(J132/K132)^3,0))</f>
        <v/>
      </c>
      <c r="G132" s="4" t="str">
        <f aca="false">IF(M132="","",IF(M132+1&gt;COUNT(INDEX(Нормативы!$D$2:$L$71,L132,0)),"Разряда нет",INDEX(Нормативы!$D$1:$L$1,1,M132+1)))</f>
        <v/>
      </c>
      <c r="H132" s="2" t="str">
        <f aca="false">IF(M132="","",IF(M132=0,"—",INDEX(Нормативы!$D$1:$L$1,1,M132)))</f>
        <v/>
      </c>
      <c r="I132" s="7" t="str">
        <f aca="false">IF(M132="","",IF(M132=0,"",IF(INT(ROUND(INDEX(Нормативы!$D$2:$L$71,L132,M132)*100,0)/6000)&gt;0,INT(ROUND(INDEX(Нормативы!$D$2:$L$71,L132,M132)*100,0)/6000)&amp;":"&amp;RIGHT("0"&amp;INT(MOD(ROUND(INDEX(Нормативы!$D$2:$L$71,L132,M132)*100,0),6000)/100),2),INT(MOD(ROUND(INDEX(Нормативы!$D$2:$L$71,L132,M132)*100,0),6000)/100))&amp;"."&amp;RIGHT("0"&amp;MOD(ROUND(INDEX(Нормативы!$D$2:$L$71,L132,M132)*100,0),100),2)))</f>
        <v/>
      </c>
      <c r="J132" s="12" t="str">
        <f aca="false">IF(D132="","",SUMIFS('Базовые времена'!$D$2:$D$71,'Базовые времена'!$A$2:$A$71,B132,'Базовые времена'!$B$2:$B$71,C132,'Базовые времена'!$C$2:$C$71,D132))</f>
        <v/>
      </c>
      <c r="K132" s="12" t="str">
        <f aca="false">IF(E132="","",IF(ISNUMBER(E132),IF(E132&lt;1,E132*86400,E132),IFERROR(IF(ISNUMBER(FIND(":",SUBSTITUTE(TRIM(E132),",","."))),VALUE(LEFT(SUBSTITUTE(TRIM(E132),",","."),FIND(":",SUBSTITUTE(TRIM(E132),",","."))-1))*60+_xlfn.NUMBERVALUE(MID(SUBSTITUTE(TRIM(E132),",","."),FIND(":",SUBSTITUTE(TRIM(E132),",","."))+1,99),"."),_xlfn.NUMBERVALUE(SUBSTITUTE(TRIM(E132),",","."),".")),0)))</f>
        <v/>
      </c>
      <c r="L132" s="3" t="str">
        <f aca="false">IF(OR(D132="",N(K132)&lt;=0),"",IFERROR(MATCH(B132&amp;"|"&amp;C132&amp;"|"&amp;D132,Нормативы!$M$2:$M$71,0),""))</f>
        <v/>
      </c>
      <c r="M132" s="3" t="str">
        <f aca="false">IF(L132="","",SUMPRODUCT((INDEX(Нормативы!$D$2:$L$71,L132,0)&lt;K132)*ISNUMBER(INDEX(Нормативы!$D$2:$L$71,L132,0))))</f>
        <v/>
      </c>
    </row>
    <row r="133" customFormat="false" ht="15" hidden="false" customHeight="false" outlineLevel="0" collapsed="false">
      <c r="A133" s="5"/>
      <c r="B133" s="5"/>
      <c r="C133" s="5"/>
      <c r="D133" s="5"/>
      <c r="E133" s="14"/>
      <c r="F133" s="4" t="str">
        <f aca="false">IF(OR(J133="",K133="",N(J133)=0,N(K133)&lt;=0),"",ROUNDDOWN(1000*(J133/K133)^3,0))</f>
        <v/>
      </c>
      <c r="G133" s="4" t="str">
        <f aca="false">IF(M133="","",IF(M133+1&gt;COUNT(INDEX(Нормативы!$D$2:$L$71,L133,0)),"Разряда нет",INDEX(Нормативы!$D$1:$L$1,1,M133+1)))</f>
        <v/>
      </c>
      <c r="H133" s="2" t="str">
        <f aca="false">IF(M133="","",IF(M133=0,"—",INDEX(Нормативы!$D$1:$L$1,1,M133)))</f>
        <v/>
      </c>
      <c r="I133" s="7" t="str">
        <f aca="false">IF(M133="","",IF(M133=0,"",IF(INT(ROUND(INDEX(Нормативы!$D$2:$L$71,L133,M133)*100,0)/6000)&gt;0,INT(ROUND(INDEX(Нормативы!$D$2:$L$71,L133,M133)*100,0)/6000)&amp;":"&amp;RIGHT("0"&amp;INT(MOD(ROUND(INDEX(Нормативы!$D$2:$L$71,L133,M133)*100,0),6000)/100),2),INT(MOD(ROUND(INDEX(Нормативы!$D$2:$L$71,L133,M133)*100,0),6000)/100))&amp;"."&amp;RIGHT("0"&amp;MOD(ROUND(INDEX(Нормативы!$D$2:$L$71,L133,M133)*100,0),100),2)))</f>
        <v/>
      </c>
      <c r="J133" s="12" t="str">
        <f aca="false">IF(D133="","",SUMIFS('Базовые времена'!$D$2:$D$71,'Базовые времена'!$A$2:$A$71,B133,'Базовые времена'!$B$2:$B$71,C133,'Базовые времена'!$C$2:$C$71,D133))</f>
        <v/>
      </c>
      <c r="K133" s="12" t="str">
        <f aca="false">IF(E133="","",IF(ISNUMBER(E133),IF(E133&lt;1,E133*86400,E133),IFERROR(IF(ISNUMBER(FIND(":",SUBSTITUTE(TRIM(E133),",","."))),VALUE(LEFT(SUBSTITUTE(TRIM(E133),",","."),FIND(":",SUBSTITUTE(TRIM(E133),",","."))-1))*60+_xlfn.NUMBERVALUE(MID(SUBSTITUTE(TRIM(E133),",","."),FIND(":",SUBSTITUTE(TRIM(E133),",","."))+1,99),"."),_xlfn.NUMBERVALUE(SUBSTITUTE(TRIM(E133),",","."),".")),0)))</f>
        <v/>
      </c>
      <c r="L133" s="3" t="str">
        <f aca="false">IF(OR(D133="",N(K133)&lt;=0),"",IFERROR(MATCH(B133&amp;"|"&amp;C133&amp;"|"&amp;D133,Нормативы!$M$2:$M$71,0),""))</f>
        <v/>
      </c>
      <c r="M133" s="3" t="str">
        <f aca="false">IF(L133="","",SUMPRODUCT((INDEX(Нормативы!$D$2:$L$71,L133,0)&lt;K133)*ISNUMBER(INDEX(Нормативы!$D$2:$L$71,L133,0))))</f>
        <v/>
      </c>
    </row>
    <row r="134" customFormat="false" ht="15" hidden="false" customHeight="false" outlineLevel="0" collapsed="false">
      <c r="A134" s="5"/>
      <c r="B134" s="5"/>
      <c r="C134" s="5"/>
      <c r="D134" s="5"/>
      <c r="E134" s="14"/>
      <c r="F134" s="4" t="str">
        <f aca="false">IF(OR(J134="",K134="",N(J134)=0,N(K134)&lt;=0),"",ROUNDDOWN(1000*(J134/K134)^3,0))</f>
        <v/>
      </c>
      <c r="G134" s="4" t="str">
        <f aca="false">IF(M134="","",IF(M134+1&gt;COUNT(INDEX(Нормативы!$D$2:$L$71,L134,0)),"Разряда нет",INDEX(Нормативы!$D$1:$L$1,1,M134+1)))</f>
        <v/>
      </c>
      <c r="H134" s="2" t="str">
        <f aca="false">IF(M134="","",IF(M134=0,"—",INDEX(Нормативы!$D$1:$L$1,1,M134)))</f>
        <v/>
      </c>
      <c r="I134" s="7" t="str">
        <f aca="false">IF(M134="","",IF(M134=0,"",IF(INT(ROUND(INDEX(Нормативы!$D$2:$L$71,L134,M134)*100,0)/6000)&gt;0,INT(ROUND(INDEX(Нормативы!$D$2:$L$71,L134,M134)*100,0)/6000)&amp;":"&amp;RIGHT("0"&amp;INT(MOD(ROUND(INDEX(Нормативы!$D$2:$L$71,L134,M134)*100,0),6000)/100),2),INT(MOD(ROUND(INDEX(Нормативы!$D$2:$L$71,L134,M134)*100,0),6000)/100))&amp;"."&amp;RIGHT("0"&amp;MOD(ROUND(INDEX(Нормативы!$D$2:$L$71,L134,M134)*100,0),100),2)))</f>
        <v/>
      </c>
      <c r="J134" s="12" t="str">
        <f aca="false">IF(D134="","",SUMIFS('Базовые времена'!$D$2:$D$71,'Базовые времена'!$A$2:$A$71,B134,'Базовые времена'!$B$2:$B$71,C134,'Базовые времена'!$C$2:$C$71,D134))</f>
        <v/>
      </c>
      <c r="K134" s="12" t="str">
        <f aca="false">IF(E134="","",IF(ISNUMBER(E134),IF(E134&lt;1,E134*86400,E134),IFERROR(IF(ISNUMBER(FIND(":",SUBSTITUTE(TRIM(E134),",","."))),VALUE(LEFT(SUBSTITUTE(TRIM(E134),",","."),FIND(":",SUBSTITUTE(TRIM(E134),",","."))-1))*60+_xlfn.NUMBERVALUE(MID(SUBSTITUTE(TRIM(E134),",","."),FIND(":",SUBSTITUTE(TRIM(E134),",","."))+1,99),"."),_xlfn.NUMBERVALUE(SUBSTITUTE(TRIM(E134),",","."),".")),0)))</f>
        <v/>
      </c>
      <c r="L134" s="3" t="str">
        <f aca="false">IF(OR(D134="",N(K134)&lt;=0),"",IFERROR(MATCH(B134&amp;"|"&amp;C134&amp;"|"&amp;D134,Нормативы!$M$2:$M$71,0),""))</f>
        <v/>
      </c>
      <c r="M134" s="3" t="str">
        <f aca="false">IF(L134="","",SUMPRODUCT((INDEX(Нормативы!$D$2:$L$71,L134,0)&lt;K134)*ISNUMBER(INDEX(Нормативы!$D$2:$L$71,L134,0))))</f>
        <v/>
      </c>
    </row>
    <row r="135" customFormat="false" ht="15" hidden="false" customHeight="false" outlineLevel="0" collapsed="false">
      <c r="A135" s="5"/>
      <c r="B135" s="5"/>
      <c r="C135" s="5"/>
      <c r="D135" s="5"/>
      <c r="E135" s="14"/>
      <c r="F135" s="4" t="str">
        <f aca="false">IF(OR(J135="",K135="",N(J135)=0,N(K135)&lt;=0),"",ROUNDDOWN(1000*(J135/K135)^3,0))</f>
        <v/>
      </c>
      <c r="G135" s="4" t="str">
        <f aca="false">IF(M135="","",IF(M135+1&gt;COUNT(INDEX(Нормативы!$D$2:$L$71,L135,0)),"Разряда нет",INDEX(Нормативы!$D$1:$L$1,1,M135+1)))</f>
        <v/>
      </c>
      <c r="H135" s="2" t="str">
        <f aca="false">IF(M135="","",IF(M135=0,"—",INDEX(Нормативы!$D$1:$L$1,1,M135)))</f>
        <v/>
      </c>
      <c r="I135" s="7" t="str">
        <f aca="false">IF(M135="","",IF(M135=0,"",IF(INT(ROUND(INDEX(Нормативы!$D$2:$L$71,L135,M135)*100,0)/6000)&gt;0,INT(ROUND(INDEX(Нормативы!$D$2:$L$71,L135,M135)*100,0)/6000)&amp;":"&amp;RIGHT("0"&amp;INT(MOD(ROUND(INDEX(Нормативы!$D$2:$L$71,L135,M135)*100,0),6000)/100),2),INT(MOD(ROUND(INDEX(Нормативы!$D$2:$L$71,L135,M135)*100,0),6000)/100))&amp;"."&amp;RIGHT("0"&amp;MOD(ROUND(INDEX(Нормативы!$D$2:$L$71,L135,M135)*100,0),100),2)))</f>
        <v/>
      </c>
      <c r="J135" s="12" t="str">
        <f aca="false">IF(D135="","",SUMIFS('Базовые времена'!$D$2:$D$71,'Базовые времена'!$A$2:$A$71,B135,'Базовые времена'!$B$2:$B$71,C135,'Базовые времена'!$C$2:$C$71,D135))</f>
        <v/>
      </c>
      <c r="K135" s="12" t="str">
        <f aca="false">IF(E135="","",IF(ISNUMBER(E135),IF(E135&lt;1,E135*86400,E135),IFERROR(IF(ISNUMBER(FIND(":",SUBSTITUTE(TRIM(E135),",","."))),VALUE(LEFT(SUBSTITUTE(TRIM(E135),",","."),FIND(":",SUBSTITUTE(TRIM(E135),",","."))-1))*60+_xlfn.NUMBERVALUE(MID(SUBSTITUTE(TRIM(E135),",","."),FIND(":",SUBSTITUTE(TRIM(E135),",","."))+1,99),"."),_xlfn.NUMBERVALUE(SUBSTITUTE(TRIM(E135),",","."),".")),0)))</f>
        <v/>
      </c>
      <c r="L135" s="3" t="str">
        <f aca="false">IF(OR(D135="",N(K135)&lt;=0),"",IFERROR(MATCH(B135&amp;"|"&amp;C135&amp;"|"&amp;D135,Нормативы!$M$2:$M$71,0),""))</f>
        <v/>
      </c>
      <c r="M135" s="3" t="str">
        <f aca="false">IF(L135="","",SUMPRODUCT((INDEX(Нормативы!$D$2:$L$71,L135,0)&lt;K135)*ISNUMBER(INDEX(Нормативы!$D$2:$L$71,L135,0))))</f>
        <v/>
      </c>
    </row>
    <row r="136" customFormat="false" ht="15" hidden="false" customHeight="false" outlineLevel="0" collapsed="false">
      <c r="A136" s="5"/>
      <c r="B136" s="5"/>
      <c r="C136" s="5"/>
      <c r="D136" s="5"/>
      <c r="E136" s="14"/>
      <c r="F136" s="4" t="str">
        <f aca="false">IF(OR(J136="",K136="",N(J136)=0,N(K136)&lt;=0),"",ROUNDDOWN(1000*(J136/K136)^3,0))</f>
        <v/>
      </c>
      <c r="G136" s="4" t="str">
        <f aca="false">IF(M136="","",IF(M136+1&gt;COUNT(INDEX(Нормативы!$D$2:$L$71,L136,0)),"Разряда нет",INDEX(Нормативы!$D$1:$L$1,1,M136+1)))</f>
        <v/>
      </c>
      <c r="H136" s="2" t="str">
        <f aca="false">IF(M136="","",IF(M136=0,"—",INDEX(Нормативы!$D$1:$L$1,1,M136)))</f>
        <v/>
      </c>
      <c r="I136" s="7" t="str">
        <f aca="false">IF(M136="","",IF(M136=0,"",IF(INT(ROUND(INDEX(Нормативы!$D$2:$L$71,L136,M136)*100,0)/6000)&gt;0,INT(ROUND(INDEX(Нормативы!$D$2:$L$71,L136,M136)*100,0)/6000)&amp;":"&amp;RIGHT("0"&amp;INT(MOD(ROUND(INDEX(Нормативы!$D$2:$L$71,L136,M136)*100,0),6000)/100),2),INT(MOD(ROUND(INDEX(Нормативы!$D$2:$L$71,L136,M136)*100,0),6000)/100))&amp;"."&amp;RIGHT("0"&amp;MOD(ROUND(INDEX(Нормативы!$D$2:$L$71,L136,M136)*100,0),100),2)))</f>
        <v/>
      </c>
      <c r="J136" s="12" t="str">
        <f aca="false">IF(D136="","",SUMIFS('Базовые времена'!$D$2:$D$71,'Базовые времена'!$A$2:$A$71,B136,'Базовые времена'!$B$2:$B$71,C136,'Базовые времена'!$C$2:$C$71,D136))</f>
        <v/>
      </c>
      <c r="K136" s="12" t="str">
        <f aca="false">IF(E136="","",IF(ISNUMBER(E136),IF(E136&lt;1,E136*86400,E136),IFERROR(IF(ISNUMBER(FIND(":",SUBSTITUTE(TRIM(E136),",","."))),VALUE(LEFT(SUBSTITUTE(TRIM(E136),",","."),FIND(":",SUBSTITUTE(TRIM(E136),",","."))-1))*60+_xlfn.NUMBERVALUE(MID(SUBSTITUTE(TRIM(E136),",","."),FIND(":",SUBSTITUTE(TRIM(E136),",","."))+1,99),"."),_xlfn.NUMBERVALUE(SUBSTITUTE(TRIM(E136),",","."),".")),0)))</f>
        <v/>
      </c>
      <c r="L136" s="3" t="str">
        <f aca="false">IF(OR(D136="",N(K136)&lt;=0),"",IFERROR(MATCH(B136&amp;"|"&amp;C136&amp;"|"&amp;D136,Нормативы!$M$2:$M$71,0),""))</f>
        <v/>
      </c>
      <c r="M136" s="3" t="str">
        <f aca="false">IF(L136="","",SUMPRODUCT((INDEX(Нормативы!$D$2:$L$71,L136,0)&lt;K136)*ISNUMBER(INDEX(Нормативы!$D$2:$L$71,L136,0))))</f>
        <v/>
      </c>
    </row>
    <row r="137" customFormat="false" ht="15" hidden="false" customHeight="false" outlineLevel="0" collapsed="false">
      <c r="A137" s="5"/>
      <c r="B137" s="5"/>
      <c r="C137" s="5"/>
      <c r="D137" s="5"/>
      <c r="E137" s="14"/>
      <c r="F137" s="4" t="str">
        <f aca="false">IF(OR(J137="",K137="",N(J137)=0,N(K137)&lt;=0),"",ROUNDDOWN(1000*(J137/K137)^3,0))</f>
        <v/>
      </c>
      <c r="G137" s="4" t="str">
        <f aca="false">IF(M137="","",IF(M137+1&gt;COUNT(INDEX(Нормативы!$D$2:$L$71,L137,0)),"Разряда нет",INDEX(Нормативы!$D$1:$L$1,1,M137+1)))</f>
        <v/>
      </c>
      <c r="H137" s="2" t="str">
        <f aca="false">IF(M137="","",IF(M137=0,"—",INDEX(Нормативы!$D$1:$L$1,1,M137)))</f>
        <v/>
      </c>
      <c r="I137" s="7" t="str">
        <f aca="false">IF(M137="","",IF(M137=0,"",IF(INT(ROUND(INDEX(Нормативы!$D$2:$L$71,L137,M137)*100,0)/6000)&gt;0,INT(ROUND(INDEX(Нормативы!$D$2:$L$71,L137,M137)*100,0)/6000)&amp;":"&amp;RIGHT("0"&amp;INT(MOD(ROUND(INDEX(Нормативы!$D$2:$L$71,L137,M137)*100,0),6000)/100),2),INT(MOD(ROUND(INDEX(Нормативы!$D$2:$L$71,L137,M137)*100,0),6000)/100))&amp;"."&amp;RIGHT("0"&amp;MOD(ROUND(INDEX(Нормативы!$D$2:$L$71,L137,M137)*100,0),100),2)))</f>
        <v/>
      </c>
      <c r="J137" s="12" t="str">
        <f aca="false">IF(D137="","",SUMIFS('Базовые времена'!$D$2:$D$71,'Базовые времена'!$A$2:$A$71,B137,'Базовые времена'!$B$2:$B$71,C137,'Базовые времена'!$C$2:$C$71,D137))</f>
        <v/>
      </c>
      <c r="K137" s="12" t="str">
        <f aca="false">IF(E137="","",IF(ISNUMBER(E137),IF(E137&lt;1,E137*86400,E137),IFERROR(IF(ISNUMBER(FIND(":",SUBSTITUTE(TRIM(E137),",","."))),VALUE(LEFT(SUBSTITUTE(TRIM(E137),",","."),FIND(":",SUBSTITUTE(TRIM(E137),",","."))-1))*60+_xlfn.NUMBERVALUE(MID(SUBSTITUTE(TRIM(E137),",","."),FIND(":",SUBSTITUTE(TRIM(E137),",","."))+1,99),"."),_xlfn.NUMBERVALUE(SUBSTITUTE(TRIM(E137),",","."),".")),0)))</f>
        <v/>
      </c>
      <c r="L137" s="3" t="str">
        <f aca="false">IF(OR(D137="",N(K137)&lt;=0),"",IFERROR(MATCH(B137&amp;"|"&amp;C137&amp;"|"&amp;D137,Нормативы!$M$2:$M$71,0),""))</f>
        <v/>
      </c>
      <c r="M137" s="3" t="str">
        <f aca="false">IF(L137="","",SUMPRODUCT((INDEX(Нормативы!$D$2:$L$71,L137,0)&lt;K137)*ISNUMBER(INDEX(Нормативы!$D$2:$L$71,L137,0))))</f>
        <v/>
      </c>
    </row>
    <row r="138" customFormat="false" ht="15" hidden="false" customHeight="false" outlineLevel="0" collapsed="false">
      <c r="A138" s="5"/>
      <c r="B138" s="5"/>
      <c r="C138" s="5"/>
      <c r="D138" s="5"/>
      <c r="E138" s="14"/>
      <c r="F138" s="4" t="str">
        <f aca="false">IF(OR(J138="",K138="",N(J138)=0,N(K138)&lt;=0),"",ROUNDDOWN(1000*(J138/K138)^3,0))</f>
        <v/>
      </c>
      <c r="G138" s="4" t="str">
        <f aca="false">IF(M138="","",IF(M138+1&gt;COUNT(INDEX(Нормативы!$D$2:$L$71,L138,0)),"Разряда нет",INDEX(Нормативы!$D$1:$L$1,1,M138+1)))</f>
        <v/>
      </c>
      <c r="H138" s="2" t="str">
        <f aca="false">IF(M138="","",IF(M138=0,"—",INDEX(Нормативы!$D$1:$L$1,1,M138)))</f>
        <v/>
      </c>
      <c r="I138" s="7" t="str">
        <f aca="false">IF(M138="","",IF(M138=0,"",IF(INT(ROUND(INDEX(Нормативы!$D$2:$L$71,L138,M138)*100,0)/6000)&gt;0,INT(ROUND(INDEX(Нормативы!$D$2:$L$71,L138,M138)*100,0)/6000)&amp;":"&amp;RIGHT("0"&amp;INT(MOD(ROUND(INDEX(Нормативы!$D$2:$L$71,L138,M138)*100,0),6000)/100),2),INT(MOD(ROUND(INDEX(Нормативы!$D$2:$L$71,L138,M138)*100,0),6000)/100))&amp;"."&amp;RIGHT("0"&amp;MOD(ROUND(INDEX(Нормативы!$D$2:$L$71,L138,M138)*100,0),100),2)))</f>
        <v/>
      </c>
      <c r="J138" s="12" t="str">
        <f aca="false">IF(D138="","",SUMIFS('Базовые времена'!$D$2:$D$71,'Базовые времена'!$A$2:$A$71,B138,'Базовые времена'!$B$2:$B$71,C138,'Базовые времена'!$C$2:$C$71,D138))</f>
        <v/>
      </c>
      <c r="K138" s="12" t="str">
        <f aca="false">IF(E138="","",IF(ISNUMBER(E138),IF(E138&lt;1,E138*86400,E138),IFERROR(IF(ISNUMBER(FIND(":",SUBSTITUTE(TRIM(E138),",","."))),VALUE(LEFT(SUBSTITUTE(TRIM(E138),",","."),FIND(":",SUBSTITUTE(TRIM(E138),",","."))-1))*60+_xlfn.NUMBERVALUE(MID(SUBSTITUTE(TRIM(E138),",","."),FIND(":",SUBSTITUTE(TRIM(E138),",","."))+1,99),"."),_xlfn.NUMBERVALUE(SUBSTITUTE(TRIM(E138),",","."),".")),0)))</f>
        <v/>
      </c>
      <c r="L138" s="3" t="str">
        <f aca="false">IF(OR(D138="",N(K138)&lt;=0),"",IFERROR(MATCH(B138&amp;"|"&amp;C138&amp;"|"&amp;D138,Нормативы!$M$2:$M$71,0),""))</f>
        <v/>
      </c>
      <c r="M138" s="3" t="str">
        <f aca="false">IF(L138="","",SUMPRODUCT((INDEX(Нормативы!$D$2:$L$71,L138,0)&lt;K138)*ISNUMBER(INDEX(Нормативы!$D$2:$L$71,L138,0))))</f>
        <v/>
      </c>
    </row>
    <row r="139" customFormat="false" ht="15" hidden="false" customHeight="false" outlineLevel="0" collapsed="false">
      <c r="A139" s="5"/>
      <c r="B139" s="5"/>
      <c r="C139" s="5"/>
      <c r="D139" s="5"/>
      <c r="E139" s="14"/>
      <c r="F139" s="4" t="str">
        <f aca="false">IF(OR(J139="",K139="",N(J139)=0,N(K139)&lt;=0),"",ROUNDDOWN(1000*(J139/K139)^3,0))</f>
        <v/>
      </c>
      <c r="G139" s="4" t="str">
        <f aca="false">IF(M139="","",IF(M139+1&gt;COUNT(INDEX(Нормативы!$D$2:$L$71,L139,0)),"Разряда нет",INDEX(Нормативы!$D$1:$L$1,1,M139+1)))</f>
        <v/>
      </c>
      <c r="H139" s="2" t="str">
        <f aca="false">IF(M139="","",IF(M139=0,"—",INDEX(Нормативы!$D$1:$L$1,1,M139)))</f>
        <v/>
      </c>
      <c r="I139" s="7" t="str">
        <f aca="false">IF(M139="","",IF(M139=0,"",IF(INT(ROUND(INDEX(Нормативы!$D$2:$L$71,L139,M139)*100,0)/6000)&gt;0,INT(ROUND(INDEX(Нормативы!$D$2:$L$71,L139,M139)*100,0)/6000)&amp;":"&amp;RIGHT("0"&amp;INT(MOD(ROUND(INDEX(Нормативы!$D$2:$L$71,L139,M139)*100,0),6000)/100),2),INT(MOD(ROUND(INDEX(Нормативы!$D$2:$L$71,L139,M139)*100,0),6000)/100))&amp;"."&amp;RIGHT("0"&amp;MOD(ROUND(INDEX(Нормативы!$D$2:$L$71,L139,M139)*100,0),100),2)))</f>
        <v/>
      </c>
      <c r="J139" s="12" t="str">
        <f aca="false">IF(D139="","",SUMIFS('Базовые времена'!$D$2:$D$71,'Базовые времена'!$A$2:$A$71,B139,'Базовые времена'!$B$2:$B$71,C139,'Базовые времена'!$C$2:$C$71,D139))</f>
        <v/>
      </c>
      <c r="K139" s="12" t="str">
        <f aca="false">IF(E139="","",IF(ISNUMBER(E139),IF(E139&lt;1,E139*86400,E139),IFERROR(IF(ISNUMBER(FIND(":",SUBSTITUTE(TRIM(E139),",","."))),VALUE(LEFT(SUBSTITUTE(TRIM(E139),",","."),FIND(":",SUBSTITUTE(TRIM(E139),",","."))-1))*60+_xlfn.NUMBERVALUE(MID(SUBSTITUTE(TRIM(E139),",","."),FIND(":",SUBSTITUTE(TRIM(E139),",","."))+1,99),"."),_xlfn.NUMBERVALUE(SUBSTITUTE(TRIM(E139),",","."),".")),0)))</f>
        <v/>
      </c>
      <c r="L139" s="3" t="str">
        <f aca="false">IF(OR(D139="",N(K139)&lt;=0),"",IFERROR(MATCH(B139&amp;"|"&amp;C139&amp;"|"&amp;D139,Нормативы!$M$2:$M$71,0),""))</f>
        <v/>
      </c>
      <c r="M139" s="3" t="str">
        <f aca="false">IF(L139="","",SUMPRODUCT((INDEX(Нормативы!$D$2:$L$71,L139,0)&lt;K139)*ISNUMBER(INDEX(Нормативы!$D$2:$L$71,L139,0))))</f>
        <v/>
      </c>
    </row>
    <row r="140" customFormat="false" ht="15" hidden="false" customHeight="false" outlineLevel="0" collapsed="false">
      <c r="A140" s="5"/>
      <c r="B140" s="5"/>
      <c r="C140" s="5"/>
      <c r="D140" s="5"/>
      <c r="E140" s="14"/>
      <c r="F140" s="4" t="str">
        <f aca="false">IF(OR(J140="",K140="",N(J140)=0,N(K140)&lt;=0),"",ROUNDDOWN(1000*(J140/K140)^3,0))</f>
        <v/>
      </c>
      <c r="G140" s="4" t="str">
        <f aca="false">IF(M140="","",IF(M140+1&gt;COUNT(INDEX(Нормативы!$D$2:$L$71,L140,0)),"Разряда нет",INDEX(Нормативы!$D$1:$L$1,1,M140+1)))</f>
        <v/>
      </c>
      <c r="H140" s="2" t="str">
        <f aca="false">IF(M140="","",IF(M140=0,"—",INDEX(Нормативы!$D$1:$L$1,1,M140)))</f>
        <v/>
      </c>
      <c r="I140" s="7" t="str">
        <f aca="false">IF(M140="","",IF(M140=0,"",IF(INT(ROUND(INDEX(Нормативы!$D$2:$L$71,L140,M140)*100,0)/6000)&gt;0,INT(ROUND(INDEX(Нормативы!$D$2:$L$71,L140,M140)*100,0)/6000)&amp;":"&amp;RIGHT("0"&amp;INT(MOD(ROUND(INDEX(Нормативы!$D$2:$L$71,L140,M140)*100,0),6000)/100),2),INT(MOD(ROUND(INDEX(Нормативы!$D$2:$L$71,L140,M140)*100,0),6000)/100))&amp;"."&amp;RIGHT("0"&amp;MOD(ROUND(INDEX(Нормативы!$D$2:$L$71,L140,M140)*100,0),100),2)))</f>
        <v/>
      </c>
      <c r="J140" s="12" t="str">
        <f aca="false">IF(D140="","",SUMIFS('Базовые времена'!$D$2:$D$71,'Базовые времена'!$A$2:$A$71,B140,'Базовые времена'!$B$2:$B$71,C140,'Базовые времена'!$C$2:$C$71,D140))</f>
        <v/>
      </c>
      <c r="K140" s="12" t="str">
        <f aca="false">IF(E140="","",IF(ISNUMBER(E140),IF(E140&lt;1,E140*86400,E140),IFERROR(IF(ISNUMBER(FIND(":",SUBSTITUTE(TRIM(E140),",","."))),VALUE(LEFT(SUBSTITUTE(TRIM(E140),",","."),FIND(":",SUBSTITUTE(TRIM(E140),",","."))-1))*60+_xlfn.NUMBERVALUE(MID(SUBSTITUTE(TRIM(E140),",","."),FIND(":",SUBSTITUTE(TRIM(E140),",","."))+1,99),"."),_xlfn.NUMBERVALUE(SUBSTITUTE(TRIM(E140),",","."),".")),0)))</f>
        <v/>
      </c>
      <c r="L140" s="3" t="str">
        <f aca="false">IF(OR(D140="",N(K140)&lt;=0),"",IFERROR(MATCH(B140&amp;"|"&amp;C140&amp;"|"&amp;D140,Нормативы!$M$2:$M$71,0),""))</f>
        <v/>
      </c>
      <c r="M140" s="3" t="str">
        <f aca="false">IF(L140="","",SUMPRODUCT((INDEX(Нормативы!$D$2:$L$71,L140,0)&lt;K140)*ISNUMBER(INDEX(Нормативы!$D$2:$L$71,L140,0))))</f>
        <v/>
      </c>
    </row>
    <row r="141" customFormat="false" ht="15" hidden="false" customHeight="false" outlineLevel="0" collapsed="false">
      <c r="A141" s="5"/>
      <c r="B141" s="5"/>
      <c r="C141" s="5"/>
      <c r="D141" s="5"/>
      <c r="E141" s="14"/>
      <c r="F141" s="4" t="str">
        <f aca="false">IF(OR(J141="",K141="",N(J141)=0,N(K141)&lt;=0),"",ROUNDDOWN(1000*(J141/K141)^3,0))</f>
        <v/>
      </c>
      <c r="G141" s="4" t="str">
        <f aca="false">IF(M141="","",IF(M141+1&gt;COUNT(INDEX(Нормативы!$D$2:$L$71,L141,0)),"Разряда нет",INDEX(Нормативы!$D$1:$L$1,1,M141+1)))</f>
        <v/>
      </c>
      <c r="H141" s="2" t="str">
        <f aca="false">IF(M141="","",IF(M141=0,"—",INDEX(Нормативы!$D$1:$L$1,1,M141)))</f>
        <v/>
      </c>
      <c r="I141" s="7" t="str">
        <f aca="false">IF(M141="","",IF(M141=0,"",IF(INT(ROUND(INDEX(Нормативы!$D$2:$L$71,L141,M141)*100,0)/6000)&gt;0,INT(ROUND(INDEX(Нормативы!$D$2:$L$71,L141,M141)*100,0)/6000)&amp;":"&amp;RIGHT("0"&amp;INT(MOD(ROUND(INDEX(Нормативы!$D$2:$L$71,L141,M141)*100,0),6000)/100),2),INT(MOD(ROUND(INDEX(Нормативы!$D$2:$L$71,L141,M141)*100,0),6000)/100))&amp;"."&amp;RIGHT("0"&amp;MOD(ROUND(INDEX(Нормативы!$D$2:$L$71,L141,M141)*100,0),100),2)))</f>
        <v/>
      </c>
      <c r="J141" s="12" t="str">
        <f aca="false">IF(D141="","",SUMIFS('Базовые времена'!$D$2:$D$71,'Базовые времена'!$A$2:$A$71,B141,'Базовые времена'!$B$2:$B$71,C141,'Базовые времена'!$C$2:$C$71,D141))</f>
        <v/>
      </c>
      <c r="K141" s="12" t="str">
        <f aca="false">IF(E141="","",IF(ISNUMBER(E141),IF(E141&lt;1,E141*86400,E141),IFERROR(IF(ISNUMBER(FIND(":",SUBSTITUTE(TRIM(E141),",","."))),VALUE(LEFT(SUBSTITUTE(TRIM(E141),",","."),FIND(":",SUBSTITUTE(TRIM(E141),",","."))-1))*60+_xlfn.NUMBERVALUE(MID(SUBSTITUTE(TRIM(E141),",","."),FIND(":",SUBSTITUTE(TRIM(E141),",","."))+1,99),"."),_xlfn.NUMBERVALUE(SUBSTITUTE(TRIM(E141),",","."),".")),0)))</f>
        <v/>
      </c>
      <c r="L141" s="3" t="str">
        <f aca="false">IF(OR(D141="",N(K141)&lt;=0),"",IFERROR(MATCH(B141&amp;"|"&amp;C141&amp;"|"&amp;D141,Нормативы!$M$2:$M$71,0),""))</f>
        <v/>
      </c>
      <c r="M141" s="3" t="str">
        <f aca="false">IF(L141="","",SUMPRODUCT((INDEX(Нормативы!$D$2:$L$71,L141,0)&lt;K141)*ISNUMBER(INDEX(Нормативы!$D$2:$L$71,L141,0))))</f>
        <v/>
      </c>
    </row>
    <row r="142" customFormat="false" ht="15" hidden="false" customHeight="false" outlineLevel="0" collapsed="false">
      <c r="A142" s="5"/>
      <c r="B142" s="5"/>
      <c r="C142" s="5"/>
      <c r="D142" s="5"/>
      <c r="E142" s="14"/>
      <c r="F142" s="4" t="str">
        <f aca="false">IF(OR(J142="",K142="",N(J142)=0,N(K142)&lt;=0),"",ROUNDDOWN(1000*(J142/K142)^3,0))</f>
        <v/>
      </c>
      <c r="G142" s="4" t="str">
        <f aca="false">IF(M142="","",IF(M142+1&gt;COUNT(INDEX(Нормативы!$D$2:$L$71,L142,0)),"Разряда нет",INDEX(Нормативы!$D$1:$L$1,1,M142+1)))</f>
        <v/>
      </c>
      <c r="H142" s="2" t="str">
        <f aca="false">IF(M142="","",IF(M142=0,"—",INDEX(Нормативы!$D$1:$L$1,1,M142)))</f>
        <v/>
      </c>
      <c r="I142" s="7" t="str">
        <f aca="false">IF(M142="","",IF(M142=0,"",IF(INT(ROUND(INDEX(Нормативы!$D$2:$L$71,L142,M142)*100,0)/6000)&gt;0,INT(ROUND(INDEX(Нормативы!$D$2:$L$71,L142,M142)*100,0)/6000)&amp;":"&amp;RIGHT("0"&amp;INT(MOD(ROUND(INDEX(Нормативы!$D$2:$L$71,L142,M142)*100,0),6000)/100),2),INT(MOD(ROUND(INDEX(Нормативы!$D$2:$L$71,L142,M142)*100,0),6000)/100))&amp;"."&amp;RIGHT("0"&amp;MOD(ROUND(INDEX(Нормативы!$D$2:$L$71,L142,M142)*100,0),100),2)))</f>
        <v/>
      </c>
      <c r="J142" s="12" t="str">
        <f aca="false">IF(D142="","",SUMIFS('Базовые времена'!$D$2:$D$71,'Базовые времена'!$A$2:$A$71,B142,'Базовые времена'!$B$2:$B$71,C142,'Базовые времена'!$C$2:$C$71,D142))</f>
        <v/>
      </c>
      <c r="K142" s="12" t="str">
        <f aca="false">IF(E142="","",IF(ISNUMBER(E142),IF(E142&lt;1,E142*86400,E142),IFERROR(IF(ISNUMBER(FIND(":",SUBSTITUTE(TRIM(E142),",","."))),VALUE(LEFT(SUBSTITUTE(TRIM(E142),",","."),FIND(":",SUBSTITUTE(TRIM(E142),",","."))-1))*60+_xlfn.NUMBERVALUE(MID(SUBSTITUTE(TRIM(E142),",","."),FIND(":",SUBSTITUTE(TRIM(E142),",","."))+1,99),"."),_xlfn.NUMBERVALUE(SUBSTITUTE(TRIM(E142),",","."),".")),0)))</f>
        <v/>
      </c>
      <c r="L142" s="3" t="str">
        <f aca="false">IF(OR(D142="",N(K142)&lt;=0),"",IFERROR(MATCH(B142&amp;"|"&amp;C142&amp;"|"&amp;D142,Нормативы!$M$2:$M$71,0),""))</f>
        <v/>
      </c>
      <c r="M142" s="3" t="str">
        <f aca="false">IF(L142="","",SUMPRODUCT((INDEX(Нормативы!$D$2:$L$71,L142,0)&lt;K142)*ISNUMBER(INDEX(Нормативы!$D$2:$L$71,L142,0))))</f>
        <v/>
      </c>
    </row>
    <row r="143" customFormat="false" ht="15" hidden="false" customHeight="false" outlineLevel="0" collapsed="false">
      <c r="A143" s="5"/>
      <c r="B143" s="5"/>
      <c r="C143" s="5"/>
      <c r="D143" s="5"/>
      <c r="E143" s="14"/>
      <c r="F143" s="4" t="str">
        <f aca="false">IF(OR(J143="",K143="",N(J143)=0,N(K143)&lt;=0),"",ROUNDDOWN(1000*(J143/K143)^3,0))</f>
        <v/>
      </c>
      <c r="G143" s="4" t="str">
        <f aca="false">IF(M143="","",IF(M143+1&gt;COUNT(INDEX(Нормативы!$D$2:$L$71,L143,0)),"Разряда нет",INDEX(Нормативы!$D$1:$L$1,1,M143+1)))</f>
        <v/>
      </c>
      <c r="H143" s="2" t="str">
        <f aca="false">IF(M143="","",IF(M143=0,"—",INDEX(Нормативы!$D$1:$L$1,1,M143)))</f>
        <v/>
      </c>
      <c r="I143" s="7" t="str">
        <f aca="false">IF(M143="","",IF(M143=0,"",IF(INT(ROUND(INDEX(Нормативы!$D$2:$L$71,L143,M143)*100,0)/6000)&gt;0,INT(ROUND(INDEX(Нормативы!$D$2:$L$71,L143,M143)*100,0)/6000)&amp;":"&amp;RIGHT("0"&amp;INT(MOD(ROUND(INDEX(Нормативы!$D$2:$L$71,L143,M143)*100,0),6000)/100),2),INT(MOD(ROUND(INDEX(Нормативы!$D$2:$L$71,L143,M143)*100,0),6000)/100))&amp;"."&amp;RIGHT("0"&amp;MOD(ROUND(INDEX(Нормативы!$D$2:$L$71,L143,M143)*100,0),100),2)))</f>
        <v/>
      </c>
      <c r="J143" s="12" t="str">
        <f aca="false">IF(D143="","",SUMIFS('Базовые времена'!$D$2:$D$71,'Базовые времена'!$A$2:$A$71,B143,'Базовые времена'!$B$2:$B$71,C143,'Базовые времена'!$C$2:$C$71,D143))</f>
        <v/>
      </c>
      <c r="K143" s="12" t="str">
        <f aca="false">IF(E143="","",IF(ISNUMBER(E143),IF(E143&lt;1,E143*86400,E143),IFERROR(IF(ISNUMBER(FIND(":",SUBSTITUTE(TRIM(E143),",","."))),VALUE(LEFT(SUBSTITUTE(TRIM(E143),",","."),FIND(":",SUBSTITUTE(TRIM(E143),",","."))-1))*60+_xlfn.NUMBERVALUE(MID(SUBSTITUTE(TRIM(E143),",","."),FIND(":",SUBSTITUTE(TRIM(E143),",","."))+1,99),"."),_xlfn.NUMBERVALUE(SUBSTITUTE(TRIM(E143),",","."),".")),0)))</f>
        <v/>
      </c>
      <c r="L143" s="3" t="str">
        <f aca="false">IF(OR(D143="",N(K143)&lt;=0),"",IFERROR(MATCH(B143&amp;"|"&amp;C143&amp;"|"&amp;D143,Нормативы!$M$2:$M$71,0),""))</f>
        <v/>
      </c>
      <c r="M143" s="3" t="str">
        <f aca="false">IF(L143="","",SUMPRODUCT((INDEX(Нормативы!$D$2:$L$71,L143,0)&lt;K143)*ISNUMBER(INDEX(Нормативы!$D$2:$L$71,L143,0))))</f>
        <v/>
      </c>
    </row>
    <row r="144" customFormat="false" ht="15" hidden="false" customHeight="false" outlineLevel="0" collapsed="false">
      <c r="A144" s="5"/>
      <c r="B144" s="5"/>
      <c r="C144" s="5"/>
      <c r="D144" s="5"/>
      <c r="E144" s="14"/>
      <c r="F144" s="4" t="str">
        <f aca="false">IF(OR(J144="",K144="",N(J144)=0,N(K144)&lt;=0),"",ROUNDDOWN(1000*(J144/K144)^3,0))</f>
        <v/>
      </c>
      <c r="G144" s="4" t="str">
        <f aca="false">IF(M144="","",IF(M144+1&gt;COUNT(INDEX(Нормативы!$D$2:$L$71,L144,0)),"Разряда нет",INDEX(Нормативы!$D$1:$L$1,1,M144+1)))</f>
        <v/>
      </c>
      <c r="H144" s="2" t="str">
        <f aca="false">IF(M144="","",IF(M144=0,"—",INDEX(Нормативы!$D$1:$L$1,1,M144)))</f>
        <v/>
      </c>
      <c r="I144" s="7" t="str">
        <f aca="false">IF(M144="","",IF(M144=0,"",IF(INT(ROUND(INDEX(Нормативы!$D$2:$L$71,L144,M144)*100,0)/6000)&gt;0,INT(ROUND(INDEX(Нормативы!$D$2:$L$71,L144,M144)*100,0)/6000)&amp;":"&amp;RIGHT("0"&amp;INT(MOD(ROUND(INDEX(Нормативы!$D$2:$L$71,L144,M144)*100,0),6000)/100),2),INT(MOD(ROUND(INDEX(Нормативы!$D$2:$L$71,L144,M144)*100,0),6000)/100))&amp;"."&amp;RIGHT("0"&amp;MOD(ROUND(INDEX(Нормативы!$D$2:$L$71,L144,M144)*100,0),100),2)))</f>
        <v/>
      </c>
      <c r="J144" s="12" t="str">
        <f aca="false">IF(D144="","",SUMIFS('Базовые времена'!$D$2:$D$71,'Базовые времена'!$A$2:$A$71,B144,'Базовые времена'!$B$2:$B$71,C144,'Базовые времена'!$C$2:$C$71,D144))</f>
        <v/>
      </c>
      <c r="K144" s="12" t="str">
        <f aca="false">IF(E144="","",IF(ISNUMBER(E144),IF(E144&lt;1,E144*86400,E144),IFERROR(IF(ISNUMBER(FIND(":",SUBSTITUTE(TRIM(E144),",","."))),VALUE(LEFT(SUBSTITUTE(TRIM(E144),",","."),FIND(":",SUBSTITUTE(TRIM(E144),",","."))-1))*60+_xlfn.NUMBERVALUE(MID(SUBSTITUTE(TRIM(E144),",","."),FIND(":",SUBSTITUTE(TRIM(E144),",","."))+1,99),"."),_xlfn.NUMBERVALUE(SUBSTITUTE(TRIM(E144),",","."),".")),0)))</f>
        <v/>
      </c>
      <c r="L144" s="3" t="str">
        <f aca="false">IF(OR(D144="",N(K144)&lt;=0),"",IFERROR(MATCH(B144&amp;"|"&amp;C144&amp;"|"&amp;D144,Нормативы!$M$2:$M$71,0),""))</f>
        <v/>
      </c>
      <c r="M144" s="3" t="str">
        <f aca="false">IF(L144="","",SUMPRODUCT((INDEX(Нормативы!$D$2:$L$71,L144,0)&lt;K144)*ISNUMBER(INDEX(Нормативы!$D$2:$L$71,L144,0))))</f>
        <v/>
      </c>
    </row>
    <row r="145" customFormat="false" ht="15" hidden="false" customHeight="false" outlineLevel="0" collapsed="false">
      <c r="A145" s="5"/>
      <c r="B145" s="5"/>
      <c r="C145" s="5"/>
      <c r="D145" s="5"/>
      <c r="E145" s="14"/>
      <c r="F145" s="4" t="str">
        <f aca="false">IF(OR(J145="",K145="",N(J145)=0,N(K145)&lt;=0),"",ROUNDDOWN(1000*(J145/K145)^3,0))</f>
        <v/>
      </c>
      <c r="G145" s="4" t="str">
        <f aca="false">IF(M145="","",IF(M145+1&gt;COUNT(INDEX(Нормативы!$D$2:$L$71,L145,0)),"Разряда нет",INDEX(Нормативы!$D$1:$L$1,1,M145+1)))</f>
        <v/>
      </c>
      <c r="H145" s="2" t="str">
        <f aca="false">IF(M145="","",IF(M145=0,"—",INDEX(Нормативы!$D$1:$L$1,1,M145)))</f>
        <v/>
      </c>
      <c r="I145" s="7" t="str">
        <f aca="false">IF(M145="","",IF(M145=0,"",IF(INT(ROUND(INDEX(Нормативы!$D$2:$L$71,L145,M145)*100,0)/6000)&gt;0,INT(ROUND(INDEX(Нормативы!$D$2:$L$71,L145,M145)*100,0)/6000)&amp;":"&amp;RIGHT("0"&amp;INT(MOD(ROUND(INDEX(Нормативы!$D$2:$L$71,L145,M145)*100,0),6000)/100),2),INT(MOD(ROUND(INDEX(Нормативы!$D$2:$L$71,L145,M145)*100,0),6000)/100))&amp;"."&amp;RIGHT("0"&amp;MOD(ROUND(INDEX(Нормативы!$D$2:$L$71,L145,M145)*100,0),100),2)))</f>
        <v/>
      </c>
      <c r="J145" s="12" t="str">
        <f aca="false">IF(D145="","",SUMIFS('Базовые времена'!$D$2:$D$71,'Базовые времена'!$A$2:$A$71,B145,'Базовые времена'!$B$2:$B$71,C145,'Базовые времена'!$C$2:$C$71,D145))</f>
        <v/>
      </c>
      <c r="K145" s="12" t="str">
        <f aca="false">IF(E145="","",IF(ISNUMBER(E145),IF(E145&lt;1,E145*86400,E145),IFERROR(IF(ISNUMBER(FIND(":",SUBSTITUTE(TRIM(E145),",","."))),VALUE(LEFT(SUBSTITUTE(TRIM(E145),",","."),FIND(":",SUBSTITUTE(TRIM(E145),",","."))-1))*60+_xlfn.NUMBERVALUE(MID(SUBSTITUTE(TRIM(E145),",","."),FIND(":",SUBSTITUTE(TRIM(E145),",","."))+1,99),"."),_xlfn.NUMBERVALUE(SUBSTITUTE(TRIM(E145),",","."),".")),0)))</f>
        <v/>
      </c>
      <c r="L145" s="3" t="str">
        <f aca="false">IF(OR(D145="",N(K145)&lt;=0),"",IFERROR(MATCH(B145&amp;"|"&amp;C145&amp;"|"&amp;D145,Нормативы!$M$2:$M$71,0),""))</f>
        <v/>
      </c>
      <c r="M145" s="3" t="str">
        <f aca="false">IF(L145="","",SUMPRODUCT((INDEX(Нормативы!$D$2:$L$71,L145,0)&lt;K145)*ISNUMBER(INDEX(Нормативы!$D$2:$L$71,L145,0))))</f>
        <v/>
      </c>
    </row>
    <row r="146" customFormat="false" ht="15" hidden="false" customHeight="false" outlineLevel="0" collapsed="false">
      <c r="A146" s="5"/>
      <c r="B146" s="5"/>
      <c r="C146" s="5"/>
      <c r="D146" s="5"/>
      <c r="E146" s="14"/>
      <c r="F146" s="4" t="str">
        <f aca="false">IF(OR(J146="",K146="",N(J146)=0,N(K146)&lt;=0),"",ROUNDDOWN(1000*(J146/K146)^3,0))</f>
        <v/>
      </c>
      <c r="G146" s="4" t="str">
        <f aca="false">IF(M146="","",IF(M146+1&gt;COUNT(INDEX(Нормативы!$D$2:$L$71,L146,0)),"Разряда нет",INDEX(Нормативы!$D$1:$L$1,1,M146+1)))</f>
        <v/>
      </c>
      <c r="H146" s="2" t="str">
        <f aca="false">IF(M146="","",IF(M146=0,"—",INDEX(Нормативы!$D$1:$L$1,1,M146)))</f>
        <v/>
      </c>
      <c r="I146" s="7" t="str">
        <f aca="false">IF(M146="","",IF(M146=0,"",IF(INT(ROUND(INDEX(Нормативы!$D$2:$L$71,L146,M146)*100,0)/6000)&gt;0,INT(ROUND(INDEX(Нормативы!$D$2:$L$71,L146,M146)*100,0)/6000)&amp;":"&amp;RIGHT("0"&amp;INT(MOD(ROUND(INDEX(Нормативы!$D$2:$L$71,L146,M146)*100,0),6000)/100),2),INT(MOD(ROUND(INDEX(Нормативы!$D$2:$L$71,L146,M146)*100,0),6000)/100))&amp;"."&amp;RIGHT("0"&amp;MOD(ROUND(INDEX(Нормативы!$D$2:$L$71,L146,M146)*100,0),100),2)))</f>
        <v/>
      </c>
      <c r="J146" s="12" t="str">
        <f aca="false">IF(D146="","",SUMIFS('Базовые времена'!$D$2:$D$71,'Базовые времена'!$A$2:$A$71,B146,'Базовые времена'!$B$2:$B$71,C146,'Базовые времена'!$C$2:$C$71,D146))</f>
        <v/>
      </c>
      <c r="K146" s="12" t="str">
        <f aca="false">IF(E146="","",IF(ISNUMBER(E146),IF(E146&lt;1,E146*86400,E146),IFERROR(IF(ISNUMBER(FIND(":",SUBSTITUTE(TRIM(E146),",","."))),VALUE(LEFT(SUBSTITUTE(TRIM(E146),",","."),FIND(":",SUBSTITUTE(TRIM(E146),",","."))-1))*60+_xlfn.NUMBERVALUE(MID(SUBSTITUTE(TRIM(E146),",","."),FIND(":",SUBSTITUTE(TRIM(E146),",","."))+1,99),"."),_xlfn.NUMBERVALUE(SUBSTITUTE(TRIM(E146),",","."),".")),0)))</f>
        <v/>
      </c>
      <c r="L146" s="3" t="str">
        <f aca="false">IF(OR(D146="",N(K146)&lt;=0),"",IFERROR(MATCH(B146&amp;"|"&amp;C146&amp;"|"&amp;D146,Нормативы!$M$2:$M$71,0),""))</f>
        <v/>
      </c>
      <c r="M146" s="3" t="str">
        <f aca="false">IF(L146="","",SUMPRODUCT((INDEX(Нормативы!$D$2:$L$71,L146,0)&lt;K146)*ISNUMBER(INDEX(Нормативы!$D$2:$L$71,L146,0))))</f>
        <v/>
      </c>
    </row>
    <row r="147" customFormat="false" ht="15" hidden="false" customHeight="false" outlineLevel="0" collapsed="false">
      <c r="A147" s="5"/>
      <c r="B147" s="5"/>
      <c r="C147" s="5"/>
      <c r="D147" s="5"/>
      <c r="E147" s="14"/>
      <c r="F147" s="4" t="str">
        <f aca="false">IF(OR(J147="",K147="",N(J147)=0,N(K147)&lt;=0),"",ROUNDDOWN(1000*(J147/K147)^3,0))</f>
        <v/>
      </c>
      <c r="G147" s="4" t="str">
        <f aca="false">IF(M147="","",IF(M147+1&gt;COUNT(INDEX(Нормативы!$D$2:$L$71,L147,0)),"Разряда нет",INDEX(Нормативы!$D$1:$L$1,1,M147+1)))</f>
        <v/>
      </c>
      <c r="H147" s="2" t="str">
        <f aca="false">IF(M147="","",IF(M147=0,"—",INDEX(Нормативы!$D$1:$L$1,1,M147)))</f>
        <v/>
      </c>
      <c r="I147" s="7" t="str">
        <f aca="false">IF(M147="","",IF(M147=0,"",IF(INT(ROUND(INDEX(Нормативы!$D$2:$L$71,L147,M147)*100,0)/6000)&gt;0,INT(ROUND(INDEX(Нормативы!$D$2:$L$71,L147,M147)*100,0)/6000)&amp;":"&amp;RIGHT("0"&amp;INT(MOD(ROUND(INDEX(Нормативы!$D$2:$L$71,L147,M147)*100,0),6000)/100),2),INT(MOD(ROUND(INDEX(Нормативы!$D$2:$L$71,L147,M147)*100,0),6000)/100))&amp;"."&amp;RIGHT("0"&amp;MOD(ROUND(INDEX(Нормативы!$D$2:$L$71,L147,M147)*100,0),100),2)))</f>
        <v/>
      </c>
      <c r="J147" s="12" t="str">
        <f aca="false">IF(D147="","",SUMIFS('Базовые времена'!$D$2:$D$71,'Базовые времена'!$A$2:$A$71,B147,'Базовые времена'!$B$2:$B$71,C147,'Базовые времена'!$C$2:$C$71,D147))</f>
        <v/>
      </c>
      <c r="K147" s="12" t="str">
        <f aca="false">IF(E147="","",IF(ISNUMBER(E147),IF(E147&lt;1,E147*86400,E147),IFERROR(IF(ISNUMBER(FIND(":",SUBSTITUTE(TRIM(E147),",","."))),VALUE(LEFT(SUBSTITUTE(TRIM(E147),",","."),FIND(":",SUBSTITUTE(TRIM(E147),",","."))-1))*60+_xlfn.NUMBERVALUE(MID(SUBSTITUTE(TRIM(E147),",","."),FIND(":",SUBSTITUTE(TRIM(E147),",","."))+1,99),"."),_xlfn.NUMBERVALUE(SUBSTITUTE(TRIM(E147),",","."),".")),0)))</f>
        <v/>
      </c>
      <c r="L147" s="3" t="str">
        <f aca="false">IF(OR(D147="",N(K147)&lt;=0),"",IFERROR(MATCH(B147&amp;"|"&amp;C147&amp;"|"&amp;D147,Нормативы!$M$2:$M$71,0),""))</f>
        <v/>
      </c>
      <c r="M147" s="3" t="str">
        <f aca="false">IF(L147="","",SUMPRODUCT((INDEX(Нормативы!$D$2:$L$71,L147,0)&lt;K147)*ISNUMBER(INDEX(Нормативы!$D$2:$L$71,L147,0))))</f>
        <v/>
      </c>
    </row>
    <row r="148" customFormat="false" ht="15" hidden="false" customHeight="false" outlineLevel="0" collapsed="false">
      <c r="A148" s="5"/>
      <c r="B148" s="5"/>
      <c r="C148" s="5"/>
      <c r="D148" s="5"/>
      <c r="E148" s="14"/>
      <c r="F148" s="4" t="str">
        <f aca="false">IF(OR(J148="",K148="",N(J148)=0,N(K148)&lt;=0),"",ROUNDDOWN(1000*(J148/K148)^3,0))</f>
        <v/>
      </c>
      <c r="G148" s="4" t="str">
        <f aca="false">IF(M148="","",IF(M148+1&gt;COUNT(INDEX(Нормативы!$D$2:$L$71,L148,0)),"Разряда нет",INDEX(Нормативы!$D$1:$L$1,1,M148+1)))</f>
        <v/>
      </c>
      <c r="H148" s="2" t="str">
        <f aca="false">IF(M148="","",IF(M148=0,"—",INDEX(Нормативы!$D$1:$L$1,1,M148)))</f>
        <v/>
      </c>
      <c r="I148" s="7" t="str">
        <f aca="false">IF(M148="","",IF(M148=0,"",IF(INT(ROUND(INDEX(Нормативы!$D$2:$L$71,L148,M148)*100,0)/6000)&gt;0,INT(ROUND(INDEX(Нормативы!$D$2:$L$71,L148,M148)*100,0)/6000)&amp;":"&amp;RIGHT("0"&amp;INT(MOD(ROUND(INDEX(Нормативы!$D$2:$L$71,L148,M148)*100,0),6000)/100),2),INT(MOD(ROUND(INDEX(Нормативы!$D$2:$L$71,L148,M148)*100,0),6000)/100))&amp;"."&amp;RIGHT("0"&amp;MOD(ROUND(INDEX(Нормативы!$D$2:$L$71,L148,M148)*100,0),100),2)))</f>
        <v/>
      </c>
      <c r="J148" s="12" t="str">
        <f aca="false">IF(D148="","",SUMIFS('Базовые времена'!$D$2:$D$71,'Базовые времена'!$A$2:$A$71,B148,'Базовые времена'!$B$2:$B$71,C148,'Базовые времена'!$C$2:$C$71,D148))</f>
        <v/>
      </c>
      <c r="K148" s="12" t="str">
        <f aca="false">IF(E148="","",IF(ISNUMBER(E148),IF(E148&lt;1,E148*86400,E148),IFERROR(IF(ISNUMBER(FIND(":",SUBSTITUTE(TRIM(E148),",","."))),VALUE(LEFT(SUBSTITUTE(TRIM(E148),",","."),FIND(":",SUBSTITUTE(TRIM(E148),",","."))-1))*60+_xlfn.NUMBERVALUE(MID(SUBSTITUTE(TRIM(E148),",","."),FIND(":",SUBSTITUTE(TRIM(E148),",","."))+1,99),"."),_xlfn.NUMBERVALUE(SUBSTITUTE(TRIM(E148),",","."),".")),0)))</f>
        <v/>
      </c>
      <c r="L148" s="3" t="str">
        <f aca="false">IF(OR(D148="",N(K148)&lt;=0),"",IFERROR(MATCH(B148&amp;"|"&amp;C148&amp;"|"&amp;D148,Нормативы!$M$2:$M$71,0),""))</f>
        <v/>
      </c>
      <c r="M148" s="3" t="str">
        <f aca="false">IF(L148="","",SUMPRODUCT((INDEX(Нормативы!$D$2:$L$71,L148,0)&lt;K148)*ISNUMBER(INDEX(Нормативы!$D$2:$L$71,L148,0))))</f>
        <v/>
      </c>
    </row>
    <row r="149" customFormat="false" ht="15" hidden="false" customHeight="false" outlineLevel="0" collapsed="false">
      <c r="A149" s="5"/>
      <c r="B149" s="5"/>
      <c r="C149" s="5"/>
      <c r="D149" s="5"/>
      <c r="E149" s="14"/>
      <c r="F149" s="4" t="str">
        <f aca="false">IF(OR(J149="",K149="",N(J149)=0,N(K149)&lt;=0),"",ROUNDDOWN(1000*(J149/K149)^3,0))</f>
        <v/>
      </c>
      <c r="G149" s="4" t="str">
        <f aca="false">IF(M149="","",IF(M149+1&gt;COUNT(INDEX(Нормативы!$D$2:$L$71,L149,0)),"Разряда нет",INDEX(Нормативы!$D$1:$L$1,1,M149+1)))</f>
        <v/>
      </c>
      <c r="H149" s="2" t="str">
        <f aca="false">IF(M149="","",IF(M149=0,"—",INDEX(Нормативы!$D$1:$L$1,1,M149)))</f>
        <v/>
      </c>
      <c r="I149" s="7" t="str">
        <f aca="false">IF(M149="","",IF(M149=0,"",IF(INT(ROUND(INDEX(Нормативы!$D$2:$L$71,L149,M149)*100,0)/6000)&gt;0,INT(ROUND(INDEX(Нормативы!$D$2:$L$71,L149,M149)*100,0)/6000)&amp;":"&amp;RIGHT("0"&amp;INT(MOD(ROUND(INDEX(Нормативы!$D$2:$L$71,L149,M149)*100,0),6000)/100),2),INT(MOD(ROUND(INDEX(Нормативы!$D$2:$L$71,L149,M149)*100,0),6000)/100))&amp;"."&amp;RIGHT("0"&amp;MOD(ROUND(INDEX(Нормативы!$D$2:$L$71,L149,M149)*100,0),100),2)))</f>
        <v/>
      </c>
      <c r="J149" s="12" t="str">
        <f aca="false">IF(D149="","",SUMIFS('Базовые времена'!$D$2:$D$71,'Базовые времена'!$A$2:$A$71,B149,'Базовые времена'!$B$2:$B$71,C149,'Базовые времена'!$C$2:$C$71,D149))</f>
        <v/>
      </c>
      <c r="K149" s="12" t="str">
        <f aca="false">IF(E149="","",IF(ISNUMBER(E149),IF(E149&lt;1,E149*86400,E149),IFERROR(IF(ISNUMBER(FIND(":",SUBSTITUTE(TRIM(E149),",","."))),VALUE(LEFT(SUBSTITUTE(TRIM(E149),",","."),FIND(":",SUBSTITUTE(TRIM(E149),",","."))-1))*60+_xlfn.NUMBERVALUE(MID(SUBSTITUTE(TRIM(E149),",","."),FIND(":",SUBSTITUTE(TRIM(E149),",","."))+1,99),"."),_xlfn.NUMBERVALUE(SUBSTITUTE(TRIM(E149),",","."),".")),0)))</f>
        <v/>
      </c>
      <c r="L149" s="3" t="str">
        <f aca="false">IF(OR(D149="",N(K149)&lt;=0),"",IFERROR(MATCH(B149&amp;"|"&amp;C149&amp;"|"&amp;D149,Нормативы!$M$2:$M$71,0),""))</f>
        <v/>
      </c>
      <c r="M149" s="3" t="str">
        <f aca="false">IF(L149="","",SUMPRODUCT((INDEX(Нормативы!$D$2:$L$71,L149,0)&lt;K149)*ISNUMBER(INDEX(Нормативы!$D$2:$L$71,L149,0))))</f>
        <v/>
      </c>
    </row>
    <row r="150" customFormat="false" ht="15" hidden="false" customHeight="false" outlineLevel="0" collapsed="false">
      <c r="A150" s="5"/>
      <c r="B150" s="5"/>
      <c r="C150" s="5"/>
      <c r="D150" s="5"/>
      <c r="E150" s="14"/>
      <c r="F150" s="4" t="str">
        <f aca="false">IF(OR(J150="",K150="",N(J150)=0,N(K150)&lt;=0),"",ROUNDDOWN(1000*(J150/K150)^3,0))</f>
        <v/>
      </c>
      <c r="G150" s="4" t="str">
        <f aca="false">IF(M150="","",IF(M150+1&gt;COUNT(INDEX(Нормативы!$D$2:$L$71,L150,0)),"Разряда нет",INDEX(Нормативы!$D$1:$L$1,1,M150+1)))</f>
        <v/>
      </c>
      <c r="H150" s="2" t="str">
        <f aca="false">IF(M150="","",IF(M150=0,"—",INDEX(Нормативы!$D$1:$L$1,1,M150)))</f>
        <v/>
      </c>
      <c r="I150" s="7" t="str">
        <f aca="false">IF(M150="","",IF(M150=0,"",IF(INT(ROUND(INDEX(Нормативы!$D$2:$L$71,L150,M150)*100,0)/6000)&gt;0,INT(ROUND(INDEX(Нормативы!$D$2:$L$71,L150,M150)*100,0)/6000)&amp;":"&amp;RIGHT("0"&amp;INT(MOD(ROUND(INDEX(Нормативы!$D$2:$L$71,L150,M150)*100,0),6000)/100),2),INT(MOD(ROUND(INDEX(Нормативы!$D$2:$L$71,L150,M150)*100,0),6000)/100))&amp;"."&amp;RIGHT("0"&amp;MOD(ROUND(INDEX(Нормативы!$D$2:$L$71,L150,M150)*100,0),100),2)))</f>
        <v/>
      </c>
      <c r="J150" s="12" t="str">
        <f aca="false">IF(D150="","",SUMIFS('Базовые времена'!$D$2:$D$71,'Базовые времена'!$A$2:$A$71,B150,'Базовые времена'!$B$2:$B$71,C150,'Базовые времена'!$C$2:$C$71,D150))</f>
        <v/>
      </c>
      <c r="K150" s="12" t="str">
        <f aca="false">IF(E150="","",IF(ISNUMBER(E150),IF(E150&lt;1,E150*86400,E150),IFERROR(IF(ISNUMBER(FIND(":",SUBSTITUTE(TRIM(E150),",","."))),VALUE(LEFT(SUBSTITUTE(TRIM(E150),",","."),FIND(":",SUBSTITUTE(TRIM(E150),",","."))-1))*60+_xlfn.NUMBERVALUE(MID(SUBSTITUTE(TRIM(E150),",","."),FIND(":",SUBSTITUTE(TRIM(E150),",","."))+1,99),"."),_xlfn.NUMBERVALUE(SUBSTITUTE(TRIM(E150),",","."),".")),0)))</f>
        <v/>
      </c>
      <c r="L150" s="3" t="str">
        <f aca="false">IF(OR(D150="",N(K150)&lt;=0),"",IFERROR(MATCH(B150&amp;"|"&amp;C150&amp;"|"&amp;D150,Нормативы!$M$2:$M$71,0),""))</f>
        <v/>
      </c>
      <c r="M150" s="3" t="str">
        <f aca="false">IF(L150="","",SUMPRODUCT((INDEX(Нормативы!$D$2:$L$71,L150,0)&lt;K150)*ISNUMBER(INDEX(Нормативы!$D$2:$L$71,L150,0))))</f>
        <v/>
      </c>
    </row>
    <row r="151" customFormat="false" ht="15" hidden="false" customHeight="false" outlineLevel="0" collapsed="false">
      <c r="A151" s="5"/>
      <c r="B151" s="5"/>
      <c r="C151" s="5"/>
      <c r="D151" s="5"/>
      <c r="E151" s="14"/>
      <c r="F151" s="4" t="str">
        <f aca="false">IF(OR(J151="",K151="",N(J151)=0,N(K151)&lt;=0),"",ROUNDDOWN(1000*(J151/K151)^3,0))</f>
        <v/>
      </c>
      <c r="G151" s="4" t="str">
        <f aca="false">IF(M151="","",IF(M151+1&gt;COUNT(INDEX(Нормативы!$D$2:$L$71,L151,0)),"Разряда нет",INDEX(Нормативы!$D$1:$L$1,1,M151+1)))</f>
        <v/>
      </c>
      <c r="H151" s="2" t="str">
        <f aca="false">IF(M151="","",IF(M151=0,"—",INDEX(Нормативы!$D$1:$L$1,1,M151)))</f>
        <v/>
      </c>
      <c r="I151" s="7" t="str">
        <f aca="false">IF(M151="","",IF(M151=0,"",IF(INT(ROUND(INDEX(Нормативы!$D$2:$L$71,L151,M151)*100,0)/6000)&gt;0,INT(ROUND(INDEX(Нормативы!$D$2:$L$71,L151,M151)*100,0)/6000)&amp;":"&amp;RIGHT("0"&amp;INT(MOD(ROUND(INDEX(Нормативы!$D$2:$L$71,L151,M151)*100,0),6000)/100),2),INT(MOD(ROUND(INDEX(Нормативы!$D$2:$L$71,L151,M151)*100,0),6000)/100))&amp;"."&amp;RIGHT("0"&amp;MOD(ROUND(INDEX(Нормативы!$D$2:$L$71,L151,M151)*100,0),100),2)))</f>
        <v/>
      </c>
      <c r="J151" s="12" t="str">
        <f aca="false">IF(D151="","",SUMIFS('Базовые времена'!$D$2:$D$71,'Базовые времена'!$A$2:$A$71,B151,'Базовые времена'!$B$2:$B$71,C151,'Базовые времена'!$C$2:$C$71,D151))</f>
        <v/>
      </c>
      <c r="K151" s="12" t="str">
        <f aca="false">IF(E151="","",IF(ISNUMBER(E151),IF(E151&lt;1,E151*86400,E151),IFERROR(IF(ISNUMBER(FIND(":",SUBSTITUTE(TRIM(E151),",","."))),VALUE(LEFT(SUBSTITUTE(TRIM(E151),",","."),FIND(":",SUBSTITUTE(TRIM(E151),",","."))-1))*60+_xlfn.NUMBERVALUE(MID(SUBSTITUTE(TRIM(E151),",","."),FIND(":",SUBSTITUTE(TRIM(E151),",","."))+1,99),"."),_xlfn.NUMBERVALUE(SUBSTITUTE(TRIM(E151),",","."),".")),0)))</f>
        <v/>
      </c>
      <c r="L151" s="3" t="str">
        <f aca="false">IF(OR(D151="",N(K151)&lt;=0),"",IFERROR(MATCH(B151&amp;"|"&amp;C151&amp;"|"&amp;D151,Нормативы!$M$2:$M$71,0),""))</f>
        <v/>
      </c>
      <c r="M151" s="3" t="str">
        <f aca="false">IF(L151="","",SUMPRODUCT((INDEX(Нормативы!$D$2:$L$71,L151,0)&lt;K151)*ISNUMBER(INDEX(Нормативы!$D$2:$L$71,L151,0))))</f>
        <v/>
      </c>
    </row>
    <row r="152" customFormat="false" ht="15" hidden="false" customHeight="false" outlineLevel="0" collapsed="false">
      <c r="A152" s="5"/>
      <c r="B152" s="5"/>
      <c r="C152" s="5"/>
      <c r="D152" s="5"/>
      <c r="E152" s="14"/>
      <c r="F152" s="4" t="str">
        <f aca="false">IF(OR(J152="",K152="",N(J152)=0,N(K152)&lt;=0),"",ROUNDDOWN(1000*(J152/K152)^3,0))</f>
        <v/>
      </c>
      <c r="G152" s="4" t="str">
        <f aca="false">IF(M152="","",IF(M152+1&gt;COUNT(INDEX(Нормативы!$D$2:$L$71,L152,0)),"Разряда нет",INDEX(Нормативы!$D$1:$L$1,1,M152+1)))</f>
        <v/>
      </c>
      <c r="H152" s="2" t="str">
        <f aca="false">IF(M152="","",IF(M152=0,"—",INDEX(Нормативы!$D$1:$L$1,1,M152)))</f>
        <v/>
      </c>
      <c r="I152" s="7" t="str">
        <f aca="false">IF(M152="","",IF(M152=0,"",IF(INT(ROUND(INDEX(Нормативы!$D$2:$L$71,L152,M152)*100,0)/6000)&gt;0,INT(ROUND(INDEX(Нормативы!$D$2:$L$71,L152,M152)*100,0)/6000)&amp;":"&amp;RIGHT("0"&amp;INT(MOD(ROUND(INDEX(Нормативы!$D$2:$L$71,L152,M152)*100,0),6000)/100),2),INT(MOD(ROUND(INDEX(Нормативы!$D$2:$L$71,L152,M152)*100,0),6000)/100))&amp;"."&amp;RIGHT("0"&amp;MOD(ROUND(INDEX(Нормативы!$D$2:$L$71,L152,M152)*100,0),100),2)))</f>
        <v/>
      </c>
      <c r="J152" s="12" t="str">
        <f aca="false">IF(D152="","",SUMIFS('Базовые времена'!$D$2:$D$71,'Базовые времена'!$A$2:$A$71,B152,'Базовые времена'!$B$2:$B$71,C152,'Базовые времена'!$C$2:$C$71,D152))</f>
        <v/>
      </c>
      <c r="K152" s="12" t="str">
        <f aca="false">IF(E152="","",IF(ISNUMBER(E152),IF(E152&lt;1,E152*86400,E152),IFERROR(IF(ISNUMBER(FIND(":",SUBSTITUTE(TRIM(E152),",","."))),VALUE(LEFT(SUBSTITUTE(TRIM(E152),",","."),FIND(":",SUBSTITUTE(TRIM(E152),",","."))-1))*60+_xlfn.NUMBERVALUE(MID(SUBSTITUTE(TRIM(E152),",","."),FIND(":",SUBSTITUTE(TRIM(E152),",","."))+1,99),"."),_xlfn.NUMBERVALUE(SUBSTITUTE(TRIM(E152),",","."),".")),0)))</f>
        <v/>
      </c>
      <c r="L152" s="3" t="str">
        <f aca="false">IF(OR(D152="",N(K152)&lt;=0),"",IFERROR(MATCH(B152&amp;"|"&amp;C152&amp;"|"&amp;D152,Нормативы!$M$2:$M$71,0),""))</f>
        <v/>
      </c>
      <c r="M152" s="3" t="str">
        <f aca="false">IF(L152="","",SUMPRODUCT((INDEX(Нормативы!$D$2:$L$71,L152,0)&lt;K152)*ISNUMBER(INDEX(Нормативы!$D$2:$L$71,L152,0))))</f>
        <v/>
      </c>
    </row>
    <row r="153" customFormat="false" ht="15" hidden="false" customHeight="false" outlineLevel="0" collapsed="false">
      <c r="A153" s="5"/>
      <c r="B153" s="5"/>
      <c r="C153" s="5"/>
      <c r="D153" s="5"/>
      <c r="E153" s="14"/>
      <c r="F153" s="4" t="str">
        <f aca="false">IF(OR(J153="",K153="",N(J153)=0,N(K153)&lt;=0),"",ROUNDDOWN(1000*(J153/K153)^3,0))</f>
        <v/>
      </c>
      <c r="G153" s="4" t="str">
        <f aca="false">IF(M153="","",IF(M153+1&gt;COUNT(INDEX(Нормативы!$D$2:$L$71,L153,0)),"Разряда нет",INDEX(Нормативы!$D$1:$L$1,1,M153+1)))</f>
        <v/>
      </c>
      <c r="H153" s="2" t="str">
        <f aca="false">IF(M153="","",IF(M153=0,"—",INDEX(Нормативы!$D$1:$L$1,1,M153)))</f>
        <v/>
      </c>
      <c r="I153" s="7" t="str">
        <f aca="false">IF(M153="","",IF(M153=0,"",IF(INT(ROUND(INDEX(Нормативы!$D$2:$L$71,L153,M153)*100,0)/6000)&gt;0,INT(ROUND(INDEX(Нормативы!$D$2:$L$71,L153,M153)*100,0)/6000)&amp;":"&amp;RIGHT("0"&amp;INT(MOD(ROUND(INDEX(Нормативы!$D$2:$L$71,L153,M153)*100,0),6000)/100),2),INT(MOD(ROUND(INDEX(Нормативы!$D$2:$L$71,L153,M153)*100,0),6000)/100))&amp;"."&amp;RIGHT("0"&amp;MOD(ROUND(INDEX(Нормативы!$D$2:$L$71,L153,M153)*100,0),100),2)))</f>
        <v/>
      </c>
      <c r="J153" s="12" t="str">
        <f aca="false">IF(D153="","",SUMIFS('Базовые времена'!$D$2:$D$71,'Базовые времена'!$A$2:$A$71,B153,'Базовые времена'!$B$2:$B$71,C153,'Базовые времена'!$C$2:$C$71,D153))</f>
        <v/>
      </c>
      <c r="K153" s="12" t="str">
        <f aca="false">IF(E153="","",IF(ISNUMBER(E153),IF(E153&lt;1,E153*86400,E153),IFERROR(IF(ISNUMBER(FIND(":",SUBSTITUTE(TRIM(E153),",","."))),VALUE(LEFT(SUBSTITUTE(TRIM(E153),",","."),FIND(":",SUBSTITUTE(TRIM(E153),",","."))-1))*60+_xlfn.NUMBERVALUE(MID(SUBSTITUTE(TRIM(E153),",","."),FIND(":",SUBSTITUTE(TRIM(E153),",","."))+1,99),"."),_xlfn.NUMBERVALUE(SUBSTITUTE(TRIM(E153),",","."),".")),0)))</f>
        <v/>
      </c>
      <c r="L153" s="3" t="str">
        <f aca="false">IF(OR(D153="",N(K153)&lt;=0),"",IFERROR(MATCH(B153&amp;"|"&amp;C153&amp;"|"&amp;D153,Нормативы!$M$2:$M$71,0),""))</f>
        <v/>
      </c>
      <c r="M153" s="3" t="str">
        <f aca="false">IF(L153="","",SUMPRODUCT((INDEX(Нормативы!$D$2:$L$71,L153,0)&lt;K153)*ISNUMBER(INDEX(Нормативы!$D$2:$L$71,L153,0))))</f>
        <v/>
      </c>
    </row>
    <row r="154" customFormat="false" ht="15" hidden="false" customHeight="false" outlineLevel="0" collapsed="false">
      <c r="A154" s="5"/>
      <c r="B154" s="5"/>
      <c r="C154" s="5"/>
      <c r="D154" s="5"/>
      <c r="E154" s="14"/>
      <c r="F154" s="4" t="str">
        <f aca="false">IF(OR(J154="",K154="",N(J154)=0,N(K154)&lt;=0),"",ROUNDDOWN(1000*(J154/K154)^3,0))</f>
        <v/>
      </c>
      <c r="G154" s="4" t="str">
        <f aca="false">IF(M154="","",IF(M154+1&gt;COUNT(INDEX(Нормативы!$D$2:$L$71,L154,0)),"Разряда нет",INDEX(Нормативы!$D$1:$L$1,1,M154+1)))</f>
        <v/>
      </c>
      <c r="H154" s="2" t="str">
        <f aca="false">IF(M154="","",IF(M154=0,"—",INDEX(Нормативы!$D$1:$L$1,1,M154)))</f>
        <v/>
      </c>
      <c r="I154" s="7" t="str">
        <f aca="false">IF(M154="","",IF(M154=0,"",IF(INT(ROUND(INDEX(Нормативы!$D$2:$L$71,L154,M154)*100,0)/6000)&gt;0,INT(ROUND(INDEX(Нормативы!$D$2:$L$71,L154,M154)*100,0)/6000)&amp;":"&amp;RIGHT("0"&amp;INT(MOD(ROUND(INDEX(Нормативы!$D$2:$L$71,L154,M154)*100,0),6000)/100),2),INT(MOD(ROUND(INDEX(Нормативы!$D$2:$L$71,L154,M154)*100,0),6000)/100))&amp;"."&amp;RIGHT("0"&amp;MOD(ROUND(INDEX(Нормативы!$D$2:$L$71,L154,M154)*100,0),100),2)))</f>
        <v/>
      </c>
      <c r="J154" s="12" t="str">
        <f aca="false">IF(D154="","",SUMIFS('Базовые времена'!$D$2:$D$71,'Базовые времена'!$A$2:$A$71,B154,'Базовые времена'!$B$2:$B$71,C154,'Базовые времена'!$C$2:$C$71,D154))</f>
        <v/>
      </c>
      <c r="K154" s="12" t="str">
        <f aca="false">IF(E154="","",IF(ISNUMBER(E154),IF(E154&lt;1,E154*86400,E154),IFERROR(IF(ISNUMBER(FIND(":",SUBSTITUTE(TRIM(E154),",","."))),VALUE(LEFT(SUBSTITUTE(TRIM(E154),",","."),FIND(":",SUBSTITUTE(TRIM(E154),",","."))-1))*60+_xlfn.NUMBERVALUE(MID(SUBSTITUTE(TRIM(E154),",","."),FIND(":",SUBSTITUTE(TRIM(E154),",","."))+1,99),"."),_xlfn.NUMBERVALUE(SUBSTITUTE(TRIM(E154),",","."),".")),0)))</f>
        <v/>
      </c>
      <c r="L154" s="3" t="str">
        <f aca="false">IF(OR(D154="",N(K154)&lt;=0),"",IFERROR(MATCH(B154&amp;"|"&amp;C154&amp;"|"&amp;D154,Нормативы!$M$2:$M$71,0),""))</f>
        <v/>
      </c>
      <c r="M154" s="3" t="str">
        <f aca="false">IF(L154="","",SUMPRODUCT((INDEX(Нормативы!$D$2:$L$71,L154,0)&lt;K154)*ISNUMBER(INDEX(Нормативы!$D$2:$L$71,L154,0))))</f>
        <v/>
      </c>
    </row>
    <row r="155" customFormat="false" ht="15" hidden="false" customHeight="false" outlineLevel="0" collapsed="false">
      <c r="A155" s="5"/>
      <c r="B155" s="5"/>
      <c r="C155" s="5"/>
      <c r="D155" s="5"/>
      <c r="E155" s="14"/>
      <c r="F155" s="4" t="str">
        <f aca="false">IF(OR(J155="",K155="",N(J155)=0,N(K155)&lt;=0),"",ROUNDDOWN(1000*(J155/K155)^3,0))</f>
        <v/>
      </c>
      <c r="G155" s="4" t="str">
        <f aca="false">IF(M155="","",IF(M155+1&gt;COUNT(INDEX(Нормативы!$D$2:$L$71,L155,0)),"Разряда нет",INDEX(Нормативы!$D$1:$L$1,1,M155+1)))</f>
        <v/>
      </c>
      <c r="H155" s="2" t="str">
        <f aca="false">IF(M155="","",IF(M155=0,"—",INDEX(Нормативы!$D$1:$L$1,1,M155)))</f>
        <v/>
      </c>
      <c r="I155" s="7" t="str">
        <f aca="false">IF(M155="","",IF(M155=0,"",IF(INT(ROUND(INDEX(Нормативы!$D$2:$L$71,L155,M155)*100,0)/6000)&gt;0,INT(ROUND(INDEX(Нормативы!$D$2:$L$71,L155,M155)*100,0)/6000)&amp;":"&amp;RIGHT("0"&amp;INT(MOD(ROUND(INDEX(Нормативы!$D$2:$L$71,L155,M155)*100,0),6000)/100),2),INT(MOD(ROUND(INDEX(Нормативы!$D$2:$L$71,L155,M155)*100,0),6000)/100))&amp;"."&amp;RIGHT("0"&amp;MOD(ROUND(INDEX(Нормативы!$D$2:$L$71,L155,M155)*100,0),100),2)))</f>
        <v/>
      </c>
      <c r="J155" s="12" t="str">
        <f aca="false">IF(D155="","",SUMIFS('Базовые времена'!$D$2:$D$71,'Базовые времена'!$A$2:$A$71,B155,'Базовые времена'!$B$2:$B$71,C155,'Базовые времена'!$C$2:$C$71,D155))</f>
        <v/>
      </c>
      <c r="K155" s="12" t="str">
        <f aca="false">IF(E155="","",IF(ISNUMBER(E155),IF(E155&lt;1,E155*86400,E155),IFERROR(IF(ISNUMBER(FIND(":",SUBSTITUTE(TRIM(E155),",","."))),VALUE(LEFT(SUBSTITUTE(TRIM(E155),",","."),FIND(":",SUBSTITUTE(TRIM(E155),",","."))-1))*60+_xlfn.NUMBERVALUE(MID(SUBSTITUTE(TRIM(E155),",","."),FIND(":",SUBSTITUTE(TRIM(E155),",","."))+1,99),"."),_xlfn.NUMBERVALUE(SUBSTITUTE(TRIM(E155),",","."),".")),0)))</f>
        <v/>
      </c>
      <c r="L155" s="3" t="str">
        <f aca="false">IF(OR(D155="",N(K155)&lt;=0),"",IFERROR(MATCH(B155&amp;"|"&amp;C155&amp;"|"&amp;D155,Нормативы!$M$2:$M$71,0),""))</f>
        <v/>
      </c>
      <c r="M155" s="3" t="str">
        <f aca="false">IF(L155="","",SUMPRODUCT((INDEX(Нормативы!$D$2:$L$71,L155,0)&lt;K155)*ISNUMBER(INDEX(Нормативы!$D$2:$L$71,L155,0))))</f>
        <v/>
      </c>
    </row>
    <row r="156" customFormat="false" ht="15" hidden="false" customHeight="false" outlineLevel="0" collapsed="false">
      <c r="A156" s="5"/>
      <c r="B156" s="5"/>
      <c r="C156" s="5"/>
      <c r="D156" s="5"/>
      <c r="E156" s="14"/>
      <c r="F156" s="4" t="str">
        <f aca="false">IF(OR(J156="",K156="",N(J156)=0,N(K156)&lt;=0),"",ROUNDDOWN(1000*(J156/K156)^3,0))</f>
        <v/>
      </c>
      <c r="G156" s="4" t="str">
        <f aca="false">IF(M156="","",IF(M156+1&gt;COUNT(INDEX(Нормативы!$D$2:$L$71,L156,0)),"Разряда нет",INDEX(Нормативы!$D$1:$L$1,1,M156+1)))</f>
        <v/>
      </c>
      <c r="H156" s="2" t="str">
        <f aca="false">IF(M156="","",IF(M156=0,"—",INDEX(Нормативы!$D$1:$L$1,1,M156)))</f>
        <v/>
      </c>
      <c r="I156" s="7" t="str">
        <f aca="false">IF(M156="","",IF(M156=0,"",IF(INT(ROUND(INDEX(Нормативы!$D$2:$L$71,L156,M156)*100,0)/6000)&gt;0,INT(ROUND(INDEX(Нормативы!$D$2:$L$71,L156,M156)*100,0)/6000)&amp;":"&amp;RIGHT("0"&amp;INT(MOD(ROUND(INDEX(Нормативы!$D$2:$L$71,L156,M156)*100,0),6000)/100),2),INT(MOD(ROUND(INDEX(Нормативы!$D$2:$L$71,L156,M156)*100,0),6000)/100))&amp;"."&amp;RIGHT("0"&amp;MOD(ROUND(INDEX(Нормативы!$D$2:$L$71,L156,M156)*100,0),100),2)))</f>
        <v/>
      </c>
      <c r="J156" s="12" t="str">
        <f aca="false">IF(D156="","",SUMIFS('Базовые времена'!$D$2:$D$71,'Базовые времена'!$A$2:$A$71,B156,'Базовые времена'!$B$2:$B$71,C156,'Базовые времена'!$C$2:$C$71,D156))</f>
        <v/>
      </c>
      <c r="K156" s="12" t="str">
        <f aca="false">IF(E156="","",IF(ISNUMBER(E156),IF(E156&lt;1,E156*86400,E156),IFERROR(IF(ISNUMBER(FIND(":",SUBSTITUTE(TRIM(E156),",","."))),VALUE(LEFT(SUBSTITUTE(TRIM(E156),",","."),FIND(":",SUBSTITUTE(TRIM(E156),",","."))-1))*60+_xlfn.NUMBERVALUE(MID(SUBSTITUTE(TRIM(E156),",","."),FIND(":",SUBSTITUTE(TRIM(E156),",","."))+1,99),"."),_xlfn.NUMBERVALUE(SUBSTITUTE(TRIM(E156),",","."),".")),0)))</f>
        <v/>
      </c>
      <c r="L156" s="3" t="str">
        <f aca="false">IF(OR(D156="",N(K156)&lt;=0),"",IFERROR(MATCH(B156&amp;"|"&amp;C156&amp;"|"&amp;D156,Нормативы!$M$2:$M$71,0),""))</f>
        <v/>
      </c>
      <c r="M156" s="3" t="str">
        <f aca="false">IF(L156="","",SUMPRODUCT((INDEX(Нормативы!$D$2:$L$71,L156,0)&lt;K156)*ISNUMBER(INDEX(Нормативы!$D$2:$L$71,L156,0))))</f>
        <v/>
      </c>
    </row>
    <row r="157" customFormat="false" ht="15" hidden="false" customHeight="false" outlineLevel="0" collapsed="false">
      <c r="A157" s="5"/>
      <c r="B157" s="5"/>
      <c r="C157" s="5"/>
      <c r="D157" s="5"/>
      <c r="E157" s="14"/>
      <c r="F157" s="4" t="str">
        <f aca="false">IF(OR(J157="",K157="",N(J157)=0,N(K157)&lt;=0),"",ROUNDDOWN(1000*(J157/K157)^3,0))</f>
        <v/>
      </c>
      <c r="G157" s="4" t="str">
        <f aca="false">IF(M157="","",IF(M157+1&gt;COUNT(INDEX(Нормативы!$D$2:$L$71,L157,0)),"Разряда нет",INDEX(Нормативы!$D$1:$L$1,1,M157+1)))</f>
        <v/>
      </c>
      <c r="H157" s="2" t="str">
        <f aca="false">IF(M157="","",IF(M157=0,"—",INDEX(Нормативы!$D$1:$L$1,1,M157)))</f>
        <v/>
      </c>
      <c r="I157" s="7" t="str">
        <f aca="false">IF(M157="","",IF(M157=0,"",IF(INT(ROUND(INDEX(Нормативы!$D$2:$L$71,L157,M157)*100,0)/6000)&gt;0,INT(ROUND(INDEX(Нормативы!$D$2:$L$71,L157,M157)*100,0)/6000)&amp;":"&amp;RIGHT("0"&amp;INT(MOD(ROUND(INDEX(Нормативы!$D$2:$L$71,L157,M157)*100,0),6000)/100),2),INT(MOD(ROUND(INDEX(Нормативы!$D$2:$L$71,L157,M157)*100,0),6000)/100))&amp;"."&amp;RIGHT("0"&amp;MOD(ROUND(INDEX(Нормативы!$D$2:$L$71,L157,M157)*100,0),100),2)))</f>
        <v/>
      </c>
      <c r="J157" s="12" t="str">
        <f aca="false">IF(D157="","",SUMIFS('Базовые времена'!$D$2:$D$71,'Базовые времена'!$A$2:$A$71,B157,'Базовые времена'!$B$2:$B$71,C157,'Базовые времена'!$C$2:$C$71,D157))</f>
        <v/>
      </c>
      <c r="K157" s="12" t="str">
        <f aca="false">IF(E157="","",IF(ISNUMBER(E157),IF(E157&lt;1,E157*86400,E157),IFERROR(IF(ISNUMBER(FIND(":",SUBSTITUTE(TRIM(E157),",","."))),VALUE(LEFT(SUBSTITUTE(TRIM(E157),",","."),FIND(":",SUBSTITUTE(TRIM(E157),",","."))-1))*60+_xlfn.NUMBERVALUE(MID(SUBSTITUTE(TRIM(E157),",","."),FIND(":",SUBSTITUTE(TRIM(E157),",","."))+1,99),"."),_xlfn.NUMBERVALUE(SUBSTITUTE(TRIM(E157),",","."),".")),0)))</f>
        <v/>
      </c>
      <c r="L157" s="3" t="str">
        <f aca="false">IF(OR(D157="",N(K157)&lt;=0),"",IFERROR(MATCH(B157&amp;"|"&amp;C157&amp;"|"&amp;D157,Нормативы!$M$2:$M$71,0),""))</f>
        <v/>
      </c>
      <c r="M157" s="3" t="str">
        <f aca="false">IF(L157="","",SUMPRODUCT((INDEX(Нормативы!$D$2:$L$71,L157,0)&lt;K157)*ISNUMBER(INDEX(Нормативы!$D$2:$L$71,L157,0))))</f>
        <v/>
      </c>
    </row>
    <row r="158" customFormat="false" ht="15" hidden="false" customHeight="false" outlineLevel="0" collapsed="false">
      <c r="A158" s="5"/>
      <c r="B158" s="5"/>
      <c r="C158" s="5"/>
      <c r="D158" s="5"/>
      <c r="E158" s="14"/>
      <c r="F158" s="4" t="str">
        <f aca="false">IF(OR(J158="",K158="",N(J158)=0,N(K158)&lt;=0),"",ROUNDDOWN(1000*(J158/K158)^3,0))</f>
        <v/>
      </c>
      <c r="G158" s="4" t="str">
        <f aca="false">IF(M158="","",IF(M158+1&gt;COUNT(INDEX(Нормативы!$D$2:$L$71,L158,0)),"Разряда нет",INDEX(Нормативы!$D$1:$L$1,1,M158+1)))</f>
        <v/>
      </c>
      <c r="H158" s="2" t="str">
        <f aca="false">IF(M158="","",IF(M158=0,"—",INDEX(Нормативы!$D$1:$L$1,1,M158)))</f>
        <v/>
      </c>
      <c r="I158" s="7" t="str">
        <f aca="false">IF(M158="","",IF(M158=0,"",IF(INT(ROUND(INDEX(Нормативы!$D$2:$L$71,L158,M158)*100,0)/6000)&gt;0,INT(ROUND(INDEX(Нормативы!$D$2:$L$71,L158,M158)*100,0)/6000)&amp;":"&amp;RIGHT("0"&amp;INT(MOD(ROUND(INDEX(Нормативы!$D$2:$L$71,L158,M158)*100,0),6000)/100),2),INT(MOD(ROUND(INDEX(Нормативы!$D$2:$L$71,L158,M158)*100,0),6000)/100))&amp;"."&amp;RIGHT("0"&amp;MOD(ROUND(INDEX(Нормативы!$D$2:$L$71,L158,M158)*100,0),100),2)))</f>
        <v/>
      </c>
      <c r="J158" s="12" t="str">
        <f aca="false">IF(D158="","",SUMIFS('Базовые времена'!$D$2:$D$71,'Базовые времена'!$A$2:$A$71,B158,'Базовые времена'!$B$2:$B$71,C158,'Базовые времена'!$C$2:$C$71,D158))</f>
        <v/>
      </c>
      <c r="K158" s="12" t="str">
        <f aca="false">IF(E158="","",IF(ISNUMBER(E158),IF(E158&lt;1,E158*86400,E158),IFERROR(IF(ISNUMBER(FIND(":",SUBSTITUTE(TRIM(E158),",","."))),VALUE(LEFT(SUBSTITUTE(TRIM(E158),",","."),FIND(":",SUBSTITUTE(TRIM(E158),",","."))-1))*60+_xlfn.NUMBERVALUE(MID(SUBSTITUTE(TRIM(E158),",","."),FIND(":",SUBSTITUTE(TRIM(E158),",","."))+1,99),"."),_xlfn.NUMBERVALUE(SUBSTITUTE(TRIM(E158),",","."),".")),0)))</f>
        <v/>
      </c>
      <c r="L158" s="3" t="str">
        <f aca="false">IF(OR(D158="",N(K158)&lt;=0),"",IFERROR(MATCH(B158&amp;"|"&amp;C158&amp;"|"&amp;D158,Нормативы!$M$2:$M$71,0),""))</f>
        <v/>
      </c>
      <c r="M158" s="3" t="str">
        <f aca="false">IF(L158="","",SUMPRODUCT((INDEX(Нормативы!$D$2:$L$71,L158,0)&lt;K158)*ISNUMBER(INDEX(Нормативы!$D$2:$L$71,L158,0))))</f>
        <v/>
      </c>
    </row>
    <row r="159" customFormat="false" ht="15" hidden="false" customHeight="false" outlineLevel="0" collapsed="false">
      <c r="A159" s="5"/>
      <c r="B159" s="5"/>
      <c r="C159" s="5"/>
      <c r="D159" s="5"/>
      <c r="E159" s="14"/>
      <c r="F159" s="4" t="str">
        <f aca="false">IF(OR(J159="",K159="",N(J159)=0,N(K159)&lt;=0),"",ROUNDDOWN(1000*(J159/K159)^3,0))</f>
        <v/>
      </c>
      <c r="G159" s="4" t="str">
        <f aca="false">IF(M159="","",IF(M159+1&gt;COUNT(INDEX(Нормативы!$D$2:$L$71,L159,0)),"Разряда нет",INDEX(Нормативы!$D$1:$L$1,1,M159+1)))</f>
        <v/>
      </c>
      <c r="H159" s="2" t="str">
        <f aca="false">IF(M159="","",IF(M159=0,"—",INDEX(Нормативы!$D$1:$L$1,1,M159)))</f>
        <v/>
      </c>
      <c r="I159" s="7" t="str">
        <f aca="false">IF(M159="","",IF(M159=0,"",IF(INT(ROUND(INDEX(Нормативы!$D$2:$L$71,L159,M159)*100,0)/6000)&gt;0,INT(ROUND(INDEX(Нормативы!$D$2:$L$71,L159,M159)*100,0)/6000)&amp;":"&amp;RIGHT("0"&amp;INT(MOD(ROUND(INDEX(Нормативы!$D$2:$L$71,L159,M159)*100,0),6000)/100),2),INT(MOD(ROUND(INDEX(Нормативы!$D$2:$L$71,L159,M159)*100,0),6000)/100))&amp;"."&amp;RIGHT("0"&amp;MOD(ROUND(INDEX(Нормативы!$D$2:$L$71,L159,M159)*100,0),100),2)))</f>
        <v/>
      </c>
      <c r="J159" s="12" t="str">
        <f aca="false">IF(D159="","",SUMIFS('Базовые времена'!$D$2:$D$71,'Базовые времена'!$A$2:$A$71,B159,'Базовые времена'!$B$2:$B$71,C159,'Базовые времена'!$C$2:$C$71,D159))</f>
        <v/>
      </c>
      <c r="K159" s="12" t="str">
        <f aca="false">IF(E159="","",IF(ISNUMBER(E159),IF(E159&lt;1,E159*86400,E159),IFERROR(IF(ISNUMBER(FIND(":",SUBSTITUTE(TRIM(E159),",","."))),VALUE(LEFT(SUBSTITUTE(TRIM(E159),",","."),FIND(":",SUBSTITUTE(TRIM(E159),",","."))-1))*60+_xlfn.NUMBERVALUE(MID(SUBSTITUTE(TRIM(E159),",","."),FIND(":",SUBSTITUTE(TRIM(E159),",","."))+1,99),"."),_xlfn.NUMBERVALUE(SUBSTITUTE(TRIM(E159),",","."),".")),0)))</f>
        <v/>
      </c>
      <c r="L159" s="3" t="str">
        <f aca="false">IF(OR(D159="",N(K159)&lt;=0),"",IFERROR(MATCH(B159&amp;"|"&amp;C159&amp;"|"&amp;D159,Нормативы!$M$2:$M$71,0),""))</f>
        <v/>
      </c>
      <c r="M159" s="3" t="str">
        <f aca="false">IF(L159="","",SUMPRODUCT((INDEX(Нормативы!$D$2:$L$71,L159,0)&lt;K159)*ISNUMBER(INDEX(Нормативы!$D$2:$L$71,L159,0))))</f>
        <v/>
      </c>
    </row>
    <row r="160" customFormat="false" ht="15" hidden="false" customHeight="false" outlineLevel="0" collapsed="false">
      <c r="A160" s="5"/>
      <c r="B160" s="5"/>
      <c r="C160" s="5"/>
      <c r="D160" s="5"/>
      <c r="E160" s="14"/>
      <c r="F160" s="4" t="str">
        <f aca="false">IF(OR(J160="",K160="",N(J160)=0,N(K160)&lt;=0),"",ROUNDDOWN(1000*(J160/K160)^3,0))</f>
        <v/>
      </c>
      <c r="G160" s="4" t="str">
        <f aca="false">IF(M160="","",IF(M160+1&gt;COUNT(INDEX(Нормативы!$D$2:$L$71,L160,0)),"Разряда нет",INDEX(Нормативы!$D$1:$L$1,1,M160+1)))</f>
        <v/>
      </c>
      <c r="H160" s="2" t="str">
        <f aca="false">IF(M160="","",IF(M160=0,"—",INDEX(Нормативы!$D$1:$L$1,1,M160)))</f>
        <v/>
      </c>
      <c r="I160" s="7" t="str">
        <f aca="false">IF(M160="","",IF(M160=0,"",IF(INT(ROUND(INDEX(Нормативы!$D$2:$L$71,L160,M160)*100,0)/6000)&gt;0,INT(ROUND(INDEX(Нормативы!$D$2:$L$71,L160,M160)*100,0)/6000)&amp;":"&amp;RIGHT("0"&amp;INT(MOD(ROUND(INDEX(Нормативы!$D$2:$L$71,L160,M160)*100,0),6000)/100),2),INT(MOD(ROUND(INDEX(Нормативы!$D$2:$L$71,L160,M160)*100,0),6000)/100))&amp;"."&amp;RIGHT("0"&amp;MOD(ROUND(INDEX(Нормативы!$D$2:$L$71,L160,M160)*100,0),100),2)))</f>
        <v/>
      </c>
      <c r="J160" s="12" t="str">
        <f aca="false">IF(D160="","",SUMIFS('Базовые времена'!$D$2:$D$71,'Базовые времена'!$A$2:$A$71,B160,'Базовые времена'!$B$2:$B$71,C160,'Базовые времена'!$C$2:$C$71,D160))</f>
        <v/>
      </c>
      <c r="K160" s="12" t="str">
        <f aca="false">IF(E160="","",IF(ISNUMBER(E160),IF(E160&lt;1,E160*86400,E160),IFERROR(IF(ISNUMBER(FIND(":",SUBSTITUTE(TRIM(E160),",","."))),VALUE(LEFT(SUBSTITUTE(TRIM(E160),",","."),FIND(":",SUBSTITUTE(TRIM(E160),",","."))-1))*60+_xlfn.NUMBERVALUE(MID(SUBSTITUTE(TRIM(E160),",","."),FIND(":",SUBSTITUTE(TRIM(E160),",","."))+1,99),"."),_xlfn.NUMBERVALUE(SUBSTITUTE(TRIM(E160),",","."),".")),0)))</f>
        <v/>
      </c>
      <c r="L160" s="3" t="str">
        <f aca="false">IF(OR(D160="",N(K160)&lt;=0),"",IFERROR(MATCH(B160&amp;"|"&amp;C160&amp;"|"&amp;D160,Нормативы!$M$2:$M$71,0),""))</f>
        <v/>
      </c>
      <c r="M160" s="3" t="str">
        <f aca="false">IF(L160="","",SUMPRODUCT((INDEX(Нормативы!$D$2:$L$71,L160,0)&lt;K160)*ISNUMBER(INDEX(Нормативы!$D$2:$L$71,L160,0))))</f>
        <v/>
      </c>
    </row>
    <row r="161" customFormat="false" ht="15" hidden="false" customHeight="false" outlineLevel="0" collapsed="false">
      <c r="A161" s="5"/>
      <c r="B161" s="5"/>
      <c r="C161" s="5"/>
      <c r="D161" s="5"/>
      <c r="E161" s="14"/>
      <c r="F161" s="4" t="str">
        <f aca="false">IF(OR(J161="",K161="",N(J161)=0,N(K161)&lt;=0),"",ROUNDDOWN(1000*(J161/K161)^3,0))</f>
        <v/>
      </c>
      <c r="G161" s="4" t="str">
        <f aca="false">IF(M161="","",IF(M161+1&gt;COUNT(INDEX(Нормативы!$D$2:$L$71,L161,0)),"Разряда нет",INDEX(Нормативы!$D$1:$L$1,1,M161+1)))</f>
        <v/>
      </c>
      <c r="H161" s="2" t="str">
        <f aca="false">IF(M161="","",IF(M161=0,"—",INDEX(Нормативы!$D$1:$L$1,1,M161)))</f>
        <v/>
      </c>
      <c r="I161" s="7" t="str">
        <f aca="false">IF(M161="","",IF(M161=0,"",IF(INT(ROUND(INDEX(Нормативы!$D$2:$L$71,L161,M161)*100,0)/6000)&gt;0,INT(ROUND(INDEX(Нормативы!$D$2:$L$71,L161,M161)*100,0)/6000)&amp;":"&amp;RIGHT("0"&amp;INT(MOD(ROUND(INDEX(Нормативы!$D$2:$L$71,L161,M161)*100,0),6000)/100),2),INT(MOD(ROUND(INDEX(Нормативы!$D$2:$L$71,L161,M161)*100,0),6000)/100))&amp;"."&amp;RIGHT("0"&amp;MOD(ROUND(INDEX(Нормативы!$D$2:$L$71,L161,M161)*100,0),100),2)))</f>
        <v/>
      </c>
      <c r="J161" s="12" t="str">
        <f aca="false">IF(D161="","",SUMIFS('Базовые времена'!$D$2:$D$71,'Базовые времена'!$A$2:$A$71,B161,'Базовые времена'!$B$2:$B$71,C161,'Базовые времена'!$C$2:$C$71,D161))</f>
        <v/>
      </c>
      <c r="K161" s="12" t="str">
        <f aca="false">IF(E161="","",IF(ISNUMBER(E161),IF(E161&lt;1,E161*86400,E161),IFERROR(IF(ISNUMBER(FIND(":",SUBSTITUTE(TRIM(E161),",","."))),VALUE(LEFT(SUBSTITUTE(TRIM(E161),",","."),FIND(":",SUBSTITUTE(TRIM(E161),",","."))-1))*60+_xlfn.NUMBERVALUE(MID(SUBSTITUTE(TRIM(E161),",","."),FIND(":",SUBSTITUTE(TRIM(E161),",","."))+1,99),"."),_xlfn.NUMBERVALUE(SUBSTITUTE(TRIM(E161),",","."),".")),0)))</f>
        <v/>
      </c>
      <c r="L161" s="3" t="str">
        <f aca="false">IF(OR(D161="",N(K161)&lt;=0),"",IFERROR(MATCH(B161&amp;"|"&amp;C161&amp;"|"&amp;D161,Нормативы!$M$2:$M$71,0),""))</f>
        <v/>
      </c>
      <c r="M161" s="3" t="str">
        <f aca="false">IF(L161="","",SUMPRODUCT((INDEX(Нормативы!$D$2:$L$71,L161,0)&lt;K161)*ISNUMBER(INDEX(Нормативы!$D$2:$L$71,L161,0))))</f>
        <v/>
      </c>
    </row>
    <row r="162" customFormat="false" ht="15" hidden="false" customHeight="false" outlineLevel="0" collapsed="false">
      <c r="A162" s="5"/>
      <c r="B162" s="5"/>
      <c r="C162" s="5"/>
      <c r="D162" s="5"/>
      <c r="E162" s="14"/>
      <c r="F162" s="4" t="str">
        <f aca="false">IF(OR(J162="",K162="",N(J162)=0,N(K162)&lt;=0),"",ROUNDDOWN(1000*(J162/K162)^3,0))</f>
        <v/>
      </c>
      <c r="G162" s="4" t="str">
        <f aca="false">IF(M162="","",IF(M162+1&gt;COUNT(INDEX(Нормативы!$D$2:$L$71,L162,0)),"Разряда нет",INDEX(Нормативы!$D$1:$L$1,1,M162+1)))</f>
        <v/>
      </c>
      <c r="H162" s="2" t="str">
        <f aca="false">IF(M162="","",IF(M162=0,"—",INDEX(Нормативы!$D$1:$L$1,1,M162)))</f>
        <v/>
      </c>
      <c r="I162" s="7" t="str">
        <f aca="false">IF(M162="","",IF(M162=0,"",IF(INT(ROUND(INDEX(Нормативы!$D$2:$L$71,L162,M162)*100,0)/6000)&gt;0,INT(ROUND(INDEX(Нормативы!$D$2:$L$71,L162,M162)*100,0)/6000)&amp;":"&amp;RIGHT("0"&amp;INT(MOD(ROUND(INDEX(Нормативы!$D$2:$L$71,L162,M162)*100,0),6000)/100),2),INT(MOD(ROUND(INDEX(Нормативы!$D$2:$L$71,L162,M162)*100,0),6000)/100))&amp;"."&amp;RIGHT("0"&amp;MOD(ROUND(INDEX(Нормативы!$D$2:$L$71,L162,M162)*100,0),100),2)))</f>
        <v/>
      </c>
      <c r="J162" s="12" t="str">
        <f aca="false">IF(D162="","",SUMIFS('Базовые времена'!$D$2:$D$71,'Базовые времена'!$A$2:$A$71,B162,'Базовые времена'!$B$2:$B$71,C162,'Базовые времена'!$C$2:$C$71,D162))</f>
        <v/>
      </c>
      <c r="K162" s="12" t="str">
        <f aca="false">IF(E162="","",IF(ISNUMBER(E162),IF(E162&lt;1,E162*86400,E162),IFERROR(IF(ISNUMBER(FIND(":",SUBSTITUTE(TRIM(E162),",","."))),VALUE(LEFT(SUBSTITUTE(TRIM(E162),",","."),FIND(":",SUBSTITUTE(TRIM(E162),",","."))-1))*60+_xlfn.NUMBERVALUE(MID(SUBSTITUTE(TRIM(E162),",","."),FIND(":",SUBSTITUTE(TRIM(E162),",","."))+1,99),"."),_xlfn.NUMBERVALUE(SUBSTITUTE(TRIM(E162),",","."),".")),0)))</f>
        <v/>
      </c>
      <c r="L162" s="3" t="str">
        <f aca="false">IF(OR(D162="",N(K162)&lt;=0),"",IFERROR(MATCH(B162&amp;"|"&amp;C162&amp;"|"&amp;D162,Нормативы!$M$2:$M$71,0),""))</f>
        <v/>
      </c>
      <c r="M162" s="3" t="str">
        <f aca="false">IF(L162="","",SUMPRODUCT((INDEX(Нормативы!$D$2:$L$71,L162,0)&lt;K162)*ISNUMBER(INDEX(Нормативы!$D$2:$L$71,L162,0))))</f>
        <v/>
      </c>
    </row>
    <row r="163" customFormat="false" ht="15" hidden="false" customHeight="false" outlineLevel="0" collapsed="false">
      <c r="A163" s="5"/>
      <c r="B163" s="5"/>
      <c r="C163" s="5"/>
      <c r="D163" s="5"/>
      <c r="E163" s="14"/>
      <c r="F163" s="4" t="str">
        <f aca="false">IF(OR(J163="",K163="",N(J163)=0,N(K163)&lt;=0),"",ROUNDDOWN(1000*(J163/K163)^3,0))</f>
        <v/>
      </c>
      <c r="G163" s="4" t="str">
        <f aca="false">IF(M163="","",IF(M163+1&gt;COUNT(INDEX(Нормативы!$D$2:$L$71,L163,0)),"Разряда нет",INDEX(Нормативы!$D$1:$L$1,1,M163+1)))</f>
        <v/>
      </c>
      <c r="H163" s="2" t="str">
        <f aca="false">IF(M163="","",IF(M163=0,"—",INDEX(Нормативы!$D$1:$L$1,1,M163)))</f>
        <v/>
      </c>
      <c r="I163" s="7" t="str">
        <f aca="false">IF(M163="","",IF(M163=0,"",IF(INT(ROUND(INDEX(Нормативы!$D$2:$L$71,L163,M163)*100,0)/6000)&gt;0,INT(ROUND(INDEX(Нормативы!$D$2:$L$71,L163,M163)*100,0)/6000)&amp;":"&amp;RIGHT("0"&amp;INT(MOD(ROUND(INDEX(Нормативы!$D$2:$L$71,L163,M163)*100,0),6000)/100),2),INT(MOD(ROUND(INDEX(Нормативы!$D$2:$L$71,L163,M163)*100,0),6000)/100))&amp;"."&amp;RIGHT("0"&amp;MOD(ROUND(INDEX(Нормативы!$D$2:$L$71,L163,M163)*100,0),100),2)))</f>
        <v/>
      </c>
      <c r="J163" s="12" t="str">
        <f aca="false">IF(D163="","",SUMIFS('Базовые времена'!$D$2:$D$71,'Базовые времена'!$A$2:$A$71,B163,'Базовые времена'!$B$2:$B$71,C163,'Базовые времена'!$C$2:$C$71,D163))</f>
        <v/>
      </c>
      <c r="K163" s="12" t="str">
        <f aca="false">IF(E163="","",IF(ISNUMBER(E163),IF(E163&lt;1,E163*86400,E163),IFERROR(IF(ISNUMBER(FIND(":",SUBSTITUTE(TRIM(E163),",","."))),VALUE(LEFT(SUBSTITUTE(TRIM(E163),",","."),FIND(":",SUBSTITUTE(TRIM(E163),",","."))-1))*60+_xlfn.NUMBERVALUE(MID(SUBSTITUTE(TRIM(E163),",","."),FIND(":",SUBSTITUTE(TRIM(E163),",","."))+1,99),"."),_xlfn.NUMBERVALUE(SUBSTITUTE(TRIM(E163),",","."),".")),0)))</f>
        <v/>
      </c>
      <c r="L163" s="3" t="str">
        <f aca="false">IF(OR(D163="",N(K163)&lt;=0),"",IFERROR(MATCH(B163&amp;"|"&amp;C163&amp;"|"&amp;D163,Нормативы!$M$2:$M$71,0),""))</f>
        <v/>
      </c>
      <c r="M163" s="3" t="str">
        <f aca="false">IF(L163="","",SUMPRODUCT((INDEX(Нормативы!$D$2:$L$71,L163,0)&lt;K163)*ISNUMBER(INDEX(Нормативы!$D$2:$L$71,L163,0))))</f>
        <v/>
      </c>
    </row>
    <row r="164" customFormat="false" ht="15" hidden="false" customHeight="false" outlineLevel="0" collapsed="false">
      <c r="A164" s="5"/>
      <c r="B164" s="5"/>
      <c r="C164" s="5"/>
      <c r="D164" s="5"/>
      <c r="E164" s="14"/>
      <c r="F164" s="4" t="str">
        <f aca="false">IF(OR(J164="",K164="",N(J164)=0,N(K164)&lt;=0),"",ROUNDDOWN(1000*(J164/K164)^3,0))</f>
        <v/>
      </c>
      <c r="G164" s="4" t="str">
        <f aca="false">IF(M164="","",IF(M164+1&gt;COUNT(INDEX(Нормативы!$D$2:$L$71,L164,0)),"Разряда нет",INDEX(Нормативы!$D$1:$L$1,1,M164+1)))</f>
        <v/>
      </c>
      <c r="H164" s="2" t="str">
        <f aca="false">IF(M164="","",IF(M164=0,"—",INDEX(Нормативы!$D$1:$L$1,1,M164)))</f>
        <v/>
      </c>
      <c r="I164" s="7" t="str">
        <f aca="false">IF(M164="","",IF(M164=0,"",IF(INT(ROUND(INDEX(Нормативы!$D$2:$L$71,L164,M164)*100,0)/6000)&gt;0,INT(ROUND(INDEX(Нормативы!$D$2:$L$71,L164,M164)*100,0)/6000)&amp;":"&amp;RIGHT("0"&amp;INT(MOD(ROUND(INDEX(Нормативы!$D$2:$L$71,L164,M164)*100,0),6000)/100),2),INT(MOD(ROUND(INDEX(Нормативы!$D$2:$L$71,L164,M164)*100,0),6000)/100))&amp;"."&amp;RIGHT("0"&amp;MOD(ROUND(INDEX(Нормативы!$D$2:$L$71,L164,M164)*100,0),100),2)))</f>
        <v/>
      </c>
      <c r="J164" s="12" t="str">
        <f aca="false">IF(D164="","",SUMIFS('Базовые времена'!$D$2:$D$71,'Базовые времена'!$A$2:$A$71,B164,'Базовые времена'!$B$2:$B$71,C164,'Базовые времена'!$C$2:$C$71,D164))</f>
        <v/>
      </c>
      <c r="K164" s="12" t="str">
        <f aca="false">IF(E164="","",IF(ISNUMBER(E164),IF(E164&lt;1,E164*86400,E164),IFERROR(IF(ISNUMBER(FIND(":",SUBSTITUTE(TRIM(E164),",","."))),VALUE(LEFT(SUBSTITUTE(TRIM(E164),",","."),FIND(":",SUBSTITUTE(TRIM(E164),",","."))-1))*60+_xlfn.NUMBERVALUE(MID(SUBSTITUTE(TRIM(E164),",","."),FIND(":",SUBSTITUTE(TRIM(E164),",","."))+1,99),"."),_xlfn.NUMBERVALUE(SUBSTITUTE(TRIM(E164),",","."),".")),0)))</f>
        <v/>
      </c>
      <c r="L164" s="3" t="str">
        <f aca="false">IF(OR(D164="",N(K164)&lt;=0),"",IFERROR(MATCH(B164&amp;"|"&amp;C164&amp;"|"&amp;D164,Нормативы!$M$2:$M$71,0),""))</f>
        <v/>
      </c>
      <c r="M164" s="3" t="str">
        <f aca="false">IF(L164="","",SUMPRODUCT((INDEX(Нормативы!$D$2:$L$71,L164,0)&lt;K164)*ISNUMBER(INDEX(Нормативы!$D$2:$L$71,L164,0))))</f>
        <v/>
      </c>
    </row>
    <row r="165" customFormat="false" ht="15" hidden="false" customHeight="false" outlineLevel="0" collapsed="false">
      <c r="A165" s="5"/>
      <c r="B165" s="5"/>
      <c r="C165" s="5"/>
      <c r="D165" s="5"/>
      <c r="E165" s="14"/>
      <c r="F165" s="4" t="str">
        <f aca="false">IF(OR(J165="",K165="",N(J165)=0,N(K165)&lt;=0),"",ROUNDDOWN(1000*(J165/K165)^3,0))</f>
        <v/>
      </c>
      <c r="G165" s="4" t="str">
        <f aca="false">IF(M165="","",IF(M165+1&gt;COUNT(INDEX(Нормативы!$D$2:$L$71,L165,0)),"Разряда нет",INDEX(Нормативы!$D$1:$L$1,1,M165+1)))</f>
        <v/>
      </c>
      <c r="H165" s="2" t="str">
        <f aca="false">IF(M165="","",IF(M165=0,"—",INDEX(Нормативы!$D$1:$L$1,1,M165)))</f>
        <v/>
      </c>
      <c r="I165" s="7" t="str">
        <f aca="false">IF(M165="","",IF(M165=0,"",IF(INT(ROUND(INDEX(Нормативы!$D$2:$L$71,L165,M165)*100,0)/6000)&gt;0,INT(ROUND(INDEX(Нормативы!$D$2:$L$71,L165,M165)*100,0)/6000)&amp;":"&amp;RIGHT("0"&amp;INT(MOD(ROUND(INDEX(Нормативы!$D$2:$L$71,L165,M165)*100,0),6000)/100),2),INT(MOD(ROUND(INDEX(Нормативы!$D$2:$L$71,L165,M165)*100,0),6000)/100))&amp;"."&amp;RIGHT("0"&amp;MOD(ROUND(INDEX(Нормативы!$D$2:$L$71,L165,M165)*100,0),100),2)))</f>
        <v/>
      </c>
      <c r="J165" s="12" t="str">
        <f aca="false">IF(D165="","",SUMIFS('Базовые времена'!$D$2:$D$71,'Базовые времена'!$A$2:$A$71,B165,'Базовые времена'!$B$2:$B$71,C165,'Базовые времена'!$C$2:$C$71,D165))</f>
        <v/>
      </c>
      <c r="K165" s="12" t="str">
        <f aca="false">IF(E165="","",IF(ISNUMBER(E165),IF(E165&lt;1,E165*86400,E165),IFERROR(IF(ISNUMBER(FIND(":",SUBSTITUTE(TRIM(E165),",","."))),VALUE(LEFT(SUBSTITUTE(TRIM(E165),",","."),FIND(":",SUBSTITUTE(TRIM(E165),",","."))-1))*60+_xlfn.NUMBERVALUE(MID(SUBSTITUTE(TRIM(E165),",","."),FIND(":",SUBSTITUTE(TRIM(E165),",","."))+1,99),"."),_xlfn.NUMBERVALUE(SUBSTITUTE(TRIM(E165),",","."),".")),0)))</f>
        <v/>
      </c>
      <c r="L165" s="3" t="str">
        <f aca="false">IF(OR(D165="",N(K165)&lt;=0),"",IFERROR(MATCH(B165&amp;"|"&amp;C165&amp;"|"&amp;D165,Нормативы!$M$2:$M$71,0),""))</f>
        <v/>
      </c>
      <c r="M165" s="3" t="str">
        <f aca="false">IF(L165="","",SUMPRODUCT((INDEX(Нормативы!$D$2:$L$71,L165,0)&lt;K165)*ISNUMBER(INDEX(Нормативы!$D$2:$L$71,L165,0))))</f>
        <v/>
      </c>
    </row>
    <row r="166" customFormat="false" ht="15" hidden="false" customHeight="false" outlineLevel="0" collapsed="false">
      <c r="A166" s="5"/>
      <c r="B166" s="5"/>
      <c r="C166" s="5"/>
      <c r="D166" s="5"/>
      <c r="E166" s="14"/>
      <c r="F166" s="4" t="str">
        <f aca="false">IF(OR(J166="",K166="",N(J166)=0,N(K166)&lt;=0),"",ROUNDDOWN(1000*(J166/K166)^3,0))</f>
        <v/>
      </c>
      <c r="G166" s="4" t="str">
        <f aca="false">IF(M166="","",IF(M166+1&gt;COUNT(INDEX(Нормативы!$D$2:$L$71,L166,0)),"Разряда нет",INDEX(Нормативы!$D$1:$L$1,1,M166+1)))</f>
        <v/>
      </c>
      <c r="H166" s="2" t="str">
        <f aca="false">IF(M166="","",IF(M166=0,"—",INDEX(Нормативы!$D$1:$L$1,1,M166)))</f>
        <v/>
      </c>
      <c r="I166" s="7" t="str">
        <f aca="false">IF(M166="","",IF(M166=0,"",IF(INT(ROUND(INDEX(Нормативы!$D$2:$L$71,L166,M166)*100,0)/6000)&gt;0,INT(ROUND(INDEX(Нормативы!$D$2:$L$71,L166,M166)*100,0)/6000)&amp;":"&amp;RIGHT("0"&amp;INT(MOD(ROUND(INDEX(Нормативы!$D$2:$L$71,L166,M166)*100,0),6000)/100),2),INT(MOD(ROUND(INDEX(Нормативы!$D$2:$L$71,L166,M166)*100,0),6000)/100))&amp;"."&amp;RIGHT("0"&amp;MOD(ROUND(INDEX(Нормативы!$D$2:$L$71,L166,M166)*100,0),100),2)))</f>
        <v/>
      </c>
      <c r="J166" s="12" t="str">
        <f aca="false">IF(D166="","",SUMIFS('Базовые времена'!$D$2:$D$71,'Базовые времена'!$A$2:$A$71,B166,'Базовые времена'!$B$2:$B$71,C166,'Базовые времена'!$C$2:$C$71,D166))</f>
        <v/>
      </c>
      <c r="K166" s="12" t="str">
        <f aca="false">IF(E166="","",IF(ISNUMBER(E166),IF(E166&lt;1,E166*86400,E166),IFERROR(IF(ISNUMBER(FIND(":",SUBSTITUTE(TRIM(E166),",","."))),VALUE(LEFT(SUBSTITUTE(TRIM(E166),",","."),FIND(":",SUBSTITUTE(TRIM(E166),",","."))-1))*60+_xlfn.NUMBERVALUE(MID(SUBSTITUTE(TRIM(E166),",","."),FIND(":",SUBSTITUTE(TRIM(E166),",","."))+1,99),"."),_xlfn.NUMBERVALUE(SUBSTITUTE(TRIM(E166),",","."),".")),0)))</f>
        <v/>
      </c>
      <c r="L166" s="3" t="str">
        <f aca="false">IF(OR(D166="",N(K166)&lt;=0),"",IFERROR(MATCH(B166&amp;"|"&amp;C166&amp;"|"&amp;D166,Нормативы!$M$2:$M$71,0),""))</f>
        <v/>
      </c>
      <c r="M166" s="3" t="str">
        <f aca="false">IF(L166="","",SUMPRODUCT((INDEX(Нормативы!$D$2:$L$71,L166,0)&lt;K166)*ISNUMBER(INDEX(Нормативы!$D$2:$L$71,L166,0))))</f>
        <v/>
      </c>
    </row>
    <row r="167" customFormat="false" ht="15" hidden="false" customHeight="false" outlineLevel="0" collapsed="false">
      <c r="A167" s="5"/>
      <c r="B167" s="5"/>
      <c r="C167" s="5"/>
      <c r="D167" s="5"/>
      <c r="E167" s="14"/>
      <c r="F167" s="4" t="str">
        <f aca="false">IF(OR(J167="",K167="",N(J167)=0,N(K167)&lt;=0),"",ROUNDDOWN(1000*(J167/K167)^3,0))</f>
        <v/>
      </c>
      <c r="G167" s="4" t="str">
        <f aca="false">IF(M167="","",IF(M167+1&gt;COUNT(INDEX(Нормативы!$D$2:$L$71,L167,0)),"Разряда нет",INDEX(Нормативы!$D$1:$L$1,1,M167+1)))</f>
        <v/>
      </c>
      <c r="H167" s="2" t="str">
        <f aca="false">IF(M167="","",IF(M167=0,"—",INDEX(Нормативы!$D$1:$L$1,1,M167)))</f>
        <v/>
      </c>
      <c r="I167" s="7" t="str">
        <f aca="false">IF(M167="","",IF(M167=0,"",IF(INT(ROUND(INDEX(Нормативы!$D$2:$L$71,L167,M167)*100,0)/6000)&gt;0,INT(ROUND(INDEX(Нормативы!$D$2:$L$71,L167,M167)*100,0)/6000)&amp;":"&amp;RIGHT("0"&amp;INT(MOD(ROUND(INDEX(Нормативы!$D$2:$L$71,L167,M167)*100,0),6000)/100),2),INT(MOD(ROUND(INDEX(Нормативы!$D$2:$L$71,L167,M167)*100,0),6000)/100))&amp;"."&amp;RIGHT("0"&amp;MOD(ROUND(INDEX(Нормативы!$D$2:$L$71,L167,M167)*100,0),100),2)))</f>
        <v/>
      </c>
      <c r="J167" s="12" t="str">
        <f aca="false">IF(D167="","",SUMIFS('Базовые времена'!$D$2:$D$71,'Базовые времена'!$A$2:$A$71,B167,'Базовые времена'!$B$2:$B$71,C167,'Базовые времена'!$C$2:$C$71,D167))</f>
        <v/>
      </c>
      <c r="K167" s="12" t="str">
        <f aca="false">IF(E167="","",IF(ISNUMBER(E167),IF(E167&lt;1,E167*86400,E167),IFERROR(IF(ISNUMBER(FIND(":",SUBSTITUTE(TRIM(E167),",","."))),VALUE(LEFT(SUBSTITUTE(TRIM(E167),",","."),FIND(":",SUBSTITUTE(TRIM(E167),",","."))-1))*60+_xlfn.NUMBERVALUE(MID(SUBSTITUTE(TRIM(E167),",","."),FIND(":",SUBSTITUTE(TRIM(E167),",","."))+1,99),"."),_xlfn.NUMBERVALUE(SUBSTITUTE(TRIM(E167),",","."),".")),0)))</f>
        <v/>
      </c>
      <c r="L167" s="3" t="str">
        <f aca="false">IF(OR(D167="",N(K167)&lt;=0),"",IFERROR(MATCH(B167&amp;"|"&amp;C167&amp;"|"&amp;D167,Нормативы!$M$2:$M$71,0),""))</f>
        <v/>
      </c>
      <c r="M167" s="3" t="str">
        <f aca="false">IF(L167="","",SUMPRODUCT((INDEX(Нормативы!$D$2:$L$71,L167,0)&lt;K167)*ISNUMBER(INDEX(Нормативы!$D$2:$L$71,L167,0))))</f>
        <v/>
      </c>
    </row>
    <row r="168" customFormat="false" ht="15" hidden="false" customHeight="false" outlineLevel="0" collapsed="false">
      <c r="A168" s="5"/>
      <c r="B168" s="5"/>
      <c r="C168" s="5"/>
      <c r="D168" s="5"/>
      <c r="E168" s="14"/>
      <c r="F168" s="4" t="str">
        <f aca="false">IF(OR(J168="",K168="",N(J168)=0,N(K168)&lt;=0),"",ROUNDDOWN(1000*(J168/K168)^3,0))</f>
        <v/>
      </c>
      <c r="G168" s="4" t="str">
        <f aca="false">IF(M168="","",IF(M168+1&gt;COUNT(INDEX(Нормативы!$D$2:$L$71,L168,0)),"Разряда нет",INDEX(Нормативы!$D$1:$L$1,1,M168+1)))</f>
        <v/>
      </c>
      <c r="H168" s="2" t="str">
        <f aca="false">IF(M168="","",IF(M168=0,"—",INDEX(Нормативы!$D$1:$L$1,1,M168)))</f>
        <v/>
      </c>
      <c r="I168" s="7" t="str">
        <f aca="false">IF(M168="","",IF(M168=0,"",IF(INT(ROUND(INDEX(Нормативы!$D$2:$L$71,L168,M168)*100,0)/6000)&gt;0,INT(ROUND(INDEX(Нормативы!$D$2:$L$71,L168,M168)*100,0)/6000)&amp;":"&amp;RIGHT("0"&amp;INT(MOD(ROUND(INDEX(Нормативы!$D$2:$L$71,L168,M168)*100,0),6000)/100),2),INT(MOD(ROUND(INDEX(Нормативы!$D$2:$L$71,L168,M168)*100,0),6000)/100))&amp;"."&amp;RIGHT("0"&amp;MOD(ROUND(INDEX(Нормативы!$D$2:$L$71,L168,M168)*100,0),100),2)))</f>
        <v/>
      </c>
      <c r="J168" s="12" t="str">
        <f aca="false">IF(D168="","",SUMIFS('Базовые времена'!$D$2:$D$71,'Базовые времена'!$A$2:$A$71,B168,'Базовые времена'!$B$2:$B$71,C168,'Базовые времена'!$C$2:$C$71,D168))</f>
        <v/>
      </c>
      <c r="K168" s="12" t="str">
        <f aca="false">IF(E168="","",IF(ISNUMBER(E168),IF(E168&lt;1,E168*86400,E168),IFERROR(IF(ISNUMBER(FIND(":",SUBSTITUTE(TRIM(E168),",","."))),VALUE(LEFT(SUBSTITUTE(TRIM(E168),",","."),FIND(":",SUBSTITUTE(TRIM(E168),",","."))-1))*60+_xlfn.NUMBERVALUE(MID(SUBSTITUTE(TRIM(E168),",","."),FIND(":",SUBSTITUTE(TRIM(E168),",","."))+1,99),"."),_xlfn.NUMBERVALUE(SUBSTITUTE(TRIM(E168),",","."),".")),0)))</f>
        <v/>
      </c>
      <c r="L168" s="3" t="str">
        <f aca="false">IF(OR(D168="",N(K168)&lt;=0),"",IFERROR(MATCH(B168&amp;"|"&amp;C168&amp;"|"&amp;D168,Нормативы!$M$2:$M$71,0),""))</f>
        <v/>
      </c>
      <c r="M168" s="3" t="str">
        <f aca="false">IF(L168="","",SUMPRODUCT((INDEX(Нормативы!$D$2:$L$71,L168,0)&lt;K168)*ISNUMBER(INDEX(Нормативы!$D$2:$L$71,L168,0))))</f>
        <v/>
      </c>
    </row>
    <row r="169" customFormat="false" ht="15" hidden="false" customHeight="false" outlineLevel="0" collapsed="false">
      <c r="A169" s="5"/>
      <c r="B169" s="5"/>
      <c r="C169" s="5"/>
      <c r="D169" s="5"/>
      <c r="E169" s="14"/>
      <c r="F169" s="4" t="str">
        <f aca="false">IF(OR(J169="",K169="",N(J169)=0,N(K169)&lt;=0),"",ROUNDDOWN(1000*(J169/K169)^3,0))</f>
        <v/>
      </c>
      <c r="G169" s="4" t="str">
        <f aca="false">IF(M169="","",IF(M169+1&gt;COUNT(INDEX(Нормативы!$D$2:$L$71,L169,0)),"Разряда нет",INDEX(Нормативы!$D$1:$L$1,1,M169+1)))</f>
        <v/>
      </c>
      <c r="H169" s="2" t="str">
        <f aca="false">IF(M169="","",IF(M169=0,"—",INDEX(Нормативы!$D$1:$L$1,1,M169)))</f>
        <v/>
      </c>
      <c r="I169" s="7" t="str">
        <f aca="false">IF(M169="","",IF(M169=0,"",IF(INT(ROUND(INDEX(Нормативы!$D$2:$L$71,L169,M169)*100,0)/6000)&gt;0,INT(ROUND(INDEX(Нормативы!$D$2:$L$71,L169,M169)*100,0)/6000)&amp;":"&amp;RIGHT("0"&amp;INT(MOD(ROUND(INDEX(Нормативы!$D$2:$L$71,L169,M169)*100,0),6000)/100),2),INT(MOD(ROUND(INDEX(Нормативы!$D$2:$L$71,L169,M169)*100,0),6000)/100))&amp;"."&amp;RIGHT("0"&amp;MOD(ROUND(INDEX(Нормативы!$D$2:$L$71,L169,M169)*100,0),100),2)))</f>
        <v/>
      </c>
      <c r="J169" s="12" t="str">
        <f aca="false">IF(D169="","",SUMIFS('Базовые времена'!$D$2:$D$71,'Базовые времена'!$A$2:$A$71,B169,'Базовые времена'!$B$2:$B$71,C169,'Базовые времена'!$C$2:$C$71,D169))</f>
        <v/>
      </c>
      <c r="K169" s="12" t="str">
        <f aca="false">IF(E169="","",IF(ISNUMBER(E169),IF(E169&lt;1,E169*86400,E169),IFERROR(IF(ISNUMBER(FIND(":",SUBSTITUTE(TRIM(E169),",","."))),VALUE(LEFT(SUBSTITUTE(TRIM(E169),",","."),FIND(":",SUBSTITUTE(TRIM(E169),",","."))-1))*60+_xlfn.NUMBERVALUE(MID(SUBSTITUTE(TRIM(E169),",","."),FIND(":",SUBSTITUTE(TRIM(E169),",","."))+1,99),"."),_xlfn.NUMBERVALUE(SUBSTITUTE(TRIM(E169),",","."),".")),0)))</f>
        <v/>
      </c>
      <c r="L169" s="3" t="str">
        <f aca="false">IF(OR(D169="",N(K169)&lt;=0),"",IFERROR(MATCH(B169&amp;"|"&amp;C169&amp;"|"&amp;D169,Нормативы!$M$2:$M$71,0),""))</f>
        <v/>
      </c>
      <c r="M169" s="3" t="str">
        <f aca="false">IF(L169="","",SUMPRODUCT((INDEX(Нормативы!$D$2:$L$71,L169,0)&lt;K169)*ISNUMBER(INDEX(Нормативы!$D$2:$L$71,L169,0))))</f>
        <v/>
      </c>
    </row>
    <row r="170" customFormat="false" ht="15" hidden="false" customHeight="false" outlineLevel="0" collapsed="false">
      <c r="A170" s="5"/>
      <c r="B170" s="5"/>
      <c r="C170" s="5"/>
      <c r="D170" s="5"/>
      <c r="E170" s="14"/>
      <c r="F170" s="4" t="str">
        <f aca="false">IF(OR(J170="",K170="",N(J170)=0,N(K170)&lt;=0),"",ROUNDDOWN(1000*(J170/K170)^3,0))</f>
        <v/>
      </c>
      <c r="G170" s="4" t="str">
        <f aca="false">IF(M170="","",IF(M170+1&gt;COUNT(INDEX(Нормативы!$D$2:$L$71,L170,0)),"Разряда нет",INDEX(Нормативы!$D$1:$L$1,1,M170+1)))</f>
        <v/>
      </c>
      <c r="H170" s="2" t="str">
        <f aca="false">IF(M170="","",IF(M170=0,"—",INDEX(Нормативы!$D$1:$L$1,1,M170)))</f>
        <v/>
      </c>
      <c r="I170" s="7" t="str">
        <f aca="false">IF(M170="","",IF(M170=0,"",IF(INT(ROUND(INDEX(Нормативы!$D$2:$L$71,L170,M170)*100,0)/6000)&gt;0,INT(ROUND(INDEX(Нормативы!$D$2:$L$71,L170,M170)*100,0)/6000)&amp;":"&amp;RIGHT("0"&amp;INT(MOD(ROUND(INDEX(Нормативы!$D$2:$L$71,L170,M170)*100,0),6000)/100),2),INT(MOD(ROUND(INDEX(Нормативы!$D$2:$L$71,L170,M170)*100,0),6000)/100))&amp;"."&amp;RIGHT("0"&amp;MOD(ROUND(INDEX(Нормативы!$D$2:$L$71,L170,M170)*100,0),100),2)))</f>
        <v/>
      </c>
      <c r="J170" s="12" t="str">
        <f aca="false">IF(D170="","",SUMIFS('Базовые времена'!$D$2:$D$71,'Базовые времена'!$A$2:$A$71,B170,'Базовые времена'!$B$2:$B$71,C170,'Базовые времена'!$C$2:$C$71,D170))</f>
        <v/>
      </c>
      <c r="K170" s="12" t="str">
        <f aca="false">IF(E170="","",IF(ISNUMBER(E170),IF(E170&lt;1,E170*86400,E170),IFERROR(IF(ISNUMBER(FIND(":",SUBSTITUTE(TRIM(E170),",","."))),VALUE(LEFT(SUBSTITUTE(TRIM(E170),",","."),FIND(":",SUBSTITUTE(TRIM(E170),",","."))-1))*60+_xlfn.NUMBERVALUE(MID(SUBSTITUTE(TRIM(E170),",","."),FIND(":",SUBSTITUTE(TRIM(E170),",","."))+1,99),"."),_xlfn.NUMBERVALUE(SUBSTITUTE(TRIM(E170),",","."),".")),0)))</f>
        <v/>
      </c>
      <c r="L170" s="3" t="str">
        <f aca="false">IF(OR(D170="",N(K170)&lt;=0),"",IFERROR(MATCH(B170&amp;"|"&amp;C170&amp;"|"&amp;D170,Нормативы!$M$2:$M$71,0),""))</f>
        <v/>
      </c>
      <c r="M170" s="3" t="str">
        <f aca="false">IF(L170="","",SUMPRODUCT((INDEX(Нормативы!$D$2:$L$71,L170,0)&lt;K170)*ISNUMBER(INDEX(Нормативы!$D$2:$L$71,L170,0))))</f>
        <v/>
      </c>
    </row>
    <row r="171" customFormat="false" ht="15" hidden="false" customHeight="false" outlineLevel="0" collapsed="false">
      <c r="A171" s="5"/>
      <c r="B171" s="5"/>
      <c r="C171" s="5"/>
      <c r="D171" s="5"/>
      <c r="E171" s="14"/>
      <c r="F171" s="4" t="str">
        <f aca="false">IF(OR(J171="",K171="",N(J171)=0,N(K171)&lt;=0),"",ROUNDDOWN(1000*(J171/K171)^3,0))</f>
        <v/>
      </c>
      <c r="G171" s="4" t="str">
        <f aca="false">IF(M171="","",IF(M171+1&gt;COUNT(INDEX(Нормативы!$D$2:$L$71,L171,0)),"Разряда нет",INDEX(Нормативы!$D$1:$L$1,1,M171+1)))</f>
        <v/>
      </c>
      <c r="H171" s="2" t="str">
        <f aca="false">IF(M171="","",IF(M171=0,"—",INDEX(Нормативы!$D$1:$L$1,1,M171)))</f>
        <v/>
      </c>
      <c r="I171" s="7" t="str">
        <f aca="false">IF(M171="","",IF(M171=0,"",IF(INT(ROUND(INDEX(Нормативы!$D$2:$L$71,L171,M171)*100,0)/6000)&gt;0,INT(ROUND(INDEX(Нормативы!$D$2:$L$71,L171,M171)*100,0)/6000)&amp;":"&amp;RIGHT("0"&amp;INT(MOD(ROUND(INDEX(Нормативы!$D$2:$L$71,L171,M171)*100,0),6000)/100),2),INT(MOD(ROUND(INDEX(Нормативы!$D$2:$L$71,L171,M171)*100,0),6000)/100))&amp;"."&amp;RIGHT("0"&amp;MOD(ROUND(INDEX(Нормативы!$D$2:$L$71,L171,M171)*100,0),100),2)))</f>
        <v/>
      </c>
      <c r="J171" s="12" t="str">
        <f aca="false">IF(D171="","",SUMIFS('Базовые времена'!$D$2:$D$71,'Базовые времена'!$A$2:$A$71,B171,'Базовые времена'!$B$2:$B$71,C171,'Базовые времена'!$C$2:$C$71,D171))</f>
        <v/>
      </c>
      <c r="K171" s="12" t="str">
        <f aca="false">IF(E171="","",IF(ISNUMBER(E171),IF(E171&lt;1,E171*86400,E171),IFERROR(IF(ISNUMBER(FIND(":",SUBSTITUTE(TRIM(E171),",","."))),VALUE(LEFT(SUBSTITUTE(TRIM(E171),",","."),FIND(":",SUBSTITUTE(TRIM(E171),",","."))-1))*60+_xlfn.NUMBERVALUE(MID(SUBSTITUTE(TRIM(E171),",","."),FIND(":",SUBSTITUTE(TRIM(E171),",","."))+1,99),"."),_xlfn.NUMBERVALUE(SUBSTITUTE(TRIM(E171),",","."),".")),0)))</f>
        <v/>
      </c>
      <c r="L171" s="3" t="str">
        <f aca="false">IF(OR(D171="",N(K171)&lt;=0),"",IFERROR(MATCH(B171&amp;"|"&amp;C171&amp;"|"&amp;D171,Нормативы!$M$2:$M$71,0),""))</f>
        <v/>
      </c>
      <c r="M171" s="3" t="str">
        <f aca="false">IF(L171="","",SUMPRODUCT((INDEX(Нормативы!$D$2:$L$71,L171,0)&lt;K171)*ISNUMBER(INDEX(Нормативы!$D$2:$L$71,L171,0))))</f>
        <v/>
      </c>
    </row>
    <row r="172" customFormat="false" ht="15" hidden="false" customHeight="false" outlineLevel="0" collapsed="false">
      <c r="A172" s="5"/>
      <c r="B172" s="5"/>
      <c r="C172" s="5"/>
      <c r="D172" s="5"/>
      <c r="E172" s="14"/>
      <c r="F172" s="4" t="str">
        <f aca="false">IF(OR(J172="",K172="",N(J172)=0,N(K172)&lt;=0),"",ROUNDDOWN(1000*(J172/K172)^3,0))</f>
        <v/>
      </c>
      <c r="G172" s="4" t="str">
        <f aca="false">IF(M172="","",IF(M172+1&gt;COUNT(INDEX(Нормативы!$D$2:$L$71,L172,0)),"Разряда нет",INDEX(Нормативы!$D$1:$L$1,1,M172+1)))</f>
        <v/>
      </c>
      <c r="H172" s="2" t="str">
        <f aca="false">IF(M172="","",IF(M172=0,"—",INDEX(Нормативы!$D$1:$L$1,1,M172)))</f>
        <v/>
      </c>
      <c r="I172" s="7" t="str">
        <f aca="false">IF(M172="","",IF(M172=0,"",IF(INT(ROUND(INDEX(Нормативы!$D$2:$L$71,L172,M172)*100,0)/6000)&gt;0,INT(ROUND(INDEX(Нормативы!$D$2:$L$71,L172,M172)*100,0)/6000)&amp;":"&amp;RIGHT("0"&amp;INT(MOD(ROUND(INDEX(Нормативы!$D$2:$L$71,L172,M172)*100,0),6000)/100),2),INT(MOD(ROUND(INDEX(Нормативы!$D$2:$L$71,L172,M172)*100,0),6000)/100))&amp;"."&amp;RIGHT("0"&amp;MOD(ROUND(INDEX(Нормативы!$D$2:$L$71,L172,M172)*100,0),100),2)))</f>
        <v/>
      </c>
      <c r="J172" s="12" t="str">
        <f aca="false">IF(D172="","",SUMIFS('Базовые времена'!$D$2:$D$71,'Базовые времена'!$A$2:$A$71,B172,'Базовые времена'!$B$2:$B$71,C172,'Базовые времена'!$C$2:$C$71,D172))</f>
        <v/>
      </c>
      <c r="K172" s="12" t="str">
        <f aca="false">IF(E172="","",IF(ISNUMBER(E172),IF(E172&lt;1,E172*86400,E172),IFERROR(IF(ISNUMBER(FIND(":",SUBSTITUTE(TRIM(E172),",","."))),VALUE(LEFT(SUBSTITUTE(TRIM(E172),",","."),FIND(":",SUBSTITUTE(TRIM(E172),",","."))-1))*60+_xlfn.NUMBERVALUE(MID(SUBSTITUTE(TRIM(E172),",","."),FIND(":",SUBSTITUTE(TRIM(E172),",","."))+1,99),"."),_xlfn.NUMBERVALUE(SUBSTITUTE(TRIM(E172),",","."),".")),0)))</f>
        <v/>
      </c>
      <c r="L172" s="3" t="str">
        <f aca="false">IF(OR(D172="",N(K172)&lt;=0),"",IFERROR(MATCH(B172&amp;"|"&amp;C172&amp;"|"&amp;D172,Нормативы!$M$2:$M$71,0),""))</f>
        <v/>
      </c>
      <c r="M172" s="3" t="str">
        <f aca="false">IF(L172="","",SUMPRODUCT((INDEX(Нормативы!$D$2:$L$71,L172,0)&lt;K172)*ISNUMBER(INDEX(Нормативы!$D$2:$L$71,L172,0))))</f>
        <v/>
      </c>
    </row>
    <row r="173" customFormat="false" ht="15" hidden="false" customHeight="false" outlineLevel="0" collapsed="false">
      <c r="A173" s="5"/>
      <c r="B173" s="5"/>
      <c r="C173" s="5"/>
      <c r="D173" s="5"/>
      <c r="E173" s="14"/>
      <c r="F173" s="4" t="str">
        <f aca="false">IF(OR(J173="",K173="",N(J173)=0,N(K173)&lt;=0),"",ROUNDDOWN(1000*(J173/K173)^3,0))</f>
        <v/>
      </c>
      <c r="G173" s="4" t="str">
        <f aca="false">IF(M173="","",IF(M173+1&gt;COUNT(INDEX(Нормативы!$D$2:$L$71,L173,0)),"Разряда нет",INDEX(Нормативы!$D$1:$L$1,1,M173+1)))</f>
        <v/>
      </c>
      <c r="H173" s="2" t="str">
        <f aca="false">IF(M173="","",IF(M173=0,"—",INDEX(Нормативы!$D$1:$L$1,1,M173)))</f>
        <v/>
      </c>
      <c r="I173" s="7" t="str">
        <f aca="false">IF(M173="","",IF(M173=0,"",IF(INT(ROUND(INDEX(Нормативы!$D$2:$L$71,L173,M173)*100,0)/6000)&gt;0,INT(ROUND(INDEX(Нормативы!$D$2:$L$71,L173,M173)*100,0)/6000)&amp;":"&amp;RIGHT("0"&amp;INT(MOD(ROUND(INDEX(Нормативы!$D$2:$L$71,L173,M173)*100,0),6000)/100),2),INT(MOD(ROUND(INDEX(Нормативы!$D$2:$L$71,L173,M173)*100,0),6000)/100))&amp;"."&amp;RIGHT("0"&amp;MOD(ROUND(INDEX(Нормативы!$D$2:$L$71,L173,M173)*100,0),100),2)))</f>
        <v/>
      </c>
      <c r="J173" s="12" t="str">
        <f aca="false">IF(D173="","",SUMIFS('Базовые времена'!$D$2:$D$71,'Базовые времена'!$A$2:$A$71,B173,'Базовые времена'!$B$2:$B$71,C173,'Базовые времена'!$C$2:$C$71,D173))</f>
        <v/>
      </c>
      <c r="K173" s="12" t="str">
        <f aca="false">IF(E173="","",IF(ISNUMBER(E173),IF(E173&lt;1,E173*86400,E173),IFERROR(IF(ISNUMBER(FIND(":",SUBSTITUTE(TRIM(E173),",","."))),VALUE(LEFT(SUBSTITUTE(TRIM(E173),",","."),FIND(":",SUBSTITUTE(TRIM(E173),",","."))-1))*60+_xlfn.NUMBERVALUE(MID(SUBSTITUTE(TRIM(E173),",","."),FIND(":",SUBSTITUTE(TRIM(E173),",","."))+1,99),"."),_xlfn.NUMBERVALUE(SUBSTITUTE(TRIM(E173),",","."),".")),0)))</f>
        <v/>
      </c>
      <c r="L173" s="3" t="str">
        <f aca="false">IF(OR(D173="",N(K173)&lt;=0),"",IFERROR(MATCH(B173&amp;"|"&amp;C173&amp;"|"&amp;D173,Нормативы!$M$2:$M$71,0),""))</f>
        <v/>
      </c>
      <c r="M173" s="3" t="str">
        <f aca="false">IF(L173="","",SUMPRODUCT((INDEX(Нормативы!$D$2:$L$71,L173,0)&lt;K173)*ISNUMBER(INDEX(Нормативы!$D$2:$L$71,L173,0))))</f>
        <v/>
      </c>
    </row>
    <row r="174" customFormat="false" ht="15" hidden="false" customHeight="false" outlineLevel="0" collapsed="false">
      <c r="A174" s="5"/>
      <c r="B174" s="5"/>
      <c r="C174" s="5"/>
      <c r="D174" s="5"/>
      <c r="E174" s="14"/>
      <c r="F174" s="4" t="str">
        <f aca="false">IF(OR(J174="",K174="",N(J174)=0,N(K174)&lt;=0),"",ROUNDDOWN(1000*(J174/K174)^3,0))</f>
        <v/>
      </c>
      <c r="G174" s="4" t="str">
        <f aca="false">IF(M174="","",IF(M174+1&gt;COUNT(INDEX(Нормативы!$D$2:$L$71,L174,0)),"Разряда нет",INDEX(Нормативы!$D$1:$L$1,1,M174+1)))</f>
        <v/>
      </c>
      <c r="H174" s="2" t="str">
        <f aca="false">IF(M174="","",IF(M174=0,"—",INDEX(Нормативы!$D$1:$L$1,1,M174)))</f>
        <v/>
      </c>
      <c r="I174" s="7" t="str">
        <f aca="false">IF(M174="","",IF(M174=0,"",IF(INT(ROUND(INDEX(Нормативы!$D$2:$L$71,L174,M174)*100,0)/6000)&gt;0,INT(ROUND(INDEX(Нормативы!$D$2:$L$71,L174,M174)*100,0)/6000)&amp;":"&amp;RIGHT("0"&amp;INT(MOD(ROUND(INDEX(Нормативы!$D$2:$L$71,L174,M174)*100,0),6000)/100),2),INT(MOD(ROUND(INDEX(Нормативы!$D$2:$L$71,L174,M174)*100,0),6000)/100))&amp;"."&amp;RIGHT("0"&amp;MOD(ROUND(INDEX(Нормативы!$D$2:$L$71,L174,M174)*100,0),100),2)))</f>
        <v/>
      </c>
      <c r="J174" s="12" t="str">
        <f aca="false">IF(D174="","",SUMIFS('Базовые времена'!$D$2:$D$71,'Базовые времена'!$A$2:$A$71,B174,'Базовые времена'!$B$2:$B$71,C174,'Базовые времена'!$C$2:$C$71,D174))</f>
        <v/>
      </c>
      <c r="K174" s="12" t="str">
        <f aca="false">IF(E174="","",IF(ISNUMBER(E174),IF(E174&lt;1,E174*86400,E174),IFERROR(IF(ISNUMBER(FIND(":",SUBSTITUTE(TRIM(E174),",","."))),VALUE(LEFT(SUBSTITUTE(TRIM(E174),",","."),FIND(":",SUBSTITUTE(TRIM(E174),",","."))-1))*60+_xlfn.NUMBERVALUE(MID(SUBSTITUTE(TRIM(E174),",","."),FIND(":",SUBSTITUTE(TRIM(E174),",","."))+1,99),"."),_xlfn.NUMBERVALUE(SUBSTITUTE(TRIM(E174),",","."),".")),0)))</f>
        <v/>
      </c>
      <c r="L174" s="3" t="str">
        <f aca="false">IF(OR(D174="",N(K174)&lt;=0),"",IFERROR(MATCH(B174&amp;"|"&amp;C174&amp;"|"&amp;D174,Нормативы!$M$2:$M$71,0),""))</f>
        <v/>
      </c>
      <c r="M174" s="3" t="str">
        <f aca="false">IF(L174="","",SUMPRODUCT((INDEX(Нормативы!$D$2:$L$71,L174,0)&lt;K174)*ISNUMBER(INDEX(Нормативы!$D$2:$L$71,L174,0))))</f>
        <v/>
      </c>
    </row>
    <row r="175" customFormat="false" ht="15" hidden="false" customHeight="false" outlineLevel="0" collapsed="false">
      <c r="A175" s="5"/>
      <c r="B175" s="5"/>
      <c r="C175" s="5"/>
      <c r="D175" s="5"/>
      <c r="E175" s="14"/>
      <c r="F175" s="4" t="str">
        <f aca="false">IF(OR(J175="",K175="",N(J175)=0,N(K175)&lt;=0),"",ROUNDDOWN(1000*(J175/K175)^3,0))</f>
        <v/>
      </c>
      <c r="G175" s="4" t="str">
        <f aca="false">IF(M175="","",IF(M175+1&gt;COUNT(INDEX(Нормативы!$D$2:$L$71,L175,0)),"Разряда нет",INDEX(Нормативы!$D$1:$L$1,1,M175+1)))</f>
        <v/>
      </c>
      <c r="H175" s="2" t="str">
        <f aca="false">IF(M175="","",IF(M175=0,"—",INDEX(Нормативы!$D$1:$L$1,1,M175)))</f>
        <v/>
      </c>
      <c r="I175" s="7" t="str">
        <f aca="false">IF(M175="","",IF(M175=0,"",IF(INT(ROUND(INDEX(Нормативы!$D$2:$L$71,L175,M175)*100,0)/6000)&gt;0,INT(ROUND(INDEX(Нормативы!$D$2:$L$71,L175,M175)*100,0)/6000)&amp;":"&amp;RIGHT("0"&amp;INT(MOD(ROUND(INDEX(Нормативы!$D$2:$L$71,L175,M175)*100,0),6000)/100),2),INT(MOD(ROUND(INDEX(Нормативы!$D$2:$L$71,L175,M175)*100,0),6000)/100))&amp;"."&amp;RIGHT("0"&amp;MOD(ROUND(INDEX(Нормативы!$D$2:$L$71,L175,M175)*100,0),100),2)))</f>
        <v/>
      </c>
      <c r="J175" s="12" t="str">
        <f aca="false">IF(D175="","",SUMIFS('Базовые времена'!$D$2:$D$71,'Базовые времена'!$A$2:$A$71,B175,'Базовые времена'!$B$2:$B$71,C175,'Базовые времена'!$C$2:$C$71,D175))</f>
        <v/>
      </c>
      <c r="K175" s="12" t="str">
        <f aca="false">IF(E175="","",IF(ISNUMBER(E175),IF(E175&lt;1,E175*86400,E175),IFERROR(IF(ISNUMBER(FIND(":",SUBSTITUTE(TRIM(E175),",","."))),VALUE(LEFT(SUBSTITUTE(TRIM(E175),",","."),FIND(":",SUBSTITUTE(TRIM(E175),",","."))-1))*60+_xlfn.NUMBERVALUE(MID(SUBSTITUTE(TRIM(E175),",","."),FIND(":",SUBSTITUTE(TRIM(E175),",","."))+1,99),"."),_xlfn.NUMBERVALUE(SUBSTITUTE(TRIM(E175),",","."),".")),0)))</f>
        <v/>
      </c>
      <c r="L175" s="3" t="str">
        <f aca="false">IF(OR(D175="",N(K175)&lt;=0),"",IFERROR(MATCH(B175&amp;"|"&amp;C175&amp;"|"&amp;D175,Нормативы!$M$2:$M$71,0),""))</f>
        <v/>
      </c>
      <c r="M175" s="3" t="str">
        <f aca="false">IF(L175="","",SUMPRODUCT((INDEX(Нормативы!$D$2:$L$71,L175,0)&lt;K175)*ISNUMBER(INDEX(Нормативы!$D$2:$L$71,L175,0))))</f>
        <v/>
      </c>
    </row>
    <row r="176" customFormat="false" ht="15" hidden="false" customHeight="false" outlineLevel="0" collapsed="false">
      <c r="A176" s="5"/>
      <c r="B176" s="5"/>
      <c r="C176" s="5"/>
      <c r="D176" s="5"/>
      <c r="E176" s="14"/>
      <c r="F176" s="4" t="str">
        <f aca="false">IF(OR(J176="",K176="",N(J176)=0,N(K176)&lt;=0),"",ROUNDDOWN(1000*(J176/K176)^3,0))</f>
        <v/>
      </c>
      <c r="G176" s="4" t="str">
        <f aca="false">IF(M176="","",IF(M176+1&gt;COUNT(INDEX(Нормативы!$D$2:$L$71,L176,0)),"Разряда нет",INDEX(Нормативы!$D$1:$L$1,1,M176+1)))</f>
        <v/>
      </c>
      <c r="H176" s="2" t="str">
        <f aca="false">IF(M176="","",IF(M176=0,"—",INDEX(Нормативы!$D$1:$L$1,1,M176)))</f>
        <v/>
      </c>
      <c r="I176" s="7" t="str">
        <f aca="false">IF(M176="","",IF(M176=0,"",IF(INT(ROUND(INDEX(Нормативы!$D$2:$L$71,L176,M176)*100,0)/6000)&gt;0,INT(ROUND(INDEX(Нормативы!$D$2:$L$71,L176,M176)*100,0)/6000)&amp;":"&amp;RIGHT("0"&amp;INT(MOD(ROUND(INDEX(Нормативы!$D$2:$L$71,L176,M176)*100,0),6000)/100),2),INT(MOD(ROUND(INDEX(Нормативы!$D$2:$L$71,L176,M176)*100,0),6000)/100))&amp;"."&amp;RIGHT("0"&amp;MOD(ROUND(INDEX(Нормативы!$D$2:$L$71,L176,M176)*100,0),100),2)))</f>
        <v/>
      </c>
      <c r="J176" s="12" t="str">
        <f aca="false">IF(D176="","",SUMIFS('Базовые времена'!$D$2:$D$71,'Базовые времена'!$A$2:$A$71,B176,'Базовые времена'!$B$2:$B$71,C176,'Базовые времена'!$C$2:$C$71,D176))</f>
        <v/>
      </c>
      <c r="K176" s="12" t="str">
        <f aca="false">IF(E176="","",IF(ISNUMBER(E176),IF(E176&lt;1,E176*86400,E176),IFERROR(IF(ISNUMBER(FIND(":",SUBSTITUTE(TRIM(E176),",","."))),VALUE(LEFT(SUBSTITUTE(TRIM(E176),",","."),FIND(":",SUBSTITUTE(TRIM(E176),",","."))-1))*60+_xlfn.NUMBERVALUE(MID(SUBSTITUTE(TRIM(E176),",","."),FIND(":",SUBSTITUTE(TRIM(E176),",","."))+1,99),"."),_xlfn.NUMBERVALUE(SUBSTITUTE(TRIM(E176),",","."),".")),0)))</f>
        <v/>
      </c>
      <c r="L176" s="3" t="str">
        <f aca="false">IF(OR(D176="",N(K176)&lt;=0),"",IFERROR(MATCH(B176&amp;"|"&amp;C176&amp;"|"&amp;D176,Нормативы!$M$2:$M$71,0),""))</f>
        <v/>
      </c>
      <c r="M176" s="3" t="str">
        <f aca="false">IF(L176="","",SUMPRODUCT((INDEX(Нормативы!$D$2:$L$71,L176,0)&lt;K176)*ISNUMBER(INDEX(Нормативы!$D$2:$L$71,L176,0))))</f>
        <v/>
      </c>
    </row>
    <row r="177" customFormat="false" ht="15" hidden="false" customHeight="false" outlineLevel="0" collapsed="false">
      <c r="A177" s="5"/>
      <c r="B177" s="5"/>
      <c r="C177" s="5"/>
      <c r="D177" s="5"/>
      <c r="E177" s="14"/>
      <c r="F177" s="4" t="str">
        <f aca="false">IF(OR(J177="",K177="",N(J177)=0,N(K177)&lt;=0),"",ROUNDDOWN(1000*(J177/K177)^3,0))</f>
        <v/>
      </c>
      <c r="G177" s="4" t="str">
        <f aca="false">IF(M177="","",IF(M177+1&gt;COUNT(INDEX(Нормативы!$D$2:$L$71,L177,0)),"Разряда нет",INDEX(Нормативы!$D$1:$L$1,1,M177+1)))</f>
        <v/>
      </c>
      <c r="H177" s="2" t="str">
        <f aca="false">IF(M177="","",IF(M177=0,"—",INDEX(Нормативы!$D$1:$L$1,1,M177)))</f>
        <v/>
      </c>
      <c r="I177" s="7" t="str">
        <f aca="false">IF(M177="","",IF(M177=0,"",IF(INT(ROUND(INDEX(Нормативы!$D$2:$L$71,L177,M177)*100,0)/6000)&gt;0,INT(ROUND(INDEX(Нормативы!$D$2:$L$71,L177,M177)*100,0)/6000)&amp;":"&amp;RIGHT("0"&amp;INT(MOD(ROUND(INDEX(Нормативы!$D$2:$L$71,L177,M177)*100,0),6000)/100),2),INT(MOD(ROUND(INDEX(Нормативы!$D$2:$L$71,L177,M177)*100,0),6000)/100))&amp;"."&amp;RIGHT("0"&amp;MOD(ROUND(INDEX(Нормативы!$D$2:$L$71,L177,M177)*100,0),100),2)))</f>
        <v/>
      </c>
      <c r="J177" s="12" t="str">
        <f aca="false">IF(D177="","",SUMIFS('Базовые времена'!$D$2:$D$71,'Базовые времена'!$A$2:$A$71,B177,'Базовые времена'!$B$2:$B$71,C177,'Базовые времена'!$C$2:$C$71,D177))</f>
        <v/>
      </c>
      <c r="K177" s="12" t="str">
        <f aca="false">IF(E177="","",IF(ISNUMBER(E177),IF(E177&lt;1,E177*86400,E177),IFERROR(IF(ISNUMBER(FIND(":",SUBSTITUTE(TRIM(E177),",","."))),VALUE(LEFT(SUBSTITUTE(TRIM(E177),",","."),FIND(":",SUBSTITUTE(TRIM(E177),",","."))-1))*60+_xlfn.NUMBERVALUE(MID(SUBSTITUTE(TRIM(E177),",","."),FIND(":",SUBSTITUTE(TRIM(E177),",","."))+1,99),"."),_xlfn.NUMBERVALUE(SUBSTITUTE(TRIM(E177),",","."),".")),0)))</f>
        <v/>
      </c>
      <c r="L177" s="3" t="str">
        <f aca="false">IF(OR(D177="",N(K177)&lt;=0),"",IFERROR(MATCH(B177&amp;"|"&amp;C177&amp;"|"&amp;D177,Нормативы!$M$2:$M$71,0),""))</f>
        <v/>
      </c>
      <c r="M177" s="3" t="str">
        <f aca="false">IF(L177="","",SUMPRODUCT((INDEX(Нормативы!$D$2:$L$71,L177,0)&lt;K177)*ISNUMBER(INDEX(Нормативы!$D$2:$L$71,L177,0))))</f>
        <v/>
      </c>
    </row>
    <row r="178" customFormat="false" ht="15" hidden="false" customHeight="false" outlineLevel="0" collapsed="false">
      <c r="A178" s="5"/>
      <c r="B178" s="5"/>
      <c r="C178" s="5"/>
      <c r="D178" s="5"/>
      <c r="E178" s="14"/>
      <c r="F178" s="4" t="str">
        <f aca="false">IF(OR(J178="",K178="",N(J178)=0,N(K178)&lt;=0),"",ROUNDDOWN(1000*(J178/K178)^3,0))</f>
        <v/>
      </c>
      <c r="G178" s="4" t="str">
        <f aca="false">IF(M178="","",IF(M178+1&gt;COUNT(INDEX(Нормативы!$D$2:$L$71,L178,0)),"Разряда нет",INDEX(Нормативы!$D$1:$L$1,1,M178+1)))</f>
        <v/>
      </c>
      <c r="H178" s="2" t="str">
        <f aca="false">IF(M178="","",IF(M178=0,"—",INDEX(Нормативы!$D$1:$L$1,1,M178)))</f>
        <v/>
      </c>
      <c r="I178" s="7" t="str">
        <f aca="false">IF(M178="","",IF(M178=0,"",IF(INT(ROUND(INDEX(Нормативы!$D$2:$L$71,L178,M178)*100,0)/6000)&gt;0,INT(ROUND(INDEX(Нормативы!$D$2:$L$71,L178,M178)*100,0)/6000)&amp;":"&amp;RIGHT("0"&amp;INT(MOD(ROUND(INDEX(Нормативы!$D$2:$L$71,L178,M178)*100,0),6000)/100),2),INT(MOD(ROUND(INDEX(Нормативы!$D$2:$L$71,L178,M178)*100,0),6000)/100))&amp;"."&amp;RIGHT("0"&amp;MOD(ROUND(INDEX(Нормативы!$D$2:$L$71,L178,M178)*100,0),100),2)))</f>
        <v/>
      </c>
      <c r="J178" s="12" t="str">
        <f aca="false">IF(D178="","",SUMIFS('Базовые времена'!$D$2:$D$71,'Базовые времена'!$A$2:$A$71,B178,'Базовые времена'!$B$2:$B$71,C178,'Базовые времена'!$C$2:$C$71,D178))</f>
        <v/>
      </c>
      <c r="K178" s="12" t="str">
        <f aca="false">IF(E178="","",IF(ISNUMBER(E178),IF(E178&lt;1,E178*86400,E178),IFERROR(IF(ISNUMBER(FIND(":",SUBSTITUTE(TRIM(E178),",","."))),VALUE(LEFT(SUBSTITUTE(TRIM(E178),",","."),FIND(":",SUBSTITUTE(TRIM(E178),",","."))-1))*60+_xlfn.NUMBERVALUE(MID(SUBSTITUTE(TRIM(E178),",","."),FIND(":",SUBSTITUTE(TRIM(E178),",","."))+1,99),"."),_xlfn.NUMBERVALUE(SUBSTITUTE(TRIM(E178),",","."),".")),0)))</f>
        <v/>
      </c>
      <c r="L178" s="3" t="str">
        <f aca="false">IF(OR(D178="",N(K178)&lt;=0),"",IFERROR(MATCH(B178&amp;"|"&amp;C178&amp;"|"&amp;D178,Нормативы!$M$2:$M$71,0),""))</f>
        <v/>
      </c>
      <c r="M178" s="3" t="str">
        <f aca="false">IF(L178="","",SUMPRODUCT((INDEX(Нормативы!$D$2:$L$71,L178,0)&lt;K178)*ISNUMBER(INDEX(Нормативы!$D$2:$L$71,L178,0))))</f>
        <v/>
      </c>
    </row>
    <row r="179" customFormat="false" ht="15" hidden="false" customHeight="false" outlineLevel="0" collapsed="false">
      <c r="A179" s="5"/>
      <c r="B179" s="5"/>
      <c r="C179" s="5"/>
      <c r="D179" s="5"/>
      <c r="E179" s="14"/>
      <c r="F179" s="4" t="str">
        <f aca="false">IF(OR(J179="",K179="",N(J179)=0,N(K179)&lt;=0),"",ROUNDDOWN(1000*(J179/K179)^3,0))</f>
        <v/>
      </c>
      <c r="G179" s="4" t="str">
        <f aca="false">IF(M179="","",IF(M179+1&gt;COUNT(INDEX(Нормативы!$D$2:$L$71,L179,0)),"Разряда нет",INDEX(Нормативы!$D$1:$L$1,1,M179+1)))</f>
        <v/>
      </c>
      <c r="H179" s="2" t="str">
        <f aca="false">IF(M179="","",IF(M179=0,"—",INDEX(Нормативы!$D$1:$L$1,1,M179)))</f>
        <v/>
      </c>
      <c r="I179" s="7" t="str">
        <f aca="false">IF(M179="","",IF(M179=0,"",IF(INT(ROUND(INDEX(Нормативы!$D$2:$L$71,L179,M179)*100,0)/6000)&gt;0,INT(ROUND(INDEX(Нормативы!$D$2:$L$71,L179,M179)*100,0)/6000)&amp;":"&amp;RIGHT("0"&amp;INT(MOD(ROUND(INDEX(Нормативы!$D$2:$L$71,L179,M179)*100,0),6000)/100),2),INT(MOD(ROUND(INDEX(Нормативы!$D$2:$L$71,L179,M179)*100,0),6000)/100))&amp;"."&amp;RIGHT("0"&amp;MOD(ROUND(INDEX(Нормативы!$D$2:$L$71,L179,M179)*100,0),100),2)))</f>
        <v/>
      </c>
      <c r="J179" s="12" t="str">
        <f aca="false">IF(D179="","",SUMIFS('Базовые времена'!$D$2:$D$71,'Базовые времена'!$A$2:$A$71,B179,'Базовые времена'!$B$2:$B$71,C179,'Базовые времена'!$C$2:$C$71,D179))</f>
        <v/>
      </c>
      <c r="K179" s="12" t="str">
        <f aca="false">IF(E179="","",IF(ISNUMBER(E179),IF(E179&lt;1,E179*86400,E179),IFERROR(IF(ISNUMBER(FIND(":",SUBSTITUTE(TRIM(E179),",","."))),VALUE(LEFT(SUBSTITUTE(TRIM(E179),",","."),FIND(":",SUBSTITUTE(TRIM(E179),",","."))-1))*60+_xlfn.NUMBERVALUE(MID(SUBSTITUTE(TRIM(E179),",","."),FIND(":",SUBSTITUTE(TRIM(E179),",","."))+1,99),"."),_xlfn.NUMBERVALUE(SUBSTITUTE(TRIM(E179),",","."),".")),0)))</f>
        <v/>
      </c>
      <c r="L179" s="3" t="str">
        <f aca="false">IF(OR(D179="",N(K179)&lt;=0),"",IFERROR(MATCH(B179&amp;"|"&amp;C179&amp;"|"&amp;D179,Нормативы!$M$2:$M$71,0),""))</f>
        <v/>
      </c>
      <c r="M179" s="3" t="str">
        <f aca="false">IF(L179="","",SUMPRODUCT((INDEX(Нормативы!$D$2:$L$71,L179,0)&lt;K179)*ISNUMBER(INDEX(Нормативы!$D$2:$L$71,L179,0))))</f>
        <v/>
      </c>
    </row>
    <row r="180" customFormat="false" ht="15" hidden="false" customHeight="false" outlineLevel="0" collapsed="false">
      <c r="A180" s="5"/>
      <c r="B180" s="5"/>
      <c r="C180" s="5"/>
      <c r="D180" s="5"/>
      <c r="E180" s="14"/>
      <c r="F180" s="4" t="str">
        <f aca="false">IF(OR(J180="",K180="",N(J180)=0,N(K180)&lt;=0),"",ROUNDDOWN(1000*(J180/K180)^3,0))</f>
        <v/>
      </c>
      <c r="G180" s="4" t="str">
        <f aca="false">IF(M180="","",IF(M180+1&gt;COUNT(INDEX(Нормативы!$D$2:$L$71,L180,0)),"Разряда нет",INDEX(Нормативы!$D$1:$L$1,1,M180+1)))</f>
        <v/>
      </c>
      <c r="H180" s="2" t="str">
        <f aca="false">IF(M180="","",IF(M180=0,"—",INDEX(Нормативы!$D$1:$L$1,1,M180)))</f>
        <v/>
      </c>
      <c r="I180" s="7" t="str">
        <f aca="false">IF(M180="","",IF(M180=0,"",IF(INT(ROUND(INDEX(Нормативы!$D$2:$L$71,L180,M180)*100,0)/6000)&gt;0,INT(ROUND(INDEX(Нормативы!$D$2:$L$71,L180,M180)*100,0)/6000)&amp;":"&amp;RIGHT("0"&amp;INT(MOD(ROUND(INDEX(Нормативы!$D$2:$L$71,L180,M180)*100,0),6000)/100),2),INT(MOD(ROUND(INDEX(Нормативы!$D$2:$L$71,L180,M180)*100,0),6000)/100))&amp;"."&amp;RIGHT("0"&amp;MOD(ROUND(INDEX(Нормативы!$D$2:$L$71,L180,M180)*100,0),100),2)))</f>
        <v/>
      </c>
      <c r="J180" s="12" t="str">
        <f aca="false">IF(D180="","",SUMIFS('Базовые времена'!$D$2:$D$71,'Базовые времена'!$A$2:$A$71,B180,'Базовые времена'!$B$2:$B$71,C180,'Базовые времена'!$C$2:$C$71,D180))</f>
        <v/>
      </c>
      <c r="K180" s="12" t="str">
        <f aca="false">IF(E180="","",IF(ISNUMBER(E180),IF(E180&lt;1,E180*86400,E180),IFERROR(IF(ISNUMBER(FIND(":",SUBSTITUTE(TRIM(E180),",","."))),VALUE(LEFT(SUBSTITUTE(TRIM(E180),",","."),FIND(":",SUBSTITUTE(TRIM(E180),",","."))-1))*60+_xlfn.NUMBERVALUE(MID(SUBSTITUTE(TRIM(E180),",","."),FIND(":",SUBSTITUTE(TRIM(E180),",","."))+1,99),"."),_xlfn.NUMBERVALUE(SUBSTITUTE(TRIM(E180),",","."),".")),0)))</f>
        <v/>
      </c>
      <c r="L180" s="3" t="str">
        <f aca="false">IF(OR(D180="",N(K180)&lt;=0),"",IFERROR(MATCH(B180&amp;"|"&amp;C180&amp;"|"&amp;D180,Нормативы!$M$2:$M$71,0),""))</f>
        <v/>
      </c>
      <c r="M180" s="3" t="str">
        <f aca="false">IF(L180="","",SUMPRODUCT((INDEX(Нормативы!$D$2:$L$71,L180,0)&lt;K180)*ISNUMBER(INDEX(Нормативы!$D$2:$L$71,L180,0))))</f>
        <v/>
      </c>
    </row>
    <row r="181" customFormat="false" ht="15" hidden="false" customHeight="false" outlineLevel="0" collapsed="false">
      <c r="A181" s="5"/>
      <c r="B181" s="5"/>
      <c r="C181" s="5"/>
      <c r="D181" s="5"/>
      <c r="E181" s="14"/>
      <c r="F181" s="4" t="str">
        <f aca="false">IF(OR(J181="",K181="",N(J181)=0,N(K181)&lt;=0),"",ROUNDDOWN(1000*(J181/K181)^3,0))</f>
        <v/>
      </c>
      <c r="G181" s="4" t="str">
        <f aca="false">IF(M181="","",IF(M181+1&gt;COUNT(INDEX(Нормативы!$D$2:$L$71,L181,0)),"Разряда нет",INDEX(Нормативы!$D$1:$L$1,1,M181+1)))</f>
        <v/>
      </c>
      <c r="H181" s="2" t="str">
        <f aca="false">IF(M181="","",IF(M181=0,"—",INDEX(Нормативы!$D$1:$L$1,1,M181)))</f>
        <v/>
      </c>
      <c r="I181" s="7" t="str">
        <f aca="false">IF(M181="","",IF(M181=0,"",IF(INT(ROUND(INDEX(Нормативы!$D$2:$L$71,L181,M181)*100,0)/6000)&gt;0,INT(ROUND(INDEX(Нормативы!$D$2:$L$71,L181,M181)*100,0)/6000)&amp;":"&amp;RIGHT("0"&amp;INT(MOD(ROUND(INDEX(Нормативы!$D$2:$L$71,L181,M181)*100,0),6000)/100),2),INT(MOD(ROUND(INDEX(Нормативы!$D$2:$L$71,L181,M181)*100,0),6000)/100))&amp;"."&amp;RIGHT("0"&amp;MOD(ROUND(INDEX(Нормативы!$D$2:$L$71,L181,M181)*100,0),100),2)))</f>
        <v/>
      </c>
      <c r="J181" s="12" t="str">
        <f aca="false">IF(D181="","",SUMIFS('Базовые времена'!$D$2:$D$71,'Базовые времена'!$A$2:$A$71,B181,'Базовые времена'!$B$2:$B$71,C181,'Базовые времена'!$C$2:$C$71,D181))</f>
        <v/>
      </c>
      <c r="K181" s="12" t="str">
        <f aca="false">IF(E181="","",IF(ISNUMBER(E181),IF(E181&lt;1,E181*86400,E181),IFERROR(IF(ISNUMBER(FIND(":",SUBSTITUTE(TRIM(E181),",","."))),VALUE(LEFT(SUBSTITUTE(TRIM(E181),",","."),FIND(":",SUBSTITUTE(TRIM(E181),",","."))-1))*60+_xlfn.NUMBERVALUE(MID(SUBSTITUTE(TRIM(E181),",","."),FIND(":",SUBSTITUTE(TRIM(E181),",","."))+1,99),"."),_xlfn.NUMBERVALUE(SUBSTITUTE(TRIM(E181),",","."),".")),0)))</f>
        <v/>
      </c>
      <c r="L181" s="3" t="str">
        <f aca="false">IF(OR(D181="",N(K181)&lt;=0),"",IFERROR(MATCH(B181&amp;"|"&amp;C181&amp;"|"&amp;D181,Нормативы!$M$2:$M$71,0),""))</f>
        <v/>
      </c>
      <c r="M181" s="3" t="str">
        <f aca="false">IF(L181="","",SUMPRODUCT((INDEX(Нормативы!$D$2:$L$71,L181,0)&lt;K181)*ISNUMBER(INDEX(Нормативы!$D$2:$L$71,L181,0))))</f>
        <v/>
      </c>
    </row>
    <row r="182" customFormat="false" ht="15" hidden="false" customHeight="false" outlineLevel="0" collapsed="false">
      <c r="A182" s="5"/>
      <c r="B182" s="5"/>
      <c r="C182" s="5"/>
      <c r="D182" s="5"/>
      <c r="E182" s="14"/>
      <c r="F182" s="4" t="str">
        <f aca="false">IF(OR(J182="",K182="",N(J182)=0,N(K182)&lt;=0),"",ROUNDDOWN(1000*(J182/K182)^3,0))</f>
        <v/>
      </c>
      <c r="G182" s="4" t="str">
        <f aca="false">IF(M182="","",IF(M182+1&gt;COUNT(INDEX(Нормативы!$D$2:$L$71,L182,0)),"Разряда нет",INDEX(Нормативы!$D$1:$L$1,1,M182+1)))</f>
        <v/>
      </c>
      <c r="H182" s="2" t="str">
        <f aca="false">IF(M182="","",IF(M182=0,"—",INDEX(Нормативы!$D$1:$L$1,1,M182)))</f>
        <v/>
      </c>
      <c r="I182" s="7" t="str">
        <f aca="false">IF(M182="","",IF(M182=0,"",IF(INT(ROUND(INDEX(Нормативы!$D$2:$L$71,L182,M182)*100,0)/6000)&gt;0,INT(ROUND(INDEX(Нормативы!$D$2:$L$71,L182,M182)*100,0)/6000)&amp;":"&amp;RIGHT("0"&amp;INT(MOD(ROUND(INDEX(Нормативы!$D$2:$L$71,L182,M182)*100,0),6000)/100),2),INT(MOD(ROUND(INDEX(Нормативы!$D$2:$L$71,L182,M182)*100,0),6000)/100))&amp;"."&amp;RIGHT("0"&amp;MOD(ROUND(INDEX(Нормативы!$D$2:$L$71,L182,M182)*100,0),100),2)))</f>
        <v/>
      </c>
      <c r="J182" s="12" t="str">
        <f aca="false">IF(D182="","",SUMIFS('Базовые времена'!$D$2:$D$71,'Базовые времена'!$A$2:$A$71,B182,'Базовые времена'!$B$2:$B$71,C182,'Базовые времена'!$C$2:$C$71,D182))</f>
        <v/>
      </c>
      <c r="K182" s="12" t="str">
        <f aca="false">IF(E182="","",IF(ISNUMBER(E182),IF(E182&lt;1,E182*86400,E182),IFERROR(IF(ISNUMBER(FIND(":",SUBSTITUTE(TRIM(E182),",","."))),VALUE(LEFT(SUBSTITUTE(TRIM(E182),",","."),FIND(":",SUBSTITUTE(TRIM(E182),",","."))-1))*60+_xlfn.NUMBERVALUE(MID(SUBSTITUTE(TRIM(E182),",","."),FIND(":",SUBSTITUTE(TRIM(E182),",","."))+1,99),"."),_xlfn.NUMBERVALUE(SUBSTITUTE(TRIM(E182),",","."),".")),0)))</f>
        <v/>
      </c>
      <c r="L182" s="3" t="str">
        <f aca="false">IF(OR(D182="",N(K182)&lt;=0),"",IFERROR(MATCH(B182&amp;"|"&amp;C182&amp;"|"&amp;D182,Нормативы!$M$2:$M$71,0),""))</f>
        <v/>
      </c>
      <c r="M182" s="3" t="str">
        <f aca="false">IF(L182="","",SUMPRODUCT((INDEX(Нормативы!$D$2:$L$71,L182,0)&lt;K182)*ISNUMBER(INDEX(Нормативы!$D$2:$L$71,L182,0))))</f>
        <v/>
      </c>
    </row>
    <row r="183" customFormat="false" ht="15" hidden="false" customHeight="false" outlineLevel="0" collapsed="false">
      <c r="A183" s="5"/>
      <c r="B183" s="5"/>
      <c r="C183" s="5"/>
      <c r="D183" s="5"/>
      <c r="E183" s="14"/>
      <c r="F183" s="4" t="str">
        <f aca="false">IF(OR(J183="",K183="",N(J183)=0,N(K183)&lt;=0),"",ROUNDDOWN(1000*(J183/K183)^3,0))</f>
        <v/>
      </c>
      <c r="G183" s="4" t="str">
        <f aca="false">IF(M183="","",IF(M183+1&gt;COUNT(INDEX(Нормативы!$D$2:$L$71,L183,0)),"Разряда нет",INDEX(Нормативы!$D$1:$L$1,1,M183+1)))</f>
        <v/>
      </c>
      <c r="H183" s="2" t="str">
        <f aca="false">IF(M183="","",IF(M183=0,"—",INDEX(Нормативы!$D$1:$L$1,1,M183)))</f>
        <v/>
      </c>
      <c r="I183" s="7" t="str">
        <f aca="false">IF(M183="","",IF(M183=0,"",IF(INT(ROUND(INDEX(Нормативы!$D$2:$L$71,L183,M183)*100,0)/6000)&gt;0,INT(ROUND(INDEX(Нормативы!$D$2:$L$71,L183,M183)*100,0)/6000)&amp;":"&amp;RIGHT("0"&amp;INT(MOD(ROUND(INDEX(Нормативы!$D$2:$L$71,L183,M183)*100,0),6000)/100),2),INT(MOD(ROUND(INDEX(Нормативы!$D$2:$L$71,L183,M183)*100,0),6000)/100))&amp;"."&amp;RIGHT("0"&amp;MOD(ROUND(INDEX(Нормативы!$D$2:$L$71,L183,M183)*100,0),100),2)))</f>
        <v/>
      </c>
      <c r="J183" s="12" t="str">
        <f aca="false">IF(D183="","",SUMIFS('Базовые времена'!$D$2:$D$71,'Базовые времена'!$A$2:$A$71,B183,'Базовые времена'!$B$2:$B$71,C183,'Базовые времена'!$C$2:$C$71,D183))</f>
        <v/>
      </c>
      <c r="K183" s="12" t="str">
        <f aca="false">IF(E183="","",IF(ISNUMBER(E183),IF(E183&lt;1,E183*86400,E183),IFERROR(IF(ISNUMBER(FIND(":",SUBSTITUTE(TRIM(E183),",","."))),VALUE(LEFT(SUBSTITUTE(TRIM(E183),",","."),FIND(":",SUBSTITUTE(TRIM(E183),",","."))-1))*60+_xlfn.NUMBERVALUE(MID(SUBSTITUTE(TRIM(E183),",","."),FIND(":",SUBSTITUTE(TRIM(E183),",","."))+1,99),"."),_xlfn.NUMBERVALUE(SUBSTITUTE(TRIM(E183),",","."),".")),0)))</f>
        <v/>
      </c>
      <c r="L183" s="3" t="str">
        <f aca="false">IF(OR(D183="",N(K183)&lt;=0),"",IFERROR(MATCH(B183&amp;"|"&amp;C183&amp;"|"&amp;D183,Нормативы!$M$2:$M$71,0),""))</f>
        <v/>
      </c>
      <c r="M183" s="3" t="str">
        <f aca="false">IF(L183="","",SUMPRODUCT((INDEX(Нормативы!$D$2:$L$71,L183,0)&lt;K183)*ISNUMBER(INDEX(Нормативы!$D$2:$L$71,L183,0))))</f>
        <v/>
      </c>
    </row>
    <row r="184" customFormat="false" ht="15" hidden="false" customHeight="false" outlineLevel="0" collapsed="false">
      <c r="A184" s="5"/>
      <c r="B184" s="5"/>
      <c r="C184" s="5"/>
      <c r="D184" s="5"/>
      <c r="E184" s="14"/>
      <c r="F184" s="4" t="str">
        <f aca="false">IF(OR(J184="",K184="",N(J184)=0,N(K184)&lt;=0),"",ROUNDDOWN(1000*(J184/K184)^3,0))</f>
        <v/>
      </c>
      <c r="G184" s="4" t="str">
        <f aca="false">IF(M184="","",IF(M184+1&gt;COUNT(INDEX(Нормативы!$D$2:$L$71,L184,0)),"Разряда нет",INDEX(Нормативы!$D$1:$L$1,1,M184+1)))</f>
        <v/>
      </c>
      <c r="H184" s="2" t="str">
        <f aca="false">IF(M184="","",IF(M184=0,"—",INDEX(Нормативы!$D$1:$L$1,1,M184)))</f>
        <v/>
      </c>
      <c r="I184" s="7" t="str">
        <f aca="false">IF(M184="","",IF(M184=0,"",IF(INT(ROUND(INDEX(Нормативы!$D$2:$L$71,L184,M184)*100,0)/6000)&gt;0,INT(ROUND(INDEX(Нормативы!$D$2:$L$71,L184,M184)*100,0)/6000)&amp;":"&amp;RIGHT("0"&amp;INT(MOD(ROUND(INDEX(Нормативы!$D$2:$L$71,L184,M184)*100,0),6000)/100),2),INT(MOD(ROUND(INDEX(Нормативы!$D$2:$L$71,L184,M184)*100,0),6000)/100))&amp;"."&amp;RIGHT("0"&amp;MOD(ROUND(INDEX(Нормативы!$D$2:$L$71,L184,M184)*100,0),100),2)))</f>
        <v/>
      </c>
      <c r="J184" s="12" t="str">
        <f aca="false">IF(D184="","",SUMIFS('Базовые времена'!$D$2:$D$71,'Базовые времена'!$A$2:$A$71,B184,'Базовые времена'!$B$2:$B$71,C184,'Базовые времена'!$C$2:$C$71,D184))</f>
        <v/>
      </c>
      <c r="K184" s="12" t="str">
        <f aca="false">IF(E184="","",IF(ISNUMBER(E184),IF(E184&lt;1,E184*86400,E184),IFERROR(IF(ISNUMBER(FIND(":",SUBSTITUTE(TRIM(E184),",","."))),VALUE(LEFT(SUBSTITUTE(TRIM(E184),",","."),FIND(":",SUBSTITUTE(TRIM(E184),",","."))-1))*60+_xlfn.NUMBERVALUE(MID(SUBSTITUTE(TRIM(E184),",","."),FIND(":",SUBSTITUTE(TRIM(E184),",","."))+1,99),"."),_xlfn.NUMBERVALUE(SUBSTITUTE(TRIM(E184),",","."),".")),0)))</f>
        <v/>
      </c>
      <c r="L184" s="3" t="str">
        <f aca="false">IF(OR(D184="",N(K184)&lt;=0),"",IFERROR(MATCH(B184&amp;"|"&amp;C184&amp;"|"&amp;D184,Нормативы!$M$2:$M$71,0),""))</f>
        <v/>
      </c>
      <c r="M184" s="3" t="str">
        <f aca="false">IF(L184="","",SUMPRODUCT((INDEX(Нормативы!$D$2:$L$71,L184,0)&lt;K184)*ISNUMBER(INDEX(Нормативы!$D$2:$L$71,L184,0))))</f>
        <v/>
      </c>
    </row>
    <row r="185" customFormat="false" ht="15" hidden="false" customHeight="false" outlineLevel="0" collapsed="false">
      <c r="A185" s="5"/>
      <c r="B185" s="5"/>
      <c r="C185" s="5"/>
      <c r="D185" s="5"/>
      <c r="E185" s="14"/>
      <c r="F185" s="4" t="str">
        <f aca="false">IF(OR(J185="",K185="",N(J185)=0,N(K185)&lt;=0),"",ROUNDDOWN(1000*(J185/K185)^3,0))</f>
        <v/>
      </c>
      <c r="G185" s="4" t="str">
        <f aca="false">IF(M185="","",IF(M185+1&gt;COUNT(INDEX(Нормативы!$D$2:$L$71,L185,0)),"Разряда нет",INDEX(Нормативы!$D$1:$L$1,1,M185+1)))</f>
        <v/>
      </c>
      <c r="H185" s="2" t="str">
        <f aca="false">IF(M185="","",IF(M185=0,"—",INDEX(Нормативы!$D$1:$L$1,1,M185)))</f>
        <v/>
      </c>
      <c r="I185" s="7" t="str">
        <f aca="false">IF(M185="","",IF(M185=0,"",IF(INT(ROUND(INDEX(Нормативы!$D$2:$L$71,L185,M185)*100,0)/6000)&gt;0,INT(ROUND(INDEX(Нормативы!$D$2:$L$71,L185,M185)*100,0)/6000)&amp;":"&amp;RIGHT("0"&amp;INT(MOD(ROUND(INDEX(Нормативы!$D$2:$L$71,L185,M185)*100,0),6000)/100),2),INT(MOD(ROUND(INDEX(Нормативы!$D$2:$L$71,L185,M185)*100,0),6000)/100))&amp;"."&amp;RIGHT("0"&amp;MOD(ROUND(INDEX(Нормативы!$D$2:$L$71,L185,M185)*100,0),100),2)))</f>
        <v/>
      </c>
      <c r="J185" s="12" t="str">
        <f aca="false">IF(D185="","",SUMIFS('Базовые времена'!$D$2:$D$71,'Базовые времена'!$A$2:$A$71,B185,'Базовые времена'!$B$2:$B$71,C185,'Базовые времена'!$C$2:$C$71,D185))</f>
        <v/>
      </c>
      <c r="K185" s="12" t="str">
        <f aca="false">IF(E185="","",IF(ISNUMBER(E185),IF(E185&lt;1,E185*86400,E185),IFERROR(IF(ISNUMBER(FIND(":",SUBSTITUTE(TRIM(E185),",","."))),VALUE(LEFT(SUBSTITUTE(TRIM(E185),",","."),FIND(":",SUBSTITUTE(TRIM(E185),",","."))-1))*60+_xlfn.NUMBERVALUE(MID(SUBSTITUTE(TRIM(E185),",","."),FIND(":",SUBSTITUTE(TRIM(E185),",","."))+1,99),"."),_xlfn.NUMBERVALUE(SUBSTITUTE(TRIM(E185),",","."),".")),0)))</f>
        <v/>
      </c>
      <c r="L185" s="3" t="str">
        <f aca="false">IF(OR(D185="",N(K185)&lt;=0),"",IFERROR(MATCH(B185&amp;"|"&amp;C185&amp;"|"&amp;D185,Нормативы!$M$2:$M$71,0),""))</f>
        <v/>
      </c>
      <c r="M185" s="3" t="str">
        <f aca="false">IF(L185="","",SUMPRODUCT((INDEX(Нормативы!$D$2:$L$71,L185,0)&lt;K185)*ISNUMBER(INDEX(Нормативы!$D$2:$L$71,L185,0))))</f>
        <v/>
      </c>
    </row>
    <row r="186" customFormat="false" ht="15" hidden="false" customHeight="false" outlineLevel="0" collapsed="false">
      <c r="A186" s="5"/>
      <c r="B186" s="5"/>
      <c r="C186" s="5"/>
      <c r="D186" s="5"/>
      <c r="E186" s="14"/>
      <c r="F186" s="4" t="str">
        <f aca="false">IF(OR(J186="",K186="",N(J186)=0,N(K186)&lt;=0),"",ROUNDDOWN(1000*(J186/K186)^3,0))</f>
        <v/>
      </c>
      <c r="G186" s="4" t="str">
        <f aca="false">IF(M186="","",IF(M186+1&gt;COUNT(INDEX(Нормативы!$D$2:$L$71,L186,0)),"Разряда нет",INDEX(Нормативы!$D$1:$L$1,1,M186+1)))</f>
        <v/>
      </c>
      <c r="H186" s="2" t="str">
        <f aca="false">IF(M186="","",IF(M186=0,"—",INDEX(Нормативы!$D$1:$L$1,1,M186)))</f>
        <v/>
      </c>
      <c r="I186" s="7" t="str">
        <f aca="false">IF(M186="","",IF(M186=0,"",IF(INT(ROUND(INDEX(Нормативы!$D$2:$L$71,L186,M186)*100,0)/6000)&gt;0,INT(ROUND(INDEX(Нормативы!$D$2:$L$71,L186,M186)*100,0)/6000)&amp;":"&amp;RIGHT("0"&amp;INT(MOD(ROUND(INDEX(Нормативы!$D$2:$L$71,L186,M186)*100,0),6000)/100),2),INT(MOD(ROUND(INDEX(Нормативы!$D$2:$L$71,L186,M186)*100,0),6000)/100))&amp;"."&amp;RIGHT("0"&amp;MOD(ROUND(INDEX(Нормативы!$D$2:$L$71,L186,M186)*100,0),100),2)))</f>
        <v/>
      </c>
      <c r="J186" s="12" t="str">
        <f aca="false">IF(D186="","",SUMIFS('Базовые времена'!$D$2:$D$71,'Базовые времена'!$A$2:$A$71,B186,'Базовые времена'!$B$2:$B$71,C186,'Базовые времена'!$C$2:$C$71,D186))</f>
        <v/>
      </c>
      <c r="K186" s="12" t="str">
        <f aca="false">IF(E186="","",IF(ISNUMBER(E186),IF(E186&lt;1,E186*86400,E186),IFERROR(IF(ISNUMBER(FIND(":",SUBSTITUTE(TRIM(E186),",","."))),VALUE(LEFT(SUBSTITUTE(TRIM(E186),",","."),FIND(":",SUBSTITUTE(TRIM(E186),",","."))-1))*60+_xlfn.NUMBERVALUE(MID(SUBSTITUTE(TRIM(E186),",","."),FIND(":",SUBSTITUTE(TRIM(E186),",","."))+1,99),"."),_xlfn.NUMBERVALUE(SUBSTITUTE(TRIM(E186),",","."),".")),0)))</f>
        <v/>
      </c>
      <c r="L186" s="3" t="str">
        <f aca="false">IF(OR(D186="",N(K186)&lt;=0),"",IFERROR(MATCH(B186&amp;"|"&amp;C186&amp;"|"&amp;D186,Нормативы!$M$2:$M$71,0),""))</f>
        <v/>
      </c>
      <c r="M186" s="3" t="str">
        <f aca="false">IF(L186="","",SUMPRODUCT((INDEX(Нормативы!$D$2:$L$71,L186,0)&lt;K186)*ISNUMBER(INDEX(Нормативы!$D$2:$L$71,L186,0))))</f>
        <v/>
      </c>
    </row>
    <row r="187" customFormat="false" ht="15" hidden="false" customHeight="false" outlineLevel="0" collapsed="false">
      <c r="A187" s="5"/>
      <c r="B187" s="5"/>
      <c r="C187" s="5"/>
      <c r="D187" s="5"/>
      <c r="E187" s="14"/>
      <c r="F187" s="4" t="str">
        <f aca="false">IF(OR(J187="",K187="",N(J187)=0,N(K187)&lt;=0),"",ROUNDDOWN(1000*(J187/K187)^3,0))</f>
        <v/>
      </c>
      <c r="G187" s="4" t="str">
        <f aca="false">IF(M187="","",IF(M187+1&gt;COUNT(INDEX(Нормативы!$D$2:$L$71,L187,0)),"Разряда нет",INDEX(Нормативы!$D$1:$L$1,1,M187+1)))</f>
        <v/>
      </c>
      <c r="H187" s="2" t="str">
        <f aca="false">IF(M187="","",IF(M187=0,"—",INDEX(Нормативы!$D$1:$L$1,1,M187)))</f>
        <v/>
      </c>
      <c r="I187" s="7" t="str">
        <f aca="false">IF(M187="","",IF(M187=0,"",IF(INT(ROUND(INDEX(Нормативы!$D$2:$L$71,L187,M187)*100,0)/6000)&gt;0,INT(ROUND(INDEX(Нормативы!$D$2:$L$71,L187,M187)*100,0)/6000)&amp;":"&amp;RIGHT("0"&amp;INT(MOD(ROUND(INDEX(Нормативы!$D$2:$L$71,L187,M187)*100,0),6000)/100),2),INT(MOD(ROUND(INDEX(Нормативы!$D$2:$L$71,L187,M187)*100,0),6000)/100))&amp;"."&amp;RIGHT("0"&amp;MOD(ROUND(INDEX(Нормативы!$D$2:$L$71,L187,M187)*100,0),100),2)))</f>
        <v/>
      </c>
      <c r="J187" s="12" t="str">
        <f aca="false">IF(D187="","",SUMIFS('Базовые времена'!$D$2:$D$71,'Базовые времена'!$A$2:$A$71,B187,'Базовые времена'!$B$2:$B$71,C187,'Базовые времена'!$C$2:$C$71,D187))</f>
        <v/>
      </c>
      <c r="K187" s="12" t="str">
        <f aca="false">IF(E187="","",IF(ISNUMBER(E187),IF(E187&lt;1,E187*86400,E187),IFERROR(IF(ISNUMBER(FIND(":",SUBSTITUTE(TRIM(E187),",","."))),VALUE(LEFT(SUBSTITUTE(TRIM(E187),",","."),FIND(":",SUBSTITUTE(TRIM(E187),",","."))-1))*60+_xlfn.NUMBERVALUE(MID(SUBSTITUTE(TRIM(E187),",","."),FIND(":",SUBSTITUTE(TRIM(E187),",","."))+1,99),"."),_xlfn.NUMBERVALUE(SUBSTITUTE(TRIM(E187),",","."),".")),0)))</f>
        <v/>
      </c>
      <c r="L187" s="3" t="str">
        <f aca="false">IF(OR(D187="",N(K187)&lt;=0),"",IFERROR(MATCH(B187&amp;"|"&amp;C187&amp;"|"&amp;D187,Нормативы!$M$2:$M$71,0),""))</f>
        <v/>
      </c>
      <c r="M187" s="3" t="str">
        <f aca="false">IF(L187="","",SUMPRODUCT((INDEX(Нормативы!$D$2:$L$71,L187,0)&lt;K187)*ISNUMBER(INDEX(Нормативы!$D$2:$L$71,L187,0))))</f>
        <v/>
      </c>
    </row>
    <row r="188" customFormat="false" ht="15" hidden="false" customHeight="false" outlineLevel="0" collapsed="false">
      <c r="A188" s="5"/>
      <c r="B188" s="5"/>
      <c r="C188" s="5"/>
      <c r="D188" s="5"/>
      <c r="E188" s="14"/>
      <c r="F188" s="4" t="str">
        <f aca="false">IF(OR(J188="",K188="",N(J188)=0,N(K188)&lt;=0),"",ROUNDDOWN(1000*(J188/K188)^3,0))</f>
        <v/>
      </c>
      <c r="G188" s="4" t="str">
        <f aca="false">IF(M188="","",IF(M188+1&gt;COUNT(INDEX(Нормативы!$D$2:$L$71,L188,0)),"Разряда нет",INDEX(Нормативы!$D$1:$L$1,1,M188+1)))</f>
        <v/>
      </c>
      <c r="H188" s="2" t="str">
        <f aca="false">IF(M188="","",IF(M188=0,"—",INDEX(Нормативы!$D$1:$L$1,1,M188)))</f>
        <v/>
      </c>
      <c r="I188" s="7" t="str">
        <f aca="false">IF(M188="","",IF(M188=0,"",IF(INT(ROUND(INDEX(Нормативы!$D$2:$L$71,L188,M188)*100,0)/6000)&gt;0,INT(ROUND(INDEX(Нормативы!$D$2:$L$71,L188,M188)*100,0)/6000)&amp;":"&amp;RIGHT("0"&amp;INT(MOD(ROUND(INDEX(Нормативы!$D$2:$L$71,L188,M188)*100,0),6000)/100),2),INT(MOD(ROUND(INDEX(Нормативы!$D$2:$L$71,L188,M188)*100,0),6000)/100))&amp;"."&amp;RIGHT("0"&amp;MOD(ROUND(INDEX(Нормативы!$D$2:$L$71,L188,M188)*100,0),100),2)))</f>
        <v/>
      </c>
      <c r="J188" s="12" t="str">
        <f aca="false">IF(D188="","",SUMIFS('Базовые времена'!$D$2:$D$71,'Базовые времена'!$A$2:$A$71,B188,'Базовые времена'!$B$2:$B$71,C188,'Базовые времена'!$C$2:$C$71,D188))</f>
        <v/>
      </c>
      <c r="K188" s="12" t="str">
        <f aca="false">IF(E188="","",IF(ISNUMBER(E188),IF(E188&lt;1,E188*86400,E188),IFERROR(IF(ISNUMBER(FIND(":",SUBSTITUTE(TRIM(E188),",","."))),VALUE(LEFT(SUBSTITUTE(TRIM(E188),",","."),FIND(":",SUBSTITUTE(TRIM(E188),",","."))-1))*60+_xlfn.NUMBERVALUE(MID(SUBSTITUTE(TRIM(E188),",","."),FIND(":",SUBSTITUTE(TRIM(E188),",","."))+1,99),"."),_xlfn.NUMBERVALUE(SUBSTITUTE(TRIM(E188),",","."),".")),0)))</f>
        <v/>
      </c>
      <c r="L188" s="3" t="str">
        <f aca="false">IF(OR(D188="",N(K188)&lt;=0),"",IFERROR(MATCH(B188&amp;"|"&amp;C188&amp;"|"&amp;D188,Нормативы!$M$2:$M$71,0),""))</f>
        <v/>
      </c>
      <c r="M188" s="3" t="str">
        <f aca="false">IF(L188="","",SUMPRODUCT((INDEX(Нормативы!$D$2:$L$71,L188,0)&lt;K188)*ISNUMBER(INDEX(Нормативы!$D$2:$L$71,L188,0))))</f>
        <v/>
      </c>
    </row>
    <row r="189" customFormat="false" ht="15" hidden="false" customHeight="false" outlineLevel="0" collapsed="false">
      <c r="A189" s="5"/>
      <c r="B189" s="5"/>
      <c r="C189" s="5"/>
      <c r="D189" s="5"/>
      <c r="E189" s="14"/>
      <c r="F189" s="4" t="str">
        <f aca="false">IF(OR(J189="",K189="",N(J189)=0,N(K189)&lt;=0),"",ROUNDDOWN(1000*(J189/K189)^3,0))</f>
        <v/>
      </c>
      <c r="G189" s="4" t="str">
        <f aca="false">IF(M189="","",IF(M189+1&gt;COUNT(INDEX(Нормативы!$D$2:$L$71,L189,0)),"Разряда нет",INDEX(Нормативы!$D$1:$L$1,1,M189+1)))</f>
        <v/>
      </c>
      <c r="H189" s="2" t="str">
        <f aca="false">IF(M189="","",IF(M189=0,"—",INDEX(Нормативы!$D$1:$L$1,1,M189)))</f>
        <v/>
      </c>
      <c r="I189" s="7" t="str">
        <f aca="false">IF(M189="","",IF(M189=0,"",IF(INT(ROUND(INDEX(Нормативы!$D$2:$L$71,L189,M189)*100,0)/6000)&gt;0,INT(ROUND(INDEX(Нормативы!$D$2:$L$71,L189,M189)*100,0)/6000)&amp;":"&amp;RIGHT("0"&amp;INT(MOD(ROUND(INDEX(Нормативы!$D$2:$L$71,L189,M189)*100,0),6000)/100),2),INT(MOD(ROUND(INDEX(Нормативы!$D$2:$L$71,L189,M189)*100,0),6000)/100))&amp;"."&amp;RIGHT("0"&amp;MOD(ROUND(INDEX(Нормативы!$D$2:$L$71,L189,M189)*100,0),100),2)))</f>
        <v/>
      </c>
      <c r="J189" s="12" t="str">
        <f aca="false">IF(D189="","",SUMIFS('Базовые времена'!$D$2:$D$71,'Базовые времена'!$A$2:$A$71,B189,'Базовые времена'!$B$2:$B$71,C189,'Базовые времена'!$C$2:$C$71,D189))</f>
        <v/>
      </c>
      <c r="K189" s="12" t="str">
        <f aca="false">IF(E189="","",IF(ISNUMBER(E189),IF(E189&lt;1,E189*86400,E189),IFERROR(IF(ISNUMBER(FIND(":",SUBSTITUTE(TRIM(E189),",","."))),VALUE(LEFT(SUBSTITUTE(TRIM(E189),",","."),FIND(":",SUBSTITUTE(TRIM(E189),",","."))-1))*60+_xlfn.NUMBERVALUE(MID(SUBSTITUTE(TRIM(E189),",","."),FIND(":",SUBSTITUTE(TRIM(E189),",","."))+1,99),"."),_xlfn.NUMBERVALUE(SUBSTITUTE(TRIM(E189),",","."),".")),0)))</f>
        <v/>
      </c>
      <c r="L189" s="3" t="str">
        <f aca="false">IF(OR(D189="",N(K189)&lt;=0),"",IFERROR(MATCH(B189&amp;"|"&amp;C189&amp;"|"&amp;D189,Нормативы!$M$2:$M$71,0),""))</f>
        <v/>
      </c>
      <c r="M189" s="3" t="str">
        <f aca="false">IF(L189="","",SUMPRODUCT((INDEX(Нормативы!$D$2:$L$71,L189,0)&lt;K189)*ISNUMBER(INDEX(Нормативы!$D$2:$L$71,L189,0))))</f>
        <v/>
      </c>
    </row>
    <row r="190" customFormat="false" ht="15" hidden="false" customHeight="false" outlineLevel="0" collapsed="false">
      <c r="A190" s="5"/>
      <c r="B190" s="5"/>
      <c r="C190" s="5"/>
      <c r="D190" s="5"/>
      <c r="E190" s="14"/>
      <c r="F190" s="4" t="str">
        <f aca="false">IF(OR(J190="",K190="",N(J190)=0,N(K190)&lt;=0),"",ROUNDDOWN(1000*(J190/K190)^3,0))</f>
        <v/>
      </c>
      <c r="G190" s="4" t="str">
        <f aca="false">IF(M190="","",IF(M190+1&gt;COUNT(INDEX(Нормативы!$D$2:$L$71,L190,0)),"Разряда нет",INDEX(Нормативы!$D$1:$L$1,1,M190+1)))</f>
        <v/>
      </c>
      <c r="H190" s="2" t="str">
        <f aca="false">IF(M190="","",IF(M190=0,"—",INDEX(Нормативы!$D$1:$L$1,1,M190)))</f>
        <v/>
      </c>
      <c r="I190" s="7" t="str">
        <f aca="false">IF(M190="","",IF(M190=0,"",IF(INT(ROUND(INDEX(Нормативы!$D$2:$L$71,L190,M190)*100,0)/6000)&gt;0,INT(ROUND(INDEX(Нормативы!$D$2:$L$71,L190,M190)*100,0)/6000)&amp;":"&amp;RIGHT("0"&amp;INT(MOD(ROUND(INDEX(Нормативы!$D$2:$L$71,L190,M190)*100,0),6000)/100),2),INT(MOD(ROUND(INDEX(Нормативы!$D$2:$L$71,L190,M190)*100,0),6000)/100))&amp;"."&amp;RIGHT("0"&amp;MOD(ROUND(INDEX(Нормативы!$D$2:$L$71,L190,M190)*100,0),100),2)))</f>
        <v/>
      </c>
      <c r="J190" s="12" t="str">
        <f aca="false">IF(D190="","",SUMIFS('Базовые времена'!$D$2:$D$71,'Базовые времена'!$A$2:$A$71,B190,'Базовые времена'!$B$2:$B$71,C190,'Базовые времена'!$C$2:$C$71,D190))</f>
        <v/>
      </c>
      <c r="K190" s="12" t="str">
        <f aca="false">IF(E190="","",IF(ISNUMBER(E190),IF(E190&lt;1,E190*86400,E190),IFERROR(IF(ISNUMBER(FIND(":",SUBSTITUTE(TRIM(E190),",","."))),VALUE(LEFT(SUBSTITUTE(TRIM(E190),",","."),FIND(":",SUBSTITUTE(TRIM(E190),",","."))-1))*60+_xlfn.NUMBERVALUE(MID(SUBSTITUTE(TRIM(E190),",","."),FIND(":",SUBSTITUTE(TRIM(E190),",","."))+1,99),"."),_xlfn.NUMBERVALUE(SUBSTITUTE(TRIM(E190),",","."),".")),0)))</f>
        <v/>
      </c>
      <c r="L190" s="3" t="str">
        <f aca="false">IF(OR(D190="",N(K190)&lt;=0),"",IFERROR(MATCH(B190&amp;"|"&amp;C190&amp;"|"&amp;D190,Нормативы!$M$2:$M$71,0),""))</f>
        <v/>
      </c>
      <c r="M190" s="3" t="str">
        <f aca="false">IF(L190="","",SUMPRODUCT((INDEX(Нормативы!$D$2:$L$71,L190,0)&lt;K190)*ISNUMBER(INDEX(Нормативы!$D$2:$L$71,L190,0))))</f>
        <v/>
      </c>
    </row>
    <row r="191" customFormat="false" ht="15" hidden="false" customHeight="false" outlineLevel="0" collapsed="false">
      <c r="A191" s="5"/>
      <c r="B191" s="5"/>
      <c r="C191" s="5"/>
      <c r="D191" s="5"/>
      <c r="E191" s="14"/>
      <c r="F191" s="4" t="str">
        <f aca="false">IF(OR(J191="",K191="",N(J191)=0,N(K191)&lt;=0),"",ROUNDDOWN(1000*(J191/K191)^3,0))</f>
        <v/>
      </c>
      <c r="G191" s="4" t="str">
        <f aca="false">IF(M191="","",IF(M191+1&gt;COUNT(INDEX(Нормативы!$D$2:$L$71,L191,0)),"Разряда нет",INDEX(Нормативы!$D$1:$L$1,1,M191+1)))</f>
        <v/>
      </c>
      <c r="H191" s="2" t="str">
        <f aca="false">IF(M191="","",IF(M191=0,"—",INDEX(Нормативы!$D$1:$L$1,1,M191)))</f>
        <v/>
      </c>
      <c r="I191" s="7" t="str">
        <f aca="false">IF(M191="","",IF(M191=0,"",IF(INT(ROUND(INDEX(Нормативы!$D$2:$L$71,L191,M191)*100,0)/6000)&gt;0,INT(ROUND(INDEX(Нормативы!$D$2:$L$71,L191,M191)*100,0)/6000)&amp;":"&amp;RIGHT("0"&amp;INT(MOD(ROUND(INDEX(Нормативы!$D$2:$L$71,L191,M191)*100,0),6000)/100),2),INT(MOD(ROUND(INDEX(Нормативы!$D$2:$L$71,L191,M191)*100,0),6000)/100))&amp;"."&amp;RIGHT("0"&amp;MOD(ROUND(INDEX(Нормативы!$D$2:$L$71,L191,M191)*100,0),100),2)))</f>
        <v/>
      </c>
      <c r="J191" s="12" t="str">
        <f aca="false">IF(D191="","",SUMIFS('Базовые времена'!$D$2:$D$71,'Базовые времена'!$A$2:$A$71,B191,'Базовые времена'!$B$2:$B$71,C191,'Базовые времена'!$C$2:$C$71,D191))</f>
        <v/>
      </c>
      <c r="K191" s="12" t="str">
        <f aca="false">IF(E191="","",IF(ISNUMBER(E191),IF(E191&lt;1,E191*86400,E191),IFERROR(IF(ISNUMBER(FIND(":",SUBSTITUTE(TRIM(E191),",","."))),VALUE(LEFT(SUBSTITUTE(TRIM(E191),",","."),FIND(":",SUBSTITUTE(TRIM(E191),",","."))-1))*60+_xlfn.NUMBERVALUE(MID(SUBSTITUTE(TRIM(E191),",","."),FIND(":",SUBSTITUTE(TRIM(E191),",","."))+1,99),"."),_xlfn.NUMBERVALUE(SUBSTITUTE(TRIM(E191),",","."),".")),0)))</f>
        <v/>
      </c>
      <c r="L191" s="3" t="str">
        <f aca="false">IF(OR(D191="",N(K191)&lt;=0),"",IFERROR(MATCH(B191&amp;"|"&amp;C191&amp;"|"&amp;D191,Нормативы!$M$2:$M$71,0),""))</f>
        <v/>
      </c>
      <c r="M191" s="3" t="str">
        <f aca="false">IF(L191="","",SUMPRODUCT((INDEX(Нормативы!$D$2:$L$71,L191,0)&lt;K191)*ISNUMBER(INDEX(Нормативы!$D$2:$L$71,L191,0))))</f>
        <v/>
      </c>
    </row>
    <row r="192" customFormat="false" ht="15" hidden="false" customHeight="false" outlineLevel="0" collapsed="false">
      <c r="A192" s="5"/>
      <c r="B192" s="5"/>
      <c r="C192" s="5"/>
      <c r="D192" s="5"/>
      <c r="E192" s="14"/>
      <c r="F192" s="4" t="str">
        <f aca="false">IF(OR(J192="",K192="",N(J192)=0,N(K192)&lt;=0),"",ROUNDDOWN(1000*(J192/K192)^3,0))</f>
        <v/>
      </c>
      <c r="G192" s="4" t="str">
        <f aca="false">IF(M192="","",IF(M192+1&gt;COUNT(INDEX(Нормативы!$D$2:$L$71,L192,0)),"Разряда нет",INDEX(Нормативы!$D$1:$L$1,1,M192+1)))</f>
        <v/>
      </c>
      <c r="H192" s="2" t="str">
        <f aca="false">IF(M192="","",IF(M192=0,"—",INDEX(Нормативы!$D$1:$L$1,1,M192)))</f>
        <v/>
      </c>
      <c r="I192" s="7" t="str">
        <f aca="false">IF(M192="","",IF(M192=0,"",IF(INT(ROUND(INDEX(Нормативы!$D$2:$L$71,L192,M192)*100,0)/6000)&gt;0,INT(ROUND(INDEX(Нормативы!$D$2:$L$71,L192,M192)*100,0)/6000)&amp;":"&amp;RIGHT("0"&amp;INT(MOD(ROUND(INDEX(Нормативы!$D$2:$L$71,L192,M192)*100,0),6000)/100),2),INT(MOD(ROUND(INDEX(Нормативы!$D$2:$L$71,L192,M192)*100,0),6000)/100))&amp;"."&amp;RIGHT("0"&amp;MOD(ROUND(INDEX(Нормативы!$D$2:$L$71,L192,M192)*100,0),100),2)))</f>
        <v/>
      </c>
      <c r="J192" s="12" t="str">
        <f aca="false">IF(D192="","",SUMIFS('Базовые времена'!$D$2:$D$71,'Базовые времена'!$A$2:$A$71,B192,'Базовые времена'!$B$2:$B$71,C192,'Базовые времена'!$C$2:$C$71,D192))</f>
        <v/>
      </c>
      <c r="K192" s="12" t="str">
        <f aca="false">IF(E192="","",IF(ISNUMBER(E192),IF(E192&lt;1,E192*86400,E192),IFERROR(IF(ISNUMBER(FIND(":",SUBSTITUTE(TRIM(E192),",","."))),VALUE(LEFT(SUBSTITUTE(TRIM(E192),",","."),FIND(":",SUBSTITUTE(TRIM(E192),",","."))-1))*60+_xlfn.NUMBERVALUE(MID(SUBSTITUTE(TRIM(E192),",","."),FIND(":",SUBSTITUTE(TRIM(E192),",","."))+1,99),"."),_xlfn.NUMBERVALUE(SUBSTITUTE(TRIM(E192),",","."),".")),0)))</f>
        <v/>
      </c>
      <c r="L192" s="3" t="str">
        <f aca="false">IF(OR(D192="",N(K192)&lt;=0),"",IFERROR(MATCH(B192&amp;"|"&amp;C192&amp;"|"&amp;D192,Нормативы!$M$2:$M$71,0),""))</f>
        <v/>
      </c>
      <c r="M192" s="3" t="str">
        <f aca="false">IF(L192="","",SUMPRODUCT((INDEX(Нормативы!$D$2:$L$71,L192,0)&lt;K192)*ISNUMBER(INDEX(Нормативы!$D$2:$L$71,L192,0))))</f>
        <v/>
      </c>
    </row>
    <row r="193" customFormat="false" ht="15" hidden="false" customHeight="false" outlineLevel="0" collapsed="false">
      <c r="A193" s="5"/>
      <c r="B193" s="5"/>
      <c r="C193" s="5"/>
      <c r="D193" s="5"/>
      <c r="E193" s="14"/>
      <c r="F193" s="4" t="str">
        <f aca="false">IF(OR(J193="",K193="",N(J193)=0,N(K193)&lt;=0),"",ROUNDDOWN(1000*(J193/K193)^3,0))</f>
        <v/>
      </c>
      <c r="G193" s="4" t="str">
        <f aca="false">IF(M193="","",IF(M193+1&gt;COUNT(INDEX(Нормативы!$D$2:$L$71,L193,0)),"Разряда нет",INDEX(Нормативы!$D$1:$L$1,1,M193+1)))</f>
        <v/>
      </c>
      <c r="H193" s="2" t="str">
        <f aca="false">IF(M193="","",IF(M193=0,"—",INDEX(Нормативы!$D$1:$L$1,1,M193)))</f>
        <v/>
      </c>
      <c r="I193" s="7" t="str">
        <f aca="false">IF(M193="","",IF(M193=0,"",IF(INT(ROUND(INDEX(Нормативы!$D$2:$L$71,L193,M193)*100,0)/6000)&gt;0,INT(ROUND(INDEX(Нормативы!$D$2:$L$71,L193,M193)*100,0)/6000)&amp;":"&amp;RIGHT("0"&amp;INT(MOD(ROUND(INDEX(Нормативы!$D$2:$L$71,L193,M193)*100,0),6000)/100),2),INT(MOD(ROUND(INDEX(Нормативы!$D$2:$L$71,L193,M193)*100,0),6000)/100))&amp;"."&amp;RIGHT("0"&amp;MOD(ROUND(INDEX(Нормативы!$D$2:$L$71,L193,M193)*100,0),100),2)))</f>
        <v/>
      </c>
      <c r="J193" s="12" t="str">
        <f aca="false">IF(D193="","",SUMIFS('Базовые времена'!$D$2:$D$71,'Базовые времена'!$A$2:$A$71,B193,'Базовые времена'!$B$2:$B$71,C193,'Базовые времена'!$C$2:$C$71,D193))</f>
        <v/>
      </c>
      <c r="K193" s="12" t="str">
        <f aca="false">IF(E193="","",IF(ISNUMBER(E193),IF(E193&lt;1,E193*86400,E193),IFERROR(IF(ISNUMBER(FIND(":",SUBSTITUTE(TRIM(E193),",","."))),VALUE(LEFT(SUBSTITUTE(TRIM(E193),",","."),FIND(":",SUBSTITUTE(TRIM(E193),",","."))-1))*60+_xlfn.NUMBERVALUE(MID(SUBSTITUTE(TRIM(E193),",","."),FIND(":",SUBSTITUTE(TRIM(E193),",","."))+1,99),"."),_xlfn.NUMBERVALUE(SUBSTITUTE(TRIM(E193),",","."),".")),0)))</f>
        <v/>
      </c>
      <c r="L193" s="3" t="str">
        <f aca="false">IF(OR(D193="",N(K193)&lt;=0),"",IFERROR(MATCH(B193&amp;"|"&amp;C193&amp;"|"&amp;D193,Нормативы!$M$2:$M$71,0),""))</f>
        <v/>
      </c>
      <c r="M193" s="3" t="str">
        <f aca="false">IF(L193="","",SUMPRODUCT((INDEX(Нормативы!$D$2:$L$71,L193,0)&lt;K193)*ISNUMBER(INDEX(Нормативы!$D$2:$L$71,L193,0))))</f>
        <v/>
      </c>
    </row>
    <row r="194" customFormat="false" ht="15" hidden="false" customHeight="false" outlineLevel="0" collapsed="false">
      <c r="A194" s="5"/>
      <c r="B194" s="5"/>
      <c r="C194" s="5"/>
      <c r="D194" s="5"/>
      <c r="E194" s="14"/>
      <c r="F194" s="4" t="str">
        <f aca="false">IF(OR(J194="",K194="",N(J194)=0,N(K194)&lt;=0),"",ROUNDDOWN(1000*(J194/K194)^3,0))</f>
        <v/>
      </c>
      <c r="G194" s="4" t="str">
        <f aca="false">IF(M194="","",IF(M194+1&gt;COUNT(INDEX(Нормативы!$D$2:$L$71,L194,0)),"Разряда нет",INDEX(Нормативы!$D$1:$L$1,1,M194+1)))</f>
        <v/>
      </c>
      <c r="H194" s="2" t="str">
        <f aca="false">IF(M194="","",IF(M194=0,"—",INDEX(Нормативы!$D$1:$L$1,1,M194)))</f>
        <v/>
      </c>
      <c r="I194" s="7" t="str">
        <f aca="false">IF(M194="","",IF(M194=0,"",IF(INT(ROUND(INDEX(Нормативы!$D$2:$L$71,L194,M194)*100,0)/6000)&gt;0,INT(ROUND(INDEX(Нормативы!$D$2:$L$71,L194,M194)*100,0)/6000)&amp;":"&amp;RIGHT("0"&amp;INT(MOD(ROUND(INDEX(Нормативы!$D$2:$L$71,L194,M194)*100,0),6000)/100),2),INT(MOD(ROUND(INDEX(Нормативы!$D$2:$L$71,L194,M194)*100,0),6000)/100))&amp;"."&amp;RIGHT("0"&amp;MOD(ROUND(INDEX(Нормативы!$D$2:$L$71,L194,M194)*100,0),100),2)))</f>
        <v/>
      </c>
      <c r="J194" s="12" t="str">
        <f aca="false">IF(D194="","",SUMIFS('Базовые времена'!$D$2:$D$71,'Базовые времена'!$A$2:$A$71,B194,'Базовые времена'!$B$2:$B$71,C194,'Базовые времена'!$C$2:$C$71,D194))</f>
        <v/>
      </c>
      <c r="K194" s="12" t="str">
        <f aca="false">IF(E194="","",IF(ISNUMBER(E194),IF(E194&lt;1,E194*86400,E194),IFERROR(IF(ISNUMBER(FIND(":",SUBSTITUTE(TRIM(E194),",","."))),VALUE(LEFT(SUBSTITUTE(TRIM(E194),",","."),FIND(":",SUBSTITUTE(TRIM(E194),",","."))-1))*60+_xlfn.NUMBERVALUE(MID(SUBSTITUTE(TRIM(E194),",","."),FIND(":",SUBSTITUTE(TRIM(E194),",","."))+1,99),"."),_xlfn.NUMBERVALUE(SUBSTITUTE(TRIM(E194),",","."),".")),0)))</f>
        <v/>
      </c>
      <c r="L194" s="3" t="str">
        <f aca="false">IF(OR(D194="",N(K194)&lt;=0),"",IFERROR(MATCH(B194&amp;"|"&amp;C194&amp;"|"&amp;D194,Нормативы!$M$2:$M$71,0),""))</f>
        <v/>
      </c>
      <c r="M194" s="3" t="str">
        <f aca="false">IF(L194="","",SUMPRODUCT((INDEX(Нормативы!$D$2:$L$71,L194,0)&lt;K194)*ISNUMBER(INDEX(Нормативы!$D$2:$L$71,L194,0))))</f>
        <v/>
      </c>
    </row>
    <row r="195" customFormat="false" ht="15" hidden="false" customHeight="false" outlineLevel="0" collapsed="false">
      <c r="A195" s="5"/>
      <c r="B195" s="5"/>
      <c r="C195" s="5"/>
      <c r="D195" s="5"/>
      <c r="E195" s="14"/>
      <c r="F195" s="4" t="str">
        <f aca="false">IF(OR(J195="",K195="",N(J195)=0,N(K195)&lt;=0),"",ROUNDDOWN(1000*(J195/K195)^3,0))</f>
        <v/>
      </c>
      <c r="G195" s="4" t="str">
        <f aca="false">IF(M195="","",IF(M195+1&gt;COUNT(INDEX(Нормативы!$D$2:$L$71,L195,0)),"Разряда нет",INDEX(Нормативы!$D$1:$L$1,1,M195+1)))</f>
        <v/>
      </c>
      <c r="H195" s="2" t="str">
        <f aca="false">IF(M195="","",IF(M195=0,"—",INDEX(Нормативы!$D$1:$L$1,1,M195)))</f>
        <v/>
      </c>
      <c r="I195" s="7" t="str">
        <f aca="false">IF(M195="","",IF(M195=0,"",IF(INT(ROUND(INDEX(Нормативы!$D$2:$L$71,L195,M195)*100,0)/6000)&gt;0,INT(ROUND(INDEX(Нормативы!$D$2:$L$71,L195,M195)*100,0)/6000)&amp;":"&amp;RIGHT("0"&amp;INT(MOD(ROUND(INDEX(Нормативы!$D$2:$L$71,L195,M195)*100,0),6000)/100),2),INT(MOD(ROUND(INDEX(Нормативы!$D$2:$L$71,L195,M195)*100,0),6000)/100))&amp;"."&amp;RIGHT("0"&amp;MOD(ROUND(INDEX(Нормативы!$D$2:$L$71,L195,M195)*100,0),100),2)))</f>
        <v/>
      </c>
      <c r="J195" s="12" t="str">
        <f aca="false">IF(D195="","",SUMIFS('Базовые времена'!$D$2:$D$71,'Базовые времена'!$A$2:$A$71,B195,'Базовые времена'!$B$2:$B$71,C195,'Базовые времена'!$C$2:$C$71,D195))</f>
        <v/>
      </c>
      <c r="K195" s="12" t="str">
        <f aca="false">IF(E195="","",IF(ISNUMBER(E195),IF(E195&lt;1,E195*86400,E195),IFERROR(IF(ISNUMBER(FIND(":",SUBSTITUTE(TRIM(E195),",","."))),VALUE(LEFT(SUBSTITUTE(TRIM(E195),",","."),FIND(":",SUBSTITUTE(TRIM(E195),",","."))-1))*60+_xlfn.NUMBERVALUE(MID(SUBSTITUTE(TRIM(E195),",","."),FIND(":",SUBSTITUTE(TRIM(E195),",","."))+1,99),"."),_xlfn.NUMBERVALUE(SUBSTITUTE(TRIM(E195),",","."),".")),0)))</f>
        <v/>
      </c>
      <c r="L195" s="3" t="str">
        <f aca="false">IF(OR(D195="",N(K195)&lt;=0),"",IFERROR(MATCH(B195&amp;"|"&amp;C195&amp;"|"&amp;D195,Нормативы!$M$2:$M$71,0),""))</f>
        <v/>
      </c>
      <c r="M195" s="3" t="str">
        <f aca="false">IF(L195="","",SUMPRODUCT((INDEX(Нормативы!$D$2:$L$71,L195,0)&lt;K195)*ISNUMBER(INDEX(Нормативы!$D$2:$L$71,L195,0))))</f>
        <v/>
      </c>
    </row>
    <row r="196" customFormat="false" ht="15" hidden="false" customHeight="false" outlineLevel="0" collapsed="false">
      <c r="A196" s="5"/>
      <c r="B196" s="5"/>
      <c r="C196" s="5"/>
      <c r="D196" s="5"/>
      <c r="E196" s="14"/>
      <c r="F196" s="4" t="str">
        <f aca="false">IF(OR(J196="",K196="",N(J196)=0,N(K196)&lt;=0),"",ROUNDDOWN(1000*(J196/K196)^3,0))</f>
        <v/>
      </c>
      <c r="G196" s="4" t="str">
        <f aca="false">IF(M196="","",IF(M196+1&gt;COUNT(INDEX(Нормативы!$D$2:$L$71,L196,0)),"Разряда нет",INDEX(Нормативы!$D$1:$L$1,1,M196+1)))</f>
        <v/>
      </c>
      <c r="H196" s="2" t="str">
        <f aca="false">IF(M196="","",IF(M196=0,"—",INDEX(Нормативы!$D$1:$L$1,1,M196)))</f>
        <v/>
      </c>
      <c r="I196" s="7" t="str">
        <f aca="false">IF(M196="","",IF(M196=0,"",IF(INT(ROUND(INDEX(Нормативы!$D$2:$L$71,L196,M196)*100,0)/6000)&gt;0,INT(ROUND(INDEX(Нормативы!$D$2:$L$71,L196,M196)*100,0)/6000)&amp;":"&amp;RIGHT("0"&amp;INT(MOD(ROUND(INDEX(Нормативы!$D$2:$L$71,L196,M196)*100,0),6000)/100),2),INT(MOD(ROUND(INDEX(Нормативы!$D$2:$L$71,L196,M196)*100,0),6000)/100))&amp;"."&amp;RIGHT("0"&amp;MOD(ROUND(INDEX(Нормативы!$D$2:$L$71,L196,M196)*100,0),100),2)))</f>
        <v/>
      </c>
      <c r="J196" s="12" t="str">
        <f aca="false">IF(D196="","",SUMIFS('Базовые времена'!$D$2:$D$71,'Базовые времена'!$A$2:$A$71,B196,'Базовые времена'!$B$2:$B$71,C196,'Базовые времена'!$C$2:$C$71,D196))</f>
        <v/>
      </c>
      <c r="K196" s="12" t="str">
        <f aca="false">IF(E196="","",IF(ISNUMBER(E196),IF(E196&lt;1,E196*86400,E196),IFERROR(IF(ISNUMBER(FIND(":",SUBSTITUTE(TRIM(E196),",","."))),VALUE(LEFT(SUBSTITUTE(TRIM(E196),",","."),FIND(":",SUBSTITUTE(TRIM(E196),",","."))-1))*60+_xlfn.NUMBERVALUE(MID(SUBSTITUTE(TRIM(E196),",","."),FIND(":",SUBSTITUTE(TRIM(E196),",","."))+1,99),"."),_xlfn.NUMBERVALUE(SUBSTITUTE(TRIM(E196),",","."),".")),0)))</f>
        <v/>
      </c>
      <c r="L196" s="3" t="str">
        <f aca="false">IF(OR(D196="",N(K196)&lt;=0),"",IFERROR(MATCH(B196&amp;"|"&amp;C196&amp;"|"&amp;D196,Нормативы!$M$2:$M$71,0),""))</f>
        <v/>
      </c>
      <c r="M196" s="3" t="str">
        <f aca="false">IF(L196="","",SUMPRODUCT((INDEX(Нормативы!$D$2:$L$71,L196,0)&lt;K196)*ISNUMBER(INDEX(Нормативы!$D$2:$L$71,L196,0))))</f>
        <v/>
      </c>
    </row>
    <row r="197" customFormat="false" ht="15" hidden="false" customHeight="false" outlineLevel="0" collapsed="false">
      <c r="A197" s="5"/>
      <c r="B197" s="5"/>
      <c r="C197" s="5"/>
      <c r="D197" s="5"/>
      <c r="E197" s="14"/>
      <c r="F197" s="4" t="str">
        <f aca="false">IF(OR(J197="",K197="",N(J197)=0,N(K197)&lt;=0),"",ROUNDDOWN(1000*(J197/K197)^3,0))</f>
        <v/>
      </c>
      <c r="G197" s="4" t="str">
        <f aca="false">IF(M197="","",IF(M197+1&gt;COUNT(INDEX(Нормативы!$D$2:$L$71,L197,0)),"Разряда нет",INDEX(Нормативы!$D$1:$L$1,1,M197+1)))</f>
        <v/>
      </c>
      <c r="H197" s="2" t="str">
        <f aca="false">IF(M197="","",IF(M197=0,"—",INDEX(Нормативы!$D$1:$L$1,1,M197)))</f>
        <v/>
      </c>
      <c r="I197" s="7" t="str">
        <f aca="false">IF(M197="","",IF(M197=0,"",IF(INT(ROUND(INDEX(Нормативы!$D$2:$L$71,L197,M197)*100,0)/6000)&gt;0,INT(ROUND(INDEX(Нормативы!$D$2:$L$71,L197,M197)*100,0)/6000)&amp;":"&amp;RIGHT("0"&amp;INT(MOD(ROUND(INDEX(Нормативы!$D$2:$L$71,L197,M197)*100,0),6000)/100),2),INT(MOD(ROUND(INDEX(Нормативы!$D$2:$L$71,L197,M197)*100,0),6000)/100))&amp;"."&amp;RIGHT("0"&amp;MOD(ROUND(INDEX(Нормативы!$D$2:$L$71,L197,M197)*100,0),100),2)))</f>
        <v/>
      </c>
      <c r="J197" s="12" t="str">
        <f aca="false">IF(D197="","",SUMIFS('Базовые времена'!$D$2:$D$71,'Базовые времена'!$A$2:$A$71,B197,'Базовые времена'!$B$2:$B$71,C197,'Базовые времена'!$C$2:$C$71,D197))</f>
        <v/>
      </c>
      <c r="K197" s="12" t="str">
        <f aca="false">IF(E197="","",IF(ISNUMBER(E197),IF(E197&lt;1,E197*86400,E197),IFERROR(IF(ISNUMBER(FIND(":",SUBSTITUTE(TRIM(E197),",","."))),VALUE(LEFT(SUBSTITUTE(TRIM(E197),",","."),FIND(":",SUBSTITUTE(TRIM(E197),",","."))-1))*60+_xlfn.NUMBERVALUE(MID(SUBSTITUTE(TRIM(E197),",","."),FIND(":",SUBSTITUTE(TRIM(E197),",","."))+1,99),"."),_xlfn.NUMBERVALUE(SUBSTITUTE(TRIM(E197),",","."),".")),0)))</f>
        <v/>
      </c>
      <c r="L197" s="3" t="str">
        <f aca="false">IF(OR(D197="",N(K197)&lt;=0),"",IFERROR(MATCH(B197&amp;"|"&amp;C197&amp;"|"&amp;D197,Нормативы!$M$2:$M$71,0),""))</f>
        <v/>
      </c>
      <c r="M197" s="3" t="str">
        <f aca="false">IF(L197="","",SUMPRODUCT((INDEX(Нормативы!$D$2:$L$71,L197,0)&lt;K197)*ISNUMBER(INDEX(Нормативы!$D$2:$L$71,L197,0))))</f>
        <v/>
      </c>
    </row>
    <row r="198" customFormat="false" ht="15" hidden="false" customHeight="false" outlineLevel="0" collapsed="false">
      <c r="A198" s="5"/>
      <c r="B198" s="5"/>
      <c r="C198" s="5"/>
      <c r="D198" s="5"/>
      <c r="E198" s="14"/>
      <c r="F198" s="4" t="str">
        <f aca="false">IF(OR(J198="",K198="",N(J198)=0,N(K198)&lt;=0),"",ROUNDDOWN(1000*(J198/K198)^3,0))</f>
        <v/>
      </c>
      <c r="G198" s="4" t="str">
        <f aca="false">IF(M198="","",IF(M198+1&gt;COUNT(INDEX(Нормативы!$D$2:$L$71,L198,0)),"Разряда нет",INDEX(Нормативы!$D$1:$L$1,1,M198+1)))</f>
        <v/>
      </c>
      <c r="H198" s="2" t="str">
        <f aca="false">IF(M198="","",IF(M198=0,"—",INDEX(Нормативы!$D$1:$L$1,1,M198)))</f>
        <v/>
      </c>
      <c r="I198" s="7" t="str">
        <f aca="false">IF(M198="","",IF(M198=0,"",IF(INT(ROUND(INDEX(Нормативы!$D$2:$L$71,L198,M198)*100,0)/6000)&gt;0,INT(ROUND(INDEX(Нормативы!$D$2:$L$71,L198,M198)*100,0)/6000)&amp;":"&amp;RIGHT("0"&amp;INT(MOD(ROUND(INDEX(Нормативы!$D$2:$L$71,L198,M198)*100,0),6000)/100),2),INT(MOD(ROUND(INDEX(Нормативы!$D$2:$L$71,L198,M198)*100,0),6000)/100))&amp;"."&amp;RIGHT("0"&amp;MOD(ROUND(INDEX(Нормативы!$D$2:$L$71,L198,M198)*100,0),100),2)))</f>
        <v/>
      </c>
      <c r="J198" s="12" t="str">
        <f aca="false">IF(D198="","",SUMIFS('Базовые времена'!$D$2:$D$71,'Базовые времена'!$A$2:$A$71,B198,'Базовые времена'!$B$2:$B$71,C198,'Базовые времена'!$C$2:$C$71,D198))</f>
        <v/>
      </c>
      <c r="K198" s="12" t="str">
        <f aca="false">IF(E198="","",IF(ISNUMBER(E198),IF(E198&lt;1,E198*86400,E198),IFERROR(IF(ISNUMBER(FIND(":",SUBSTITUTE(TRIM(E198),",","."))),VALUE(LEFT(SUBSTITUTE(TRIM(E198),",","."),FIND(":",SUBSTITUTE(TRIM(E198),",","."))-1))*60+_xlfn.NUMBERVALUE(MID(SUBSTITUTE(TRIM(E198),",","."),FIND(":",SUBSTITUTE(TRIM(E198),",","."))+1,99),"."),_xlfn.NUMBERVALUE(SUBSTITUTE(TRIM(E198),",","."),".")),0)))</f>
        <v/>
      </c>
      <c r="L198" s="3" t="str">
        <f aca="false">IF(OR(D198="",N(K198)&lt;=0),"",IFERROR(MATCH(B198&amp;"|"&amp;C198&amp;"|"&amp;D198,Нормативы!$M$2:$M$71,0),""))</f>
        <v/>
      </c>
      <c r="M198" s="3" t="str">
        <f aca="false">IF(L198="","",SUMPRODUCT((INDEX(Нормативы!$D$2:$L$71,L198,0)&lt;K198)*ISNUMBER(INDEX(Нормативы!$D$2:$L$71,L198,0))))</f>
        <v/>
      </c>
    </row>
    <row r="199" customFormat="false" ht="15" hidden="false" customHeight="false" outlineLevel="0" collapsed="false">
      <c r="A199" s="5"/>
      <c r="B199" s="5"/>
      <c r="C199" s="5"/>
      <c r="D199" s="5"/>
      <c r="E199" s="14"/>
      <c r="F199" s="4" t="str">
        <f aca="false">IF(OR(J199="",K199="",N(J199)=0,N(K199)&lt;=0),"",ROUNDDOWN(1000*(J199/K199)^3,0))</f>
        <v/>
      </c>
      <c r="G199" s="4" t="str">
        <f aca="false">IF(M199="","",IF(M199+1&gt;COUNT(INDEX(Нормативы!$D$2:$L$71,L199,0)),"Разряда нет",INDEX(Нормативы!$D$1:$L$1,1,M199+1)))</f>
        <v/>
      </c>
      <c r="H199" s="2" t="str">
        <f aca="false">IF(M199="","",IF(M199=0,"—",INDEX(Нормативы!$D$1:$L$1,1,M199)))</f>
        <v/>
      </c>
      <c r="I199" s="7" t="str">
        <f aca="false">IF(M199="","",IF(M199=0,"",IF(INT(ROUND(INDEX(Нормативы!$D$2:$L$71,L199,M199)*100,0)/6000)&gt;0,INT(ROUND(INDEX(Нормативы!$D$2:$L$71,L199,M199)*100,0)/6000)&amp;":"&amp;RIGHT("0"&amp;INT(MOD(ROUND(INDEX(Нормативы!$D$2:$L$71,L199,M199)*100,0),6000)/100),2),INT(MOD(ROUND(INDEX(Нормативы!$D$2:$L$71,L199,M199)*100,0),6000)/100))&amp;"."&amp;RIGHT("0"&amp;MOD(ROUND(INDEX(Нормативы!$D$2:$L$71,L199,M199)*100,0),100),2)))</f>
        <v/>
      </c>
      <c r="J199" s="12" t="str">
        <f aca="false">IF(D199="","",SUMIFS('Базовые времена'!$D$2:$D$71,'Базовые времена'!$A$2:$A$71,B199,'Базовые времена'!$B$2:$B$71,C199,'Базовые времена'!$C$2:$C$71,D199))</f>
        <v/>
      </c>
      <c r="K199" s="12" t="str">
        <f aca="false">IF(E199="","",IF(ISNUMBER(E199),IF(E199&lt;1,E199*86400,E199),IFERROR(IF(ISNUMBER(FIND(":",SUBSTITUTE(TRIM(E199),",","."))),VALUE(LEFT(SUBSTITUTE(TRIM(E199),",","."),FIND(":",SUBSTITUTE(TRIM(E199),",","."))-1))*60+_xlfn.NUMBERVALUE(MID(SUBSTITUTE(TRIM(E199),",","."),FIND(":",SUBSTITUTE(TRIM(E199),",","."))+1,99),"."),_xlfn.NUMBERVALUE(SUBSTITUTE(TRIM(E199),",","."),".")),0)))</f>
        <v/>
      </c>
      <c r="L199" s="3" t="str">
        <f aca="false">IF(OR(D199="",N(K199)&lt;=0),"",IFERROR(MATCH(B199&amp;"|"&amp;C199&amp;"|"&amp;D199,Нормативы!$M$2:$M$71,0),""))</f>
        <v/>
      </c>
      <c r="M199" s="3" t="str">
        <f aca="false">IF(L199="","",SUMPRODUCT((INDEX(Нормативы!$D$2:$L$71,L199,0)&lt;K199)*ISNUMBER(INDEX(Нормативы!$D$2:$L$71,L199,0))))</f>
        <v/>
      </c>
    </row>
    <row r="200" customFormat="false" ht="15" hidden="false" customHeight="false" outlineLevel="0" collapsed="false">
      <c r="A200" s="5"/>
      <c r="B200" s="5"/>
      <c r="C200" s="5"/>
      <c r="D200" s="5"/>
      <c r="E200" s="14"/>
      <c r="F200" s="4" t="str">
        <f aca="false">IF(OR(J200="",K200="",N(J200)=0,N(K200)&lt;=0),"",ROUNDDOWN(1000*(J200/K200)^3,0))</f>
        <v/>
      </c>
      <c r="G200" s="4" t="str">
        <f aca="false">IF(M200="","",IF(M200+1&gt;COUNT(INDEX(Нормативы!$D$2:$L$71,L200,0)),"Разряда нет",INDEX(Нормативы!$D$1:$L$1,1,M200+1)))</f>
        <v/>
      </c>
      <c r="H200" s="2" t="str">
        <f aca="false">IF(M200="","",IF(M200=0,"—",INDEX(Нормативы!$D$1:$L$1,1,M200)))</f>
        <v/>
      </c>
      <c r="I200" s="7" t="str">
        <f aca="false">IF(M200="","",IF(M200=0,"",IF(INT(ROUND(INDEX(Нормативы!$D$2:$L$71,L200,M200)*100,0)/6000)&gt;0,INT(ROUND(INDEX(Нормативы!$D$2:$L$71,L200,M200)*100,0)/6000)&amp;":"&amp;RIGHT("0"&amp;INT(MOD(ROUND(INDEX(Нормативы!$D$2:$L$71,L200,M200)*100,0),6000)/100),2),INT(MOD(ROUND(INDEX(Нормативы!$D$2:$L$71,L200,M200)*100,0),6000)/100))&amp;"."&amp;RIGHT("0"&amp;MOD(ROUND(INDEX(Нормативы!$D$2:$L$71,L200,M200)*100,0),100),2)))</f>
        <v/>
      </c>
      <c r="J200" s="12" t="str">
        <f aca="false">IF(D200="","",SUMIFS('Базовые времена'!$D$2:$D$71,'Базовые времена'!$A$2:$A$71,B200,'Базовые времена'!$B$2:$B$71,C200,'Базовые времена'!$C$2:$C$71,D200))</f>
        <v/>
      </c>
      <c r="K200" s="12" t="str">
        <f aca="false">IF(E200="","",IF(ISNUMBER(E200),IF(E200&lt;1,E200*86400,E200),IFERROR(IF(ISNUMBER(FIND(":",SUBSTITUTE(TRIM(E200),",","."))),VALUE(LEFT(SUBSTITUTE(TRIM(E200),",","."),FIND(":",SUBSTITUTE(TRIM(E200),",","."))-1))*60+_xlfn.NUMBERVALUE(MID(SUBSTITUTE(TRIM(E200),",","."),FIND(":",SUBSTITUTE(TRIM(E200),",","."))+1,99),"."),_xlfn.NUMBERVALUE(SUBSTITUTE(TRIM(E200),",","."),".")),0)))</f>
        <v/>
      </c>
      <c r="L200" s="3" t="str">
        <f aca="false">IF(OR(D200="",N(K200)&lt;=0),"",IFERROR(MATCH(B200&amp;"|"&amp;C200&amp;"|"&amp;D200,Нормативы!$M$2:$M$71,0),""))</f>
        <v/>
      </c>
      <c r="M200" s="3" t="str">
        <f aca="false">IF(L200="","",SUMPRODUCT((INDEX(Нормативы!$D$2:$L$71,L200,0)&lt;K200)*ISNUMBER(INDEX(Нормативы!$D$2:$L$71,L200,0))))</f>
        <v/>
      </c>
    </row>
    <row r="201" customFormat="false" ht="15" hidden="false" customHeight="false" outlineLevel="0" collapsed="false">
      <c r="A201" s="5"/>
      <c r="B201" s="5"/>
      <c r="C201" s="5"/>
      <c r="D201" s="5"/>
      <c r="E201" s="14"/>
      <c r="F201" s="4" t="str">
        <f aca="false">IF(OR(J201="",K201="",N(J201)=0,N(K201)&lt;=0),"",ROUNDDOWN(1000*(J201/K201)^3,0))</f>
        <v/>
      </c>
      <c r="G201" s="4" t="str">
        <f aca="false">IF(M201="","",IF(M201+1&gt;COUNT(INDEX(Нормативы!$D$2:$L$71,L201,0)),"Разряда нет",INDEX(Нормативы!$D$1:$L$1,1,M201+1)))</f>
        <v/>
      </c>
      <c r="H201" s="2" t="str">
        <f aca="false">IF(M201="","",IF(M201=0,"—",INDEX(Нормативы!$D$1:$L$1,1,M201)))</f>
        <v/>
      </c>
      <c r="I201" s="7" t="str">
        <f aca="false">IF(M201="","",IF(M201=0,"",IF(INT(ROUND(INDEX(Нормативы!$D$2:$L$71,L201,M201)*100,0)/6000)&gt;0,INT(ROUND(INDEX(Нормативы!$D$2:$L$71,L201,M201)*100,0)/6000)&amp;":"&amp;RIGHT("0"&amp;INT(MOD(ROUND(INDEX(Нормативы!$D$2:$L$71,L201,M201)*100,0),6000)/100),2),INT(MOD(ROUND(INDEX(Нормативы!$D$2:$L$71,L201,M201)*100,0),6000)/100))&amp;"."&amp;RIGHT("0"&amp;MOD(ROUND(INDEX(Нормативы!$D$2:$L$71,L201,M201)*100,0),100),2)))</f>
        <v/>
      </c>
      <c r="J201" s="12" t="str">
        <f aca="false">IF(D201="","",SUMIFS('Базовые времена'!$D$2:$D$71,'Базовые времена'!$A$2:$A$71,B201,'Базовые времена'!$B$2:$B$71,C201,'Базовые времена'!$C$2:$C$71,D201))</f>
        <v/>
      </c>
      <c r="K201" s="12" t="str">
        <f aca="false">IF(E201="","",IF(ISNUMBER(E201),IF(E201&lt;1,E201*86400,E201),IFERROR(IF(ISNUMBER(FIND(":",SUBSTITUTE(TRIM(E201),",","."))),VALUE(LEFT(SUBSTITUTE(TRIM(E201),",","."),FIND(":",SUBSTITUTE(TRIM(E201),",","."))-1))*60+_xlfn.NUMBERVALUE(MID(SUBSTITUTE(TRIM(E201),",","."),FIND(":",SUBSTITUTE(TRIM(E201),",","."))+1,99),"."),_xlfn.NUMBERVALUE(SUBSTITUTE(TRIM(E201),",","."),".")),0)))</f>
        <v/>
      </c>
      <c r="L201" s="3" t="str">
        <f aca="false">IF(OR(D201="",N(K201)&lt;=0),"",IFERROR(MATCH(B201&amp;"|"&amp;C201&amp;"|"&amp;D201,Нормативы!$M$2:$M$71,0),""))</f>
        <v/>
      </c>
      <c r="M201" s="3" t="str">
        <f aca="false">IF(L201="","",SUMPRODUCT((INDEX(Нормативы!$D$2:$L$71,L201,0)&lt;K201)*ISNUMBER(INDEX(Нормативы!$D$2:$L$71,L201,0))))</f>
        <v/>
      </c>
    </row>
    <row r="202" customFormat="false" ht="15" hidden="false" customHeight="false" outlineLevel="0" collapsed="false">
      <c r="A202" s="5"/>
      <c r="B202" s="5"/>
      <c r="C202" s="5"/>
      <c r="D202" s="5"/>
      <c r="E202" s="14"/>
      <c r="F202" s="4" t="str">
        <f aca="false">IF(OR(J202="",K202="",N(J202)=0,N(K202)&lt;=0),"",ROUNDDOWN(1000*(J202/K202)^3,0))</f>
        <v/>
      </c>
      <c r="G202" s="4" t="str">
        <f aca="false">IF(M202="","",IF(M202+1&gt;COUNT(INDEX(Нормативы!$D$2:$L$71,L202,0)),"Разряда нет",INDEX(Нормативы!$D$1:$L$1,1,M202+1)))</f>
        <v/>
      </c>
      <c r="H202" s="2" t="str">
        <f aca="false">IF(M202="","",IF(M202=0,"—",INDEX(Нормативы!$D$1:$L$1,1,M202)))</f>
        <v/>
      </c>
      <c r="I202" s="7" t="str">
        <f aca="false">IF(M202="","",IF(M202=0,"",IF(INT(ROUND(INDEX(Нормативы!$D$2:$L$71,L202,M202)*100,0)/6000)&gt;0,INT(ROUND(INDEX(Нормативы!$D$2:$L$71,L202,M202)*100,0)/6000)&amp;":"&amp;RIGHT("0"&amp;INT(MOD(ROUND(INDEX(Нормативы!$D$2:$L$71,L202,M202)*100,0),6000)/100),2),INT(MOD(ROUND(INDEX(Нормативы!$D$2:$L$71,L202,M202)*100,0),6000)/100))&amp;"."&amp;RIGHT("0"&amp;MOD(ROUND(INDEX(Нормативы!$D$2:$L$71,L202,M202)*100,0),100),2)))</f>
        <v/>
      </c>
      <c r="J202" s="12" t="str">
        <f aca="false">IF(D202="","",SUMIFS('Базовые времена'!$D$2:$D$71,'Базовые времена'!$A$2:$A$71,B202,'Базовые времена'!$B$2:$B$71,C202,'Базовые времена'!$C$2:$C$71,D202))</f>
        <v/>
      </c>
      <c r="K202" s="12" t="str">
        <f aca="false">IF(E202="","",IF(ISNUMBER(E202),IF(E202&lt;1,E202*86400,E202),IFERROR(IF(ISNUMBER(FIND(":",SUBSTITUTE(TRIM(E202),",","."))),VALUE(LEFT(SUBSTITUTE(TRIM(E202),",","."),FIND(":",SUBSTITUTE(TRIM(E202),",","."))-1))*60+_xlfn.NUMBERVALUE(MID(SUBSTITUTE(TRIM(E202),",","."),FIND(":",SUBSTITUTE(TRIM(E202),",","."))+1,99),"."),_xlfn.NUMBERVALUE(SUBSTITUTE(TRIM(E202),",","."),".")),0)))</f>
        <v/>
      </c>
      <c r="L202" s="3" t="str">
        <f aca="false">IF(OR(D202="",N(K202)&lt;=0),"",IFERROR(MATCH(B202&amp;"|"&amp;C202&amp;"|"&amp;D202,Нормативы!$M$2:$M$71,0),""))</f>
        <v/>
      </c>
      <c r="M202" s="3" t="str">
        <f aca="false">IF(L202="","",SUMPRODUCT((INDEX(Нормативы!$D$2:$L$71,L202,0)&lt;K202)*ISNUMBER(INDEX(Нормативы!$D$2:$L$71,L202,0))))</f>
        <v/>
      </c>
    </row>
    <row r="203" customFormat="false" ht="15" hidden="false" customHeight="false" outlineLevel="0" collapsed="false">
      <c r="A203" s="5"/>
      <c r="B203" s="5"/>
      <c r="C203" s="5"/>
      <c r="D203" s="5"/>
      <c r="E203" s="14"/>
      <c r="F203" s="4" t="str">
        <f aca="false">IF(OR(J203="",K203="",N(J203)=0,N(K203)&lt;=0),"",ROUNDDOWN(1000*(J203/K203)^3,0))</f>
        <v/>
      </c>
      <c r="G203" s="4" t="str">
        <f aca="false">IF(M203="","",IF(M203+1&gt;COUNT(INDEX(Нормативы!$D$2:$L$71,L203,0)),"Разряда нет",INDEX(Нормативы!$D$1:$L$1,1,M203+1)))</f>
        <v/>
      </c>
      <c r="H203" s="2" t="str">
        <f aca="false">IF(M203="","",IF(M203=0,"—",INDEX(Нормативы!$D$1:$L$1,1,M203)))</f>
        <v/>
      </c>
      <c r="I203" s="7" t="str">
        <f aca="false">IF(M203="","",IF(M203=0,"",IF(INT(ROUND(INDEX(Нормативы!$D$2:$L$71,L203,M203)*100,0)/6000)&gt;0,INT(ROUND(INDEX(Нормативы!$D$2:$L$71,L203,M203)*100,0)/6000)&amp;":"&amp;RIGHT("0"&amp;INT(MOD(ROUND(INDEX(Нормативы!$D$2:$L$71,L203,M203)*100,0),6000)/100),2),INT(MOD(ROUND(INDEX(Нормативы!$D$2:$L$71,L203,M203)*100,0),6000)/100))&amp;"."&amp;RIGHT("0"&amp;MOD(ROUND(INDEX(Нормативы!$D$2:$L$71,L203,M203)*100,0),100),2)))</f>
        <v/>
      </c>
      <c r="J203" s="12" t="str">
        <f aca="false">IF(D203="","",SUMIFS('Базовые времена'!$D$2:$D$71,'Базовые времена'!$A$2:$A$71,B203,'Базовые времена'!$B$2:$B$71,C203,'Базовые времена'!$C$2:$C$71,D203))</f>
        <v/>
      </c>
      <c r="K203" s="12" t="str">
        <f aca="false">IF(E203="","",IF(ISNUMBER(E203),IF(E203&lt;1,E203*86400,E203),IFERROR(IF(ISNUMBER(FIND(":",SUBSTITUTE(TRIM(E203),",","."))),VALUE(LEFT(SUBSTITUTE(TRIM(E203),",","."),FIND(":",SUBSTITUTE(TRIM(E203),",","."))-1))*60+_xlfn.NUMBERVALUE(MID(SUBSTITUTE(TRIM(E203),",","."),FIND(":",SUBSTITUTE(TRIM(E203),",","."))+1,99),"."),_xlfn.NUMBERVALUE(SUBSTITUTE(TRIM(E203),",","."),".")),0)))</f>
        <v/>
      </c>
      <c r="L203" s="3" t="str">
        <f aca="false">IF(OR(D203="",N(K203)&lt;=0),"",IFERROR(MATCH(B203&amp;"|"&amp;C203&amp;"|"&amp;D203,Нормативы!$M$2:$M$71,0),""))</f>
        <v/>
      </c>
      <c r="M203" s="3" t="str">
        <f aca="false">IF(L203="","",SUMPRODUCT((INDEX(Нормативы!$D$2:$L$71,L203,0)&lt;K203)*ISNUMBER(INDEX(Нормативы!$D$2:$L$71,L203,0))))</f>
        <v/>
      </c>
    </row>
    <row r="204" customFormat="false" ht="15" hidden="false" customHeight="false" outlineLevel="0" collapsed="false">
      <c r="A204" s="5"/>
      <c r="B204" s="5"/>
      <c r="C204" s="5"/>
      <c r="D204" s="5"/>
      <c r="E204" s="14"/>
      <c r="F204" s="4" t="str">
        <f aca="false">IF(OR(J204="",K204="",N(J204)=0,N(K204)&lt;=0),"",ROUNDDOWN(1000*(J204/K204)^3,0))</f>
        <v/>
      </c>
      <c r="G204" s="4" t="str">
        <f aca="false">IF(M204="","",IF(M204+1&gt;COUNT(INDEX(Нормативы!$D$2:$L$71,L204,0)),"Разряда нет",INDEX(Нормативы!$D$1:$L$1,1,M204+1)))</f>
        <v/>
      </c>
      <c r="H204" s="2" t="str">
        <f aca="false">IF(M204="","",IF(M204=0,"—",INDEX(Нормативы!$D$1:$L$1,1,M204)))</f>
        <v/>
      </c>
      <c r="I204" s="7" t="str">
        <f aca="false">IF(M204="","",IF(M204=0,"",IF(INT(ROUND(INDEX(Нормативы!$D$2:$L$71,L204,M204)*100,0)/6000)&gt;0,INT(ROUND(INDEX(Нормативы!$D$2:$L$71,L204,M204)*100,0)/6000)&amp;":"&amp;RIGHT("0"&amp;INT(MOD(ROUND(INDEX(Нормативы!$D$2:$L$71,L204,M204)*100,0),6000)/100),2),INT(MOD(ROUND(INDEX(Нормативы!$D$2:$L$71,L204,M204)*100,0),6000)/100))&amp;"."&amp;RIGHT("0"&amp;MOD(ROUND(INDEX(Нормативы!$D$2:$L$71,L204,M204)*100,0),100),2)))</f>
        <v/>
      </c>
      <c r="J204" s="12" t="str">
        <f aca="false">IF(D204="","",SUMIFS('Базовые времена'!$D$2:$D$71,'Базовые времена'!$A$2:$A$71,B204,'Базовые времена'!$B$2:$B$71,C204,'Базовые времена'!$C$2:$C$71,D204))</f>
        <v/>
      </c>
      <c r="K204" s="12" t="str">
        <f aca="false">IF(E204="","",IF(ISNUMBER(E204),IF(E204&lt;1,E204*86400,E204),IFERROR(IF(ISNUMBER(FIND(":",SUBSTITUTE(TRIM(E204),",","."))),VALUE(LEFT(SUBSTITUTE(TRIM(E204),",","."),FIND(":",SUBSTITUTE(TRIM(E204),",","."))-1))*60+_xlfn.NUMBERVALUE(MID(SUBSTITUTE(TRIM(E204),",","."),FIND(":",SUBSTITUTE(TRIM(E204),",","."))+1,99),"."),_xlfn.NUMBERVALUE(SUBSTITUTE(TRIM(E204),",","."),".")),0)))</f>
        <v/>
      </c>
      <c r="L204" s="3" t="str">
        <f aca="false">IF(OR(D204="",N(K204)&lt;=0),"",IFERROR(MATCH(B204&amp;"|"&amp;C204&amp;"|"&amp;D204,Нормативы!$M$2:$M$71,0),""))</f>
        <v/>
      </c>
      <c r="M204" s="3" t="str">
        <f aca="false">IF(L204="","",SUMPRODUCT((INDEX(Нормативы!$D$2:$L$71,L204,0)&lt;K204)*ISNUMBER(INDEX(Нормативы!$D$2:$L$71,L204,0))))</f>
        <v/>
      </c>
    </row>
    <row r="205" customFormat="false" ht="15" hidden="false" customHeight="false" outlineLevel="0" collapsed="false">
      <c r="A205" s="5"/>
      <c r="B205" s="5"/>
      <c r="C205" s="5"/>
      <c r="D205" s="5"/>
      <c r="E205" s="14"/>
      <c r="F205" s="4" t="str">
        <f aca="false">IF(OR(J205="",K205="",N(J205)=0,N(K205)&lt;=0),"",ROUNDDOWN(1000*(J205/K205)^3,0))</f>
        <v/>
      </c>
      <c r="G205" s="4" t="str">
        <f aca="false">IF(M205="","",IF(M205+1&gt;COUNT(INDEX(Нормативы!$D$2:$L$71,L205,0)),"Разряда нет",INDEX(Нормативы!$D$1:$L$1,1,M205+1)))</f>
        <v/>
      </c>
      <c r="H205" s="2" t="str">
        <f aca="false">IF(M205="","",IF(M205=0,"—",INDEX(Нормативы!$D$1:$L$1,1,M205)))</f>
        <v/>
      </c>
      <c r="I205" s="7" t="str">
        <f aca="false">IF(M205="","",IF(M205=0,"",IF(INT(ROUND(INDEX(Нормативы!$D$2:$L$71,L205,M205)*100,0)/6000)&gt;0,INT(ROUND(INDEX(Нормативы!$D$2:$L$71,L205,M205)*100,0)/6000)&amp;":"&amp;RIGHT("0"&amp;INT(MOD(ROUND(INDEX(Нормативы!$D$2:$L$71,L205,M205)*100,0),6000)/100),2),INT(MOD(ROUND(INDEX(Нормативы!$D$2:$L$71,L205,M205)*100,0),6000)/100))&amp;"."&amp;RIGHT("0"&amp;MOD(ROUND(INDEX(Нормативы!$D$2:$L$71,L205,M205)*100,0),100),2)))</f>
        <v/>
      </c>
      <c r="J205" s="12" t="str">
        <f aca="false">IF(D205="","",SUMIFS('Базовые времена'!$D$2:$D$71,'Базовые времена'!$A$2:$A$71,B205,'Базовые времена'!$B$2:$B$71,C205,'Базовые времена'!$C$2:$C$71,D205))</f>
        <v/>
      </c>
      <c r="K205" s="12" t="str">
        <f aca="false">IF(E205="","",IF(ISNUMBER(E205),IF(E205&lt;1,E205*86400,E205),IFERROR(IF(ISNUMBER(FIND(":",SUBSTITUTE(TRIM(E205),",","."))),VALUE(LEFT(SUBSTITUTE(TRIM(E205),",","."),FIND(":",SUBSTITUTE(TRIM(E205),",","."))-1))*60+_xlfn.NUMBERVALUE(MID(SUBSTITUTE(TRIM(E205),",","."),FIND(":",SUBSTITUTE(TRIM(E205),",","."))+1,99),"."),_xlfn.NUMBERVALUE(SUBSTITUTE(TRIM(E205),",","."),".")),0)))</f>
        <v/>
      </c>
      <c r="L205" s="3" t="str">
        <f aca="false">IF(OR(D205="",N(K205)&lt;=0),"",IFERROR(MATCH(B205&amp;"|"&amp;C205&amp;"|"&amp;D205,Нормативы!$M$2:$M$71,0),""))</f>
        <v/>
      </c>
      <c r="M205" s="3" t="str">
        <f aca="false">IF(L205="","",SUMPRODUCT((INDEX(Нормативы!$D$2:$L$71,L205,0)&lt;K205)*ISNUMBER(INDEX(Нормативы!$D$2:$L$71,L205,0))))</f>
        <v/>
      </c>
    </row>
    <row r="206" customFormat="false" ht="15" hidden="false" customHeight="false" outlineLevel="0" collapsed="false">
      <c r="A206" s="5"/>
      <c r="B206" s="5"/>
      <c r="C206" s="5"/>
      <c r="D206" s="5"/>
      <c r="E206" s="14"/>
      <c r="F206" s="4" t="str">
        <f aca="false">IF(OR(J206="",K206="",N(J206)=0,N(K206)&lt;=0),"",ROUNDDOWN(1000*(J206/K206)^3,0))</f>
        <v/>
      </c>
      <c r="G206" s="4" t="str">
        <f aca="false">IF(M206="","",IF(M206+1&gt;COUNT(INDEX(Нормативы!$D$2:$L$71,L206,0)),"Разряда нет",INDEX(Нормативы!$D$1:$L$1,1,M206+1)))</f>
        <v/>
      </c>
      <c r="H206" s="2" t="str">
        <f aca="false">IF(M206="","",IF(M206=0,"—",INDEX(Нормативы!$D$1:$L$1,1,M206)))</f>
        <v/>
      </c>
      <c r="I206" s="7" t="str">
        <f aca="false">IF(M206="","",IF(M206=0,"",IF(INT(ROUND(INDEX(Нормативы!$D$2:$L$71,L206,M206)*100,0)/6000)&gt;0,INT(ROUND(INDEX(Нормативы!$D$2:$L$71,L206,M206)*100,0)/6000)&amp;":"&amp;RIGHT("0"&amp;INT(MOD(ROUND(INDEX(Нормативы!$D$2:$L$71,L206,M206)*100,0),6000)/100),2),INT(MOD(ROUND(INDEX(Нормативы!$D$2:$L$71,L206,M206)*100,0),6000)/100))&amp;"."&amp;RIGHT("0"&amp;MOD(ROUND(INDEX(Нормативы!$D$2:$L$71,L206,M206)*100,0),100),2)))</f>
        <v/>
      </c>
      <c r="J206" s="12" t="str">
        <f aca="false">IF(D206="","",SUMIFS('Базовые времена'!$D$2:$D$71,'Базовые времена'!$A$2:$A$71,B206,'Базовые времена'!$B$2:$B$71,C206,'Базовые времена'!$C$2:$C$71,D206))</f>
        <v/>
      </c>
      <c r="K206" s="12" t="str">
        <f aca="false">IF(E206="","",IF(ISNUMBER(E206),IF(E206&lt;1,E206*86400,E206),IFERROR(IF(ISNUMBER(FIND(":",SUBSTITUTE(TRIM(E206),",","."))),VALUE(LEFT(SUBSTITUTE(TRIM(E206),",","."),FIND(":",SUBSTITUTE(TRIM(E206),",","."))-1))*60+_xlfn.NUMBERVALUE(MID(SUBSTITUTE(TRIM(E206),",","."),FIND(":",SUBSTITUTE(TRIM(E206),",","."))+1,99),"."),_xlfn.NUMBERVALUE(SUBSTITUTE(TRIM(E206),",","."),".")),0)))</f>
        <v/>
      </c>
      <c r="L206" s="3" t="str">
        <f aca="false">IF(OR(D206="",N(K206)&lt;=0),"",IFERROR(MATCH(B206&amp;"|"&amp;C206&amp;"|"&amp;D206,Нормативы!$M$2:$M$71,0),""))</f>
        <v/>
      </c>
      <c r="M206" s="3" t="str">
        <f aca="false">IF(L206="","",SUMPRODUCT((INDEX(Нормативы!$D$2:$L$71,L206,0)&lt;K206)*ISNUMBER(INDEX(Нормативы!$D$2:$L$71,L206,0))))</f>
        <v/>
      </c>
    </row>
    <row r="207" customFormat="false" ht="15" hidden="false" customHeight="false" outlineLevel="0" collapsed="false">
      <c r="A207" s="5"/>
      <c r="B207" s="5"/>
      <c r="C207" s="5"/>
      <c r="D207" s="5"/>
      <c r="E207" s="14"/>
      <c r="F207" s="4" t="str">
        <f aca="false">IF(OR(J207="",K207="",N(J207)=0,N(K207)&lt;=0),"",ROUNDDOWN(1000*(J207/K207)^3,0))</f>
        <v/>
      </c>
      <c r="G207" s="4" t="str">
        <f aca="false">IF(M207="","",IF(M207+1&gt;COUNT(INDEX(Нормативы!$D$2:$L$71,L207,0)),"Разряда нет",INDEX(Нормативы!$D$1:$L$1,1,M207+1)))</f>
        <v/>
      </c>
      <c r="H207" s="2" t="str">
        <f aca="false">IF(M207="","",IF(M207=0,"—",INDEX(Нормативы!$D$1:$L$1,1,M207)))</f>
        <v/>
      </c>
      <c r="I207" s="7" t="str">
        <f aca="false">IF(M207="","",IF(M207=0,"",IF(INT(ROUND(INDEX(Нормативы!$D$2:$L$71,L207,M207)*100,0)/6000)&gt;0,INT(ROUND(INDEX(Нормативы!$D$2:$L$71,L207,M207)*100,0)/6000)&amp;":"&amp;RIGHT("0"&amp;INT(MOD(ROUND(INDEX(Нормативы!$D$2:$L$71,L207,M207)*100,0),6000)/100),2),INT(MOD(ROUND(INDEX(Нормативы!$D$2:$L$71,L207,M207)*100,0),6000)/100))&amp;"."&amp;RIGHT("0"&amp;MOD(ROUND(INDEX(Нормативы!$D$2:$L$71,L207,M207)*100,0),100),2)))</f>
        <v/>
      </c>
      <c r="J207" s="12" t="str">
        <f aca="false">IF(D207="","",SUMIFS('Базовые времена'!$D$2:$D$71,'Базовые времена'!$A$2:$A$71,B207,'Базовые времена'!$B$2:$B$71,C207,'Базовые времена'!$C$2:$C$71,D207))</f>
        <v/>
      </c>
      <c r="K207" s="12" t="str">
        <f aca="false">IF(E207="","",IF(ISNUMBER(E207),IF(E207&lt;1,E207*86400,E207),IFERROR(IF(ISNUMBER(FIND(":",SUBSTITUTE(TRIM(E207),",","."))),VALUE(LEFT(SUBSTITUTE(TRIM(E207),",","."),FIND(":",SUBSTITUTE(TRIM(E207),",","."))-1))*60+_xlfn.NUMBERVALUE(MID(SUBSTITUTE(TRIM(E207),",","."),FIND(":",SUBSTITUTE(TRIM(E207),",","."))+1,99),"."),_xlfn.NUMBERVALUE(SUBSTITUTE(TRIM(E207),",","."),".")),0)))</f>
        <v/>
      </c>
      <c r="L207" s="3" t="str">
        <f aca="false">IF(OR(D207="",N(K207)&lt;=0),"",IFERROR(MATCH(B207&amp;"|"&amp;C207&amp;"|"&amp;D207,Нормативы!$M$2:$M$71,0),""))</f>
        <v/>
      </c>
      <c r="M207" s="3" t="str">
        <f aca="false">IF(L207="","",SUMPRODUCT((INDEX(Нормативы!$D$2:$L$71,L207,0)&lt;K207)*ISNUMBER(INDEX(Нормативы!$D$2:$L$71,L207,0))))</f>
        <v/>
      </c>
    </row>
    <row r="208" customFormat="false" ht="15" hidden="false" customHeight="false" outlineLevel="0" collapsed="false">
      <c r="A208" s="5"/>
      <c r="B208" s="5"/>
      <c r="C208" s="5"/>
      <c r="D208" s="5"/>
      <c r="E208" s="14"/>
      <c r="F208" s="4" t="str">
        <f aca="false">IF(OR(J208="",K208="",N(J208)=0,N(K208)&lt;=0),"",ROUNDDOWN(1000*(J208/K208)^3,0))</f>
        <v/>
      </c>
      <c r="G208" s="4" t="str">
        <f aca="false">IF(M208="","",IF(M208+1&gt;COUNT(INDEX(Нормативы!$D$2:$L$71,L208,0)),"Разряда нет",INDEX(Нормативы!$D$1:$L$1,1,M208+1)))</f>
        <v/>
      </c>
      <c r="H208" s="2" t="str">
        <f aca="false">IF(M208="","",IF(M208=0,"—",INDEX(Нормативы!$D$1:$L$1,1,M208)))</f>
        <v/>
      </c>
      <c r="I208" s="7" t="str">
        <f aca="false">IF(M208="","",IF(M208=0,"",IF(INT(ROUND(INDEX(Нормативы!$D$2:$L$71,L208,M208)*100,0)/6000)&gt;0,INT(ROUND(INDEX(Нормативы!$D$2:$L$71,L208,M208)*100,0)/6000)&amp;":"&amp;RIGHT("0"&amp;INT(MOD(ROUND(INDEX(Нормативы!$D$2:$L$71,L208,M208)*100,0),6000)/100),2),INT(MOD(ROUND(INDEX(Нормативы!$D$2:$L$71,L208,M208)*100,0),6000)/100))&amp;"."&amp;RIGHT("0"&amp;MOD(ROUND(INDEX(Нормативы!$D$2:$L$71,L208,M208)*100,0),100),2)))</f>
        <v/>
      </c>
      <c r="J208" s="12" t="str">
        <f aca="false">IF(D208="","",SUMIFS('Базовые времена'!$D$2:$D$71,'Базовые времена'!$A$2:$A$71,B208,'Базовые времена'!$B$2:$B$71,C208,'Базовые времена'!$C$2:$C$71,D208))</f>
        <v/>
      </c>
      <c r="K208" s="12" t="str">
        <f aca="false">IF(E208="","",IF(ISNUMBER(E208),IF(E208&lt;1,E208*86400,E208),IFERROR(IF(ISNUMBER(FIND(":",SUBSTITUTE(TRIM(E208),",","."))),VALUE(LEFT(SUBSTITUTE(TRIM(E208),",","."),FIND(":",SUBSTITUTE(TRIM(E208),",","."))-1))*60+_xlfn.NUMBERVALUE(MID(SUBSTITUTE(TRIM(E208),",","."),FIND(":",SUBSTITUTE(TRIM(E208),",","."))+1,99),"."),_xlfn.NUMBERVALUE(SUBSTITUTE(TRIM(E208),",","."),".")),0)))</f>
        <v/>
      </c>
      <c r="L208" s="3" t="str">
        <f aca="false">IF(OR(D208="",N(K208)&lt;=0),"",IFERROR(MATCH(B208&amp;"|"&amp;C208&amp;"|"&amp;D208,Нормативы!$M$2:$M$71,0),""))</f>
        <v/>
      </c>
      <c r="M208" s="3" t="str">
        <f aca="false">IF(L208="","",SUMPRODUCT((INDEX(Нормативы!$D$2:$L$71,L208,0)&lt;K208)*ISNUMBER(INDEX(Нормативы!$D$2:$L$71,L208,0))))</f>
        <v/>
      </c>
    </row>
    <row r="209" customFormat="false" ht="15" hidden="false" customHeight="false" outlineLevel="0" collapsed="false">
      <c r="A209" s="5"/>
      <c r="B209" s="5"/>
      <c r="C209" s="5"/>
      <c r="D209" s="5"/>
      <c r="E209" s="14"/>
      <c r="F209" s="4" t="str">
        <f aca="false">IF(OR(J209="",K209="",N(J209)=0,N(K209)&lt;=0),"",ROUNDDOWN(1000*(J209/K209)^3,0))</f>
        <v/>
      </c>
      <c r="G209" s="4" t="str">
        <f aca="false">IF(M209="","",IF(M209+1&gt;COUNT(INDEX(Нормативы!$D$2:$L$71,L209,0)),"Разряда нет",INDEX(Нормативы!$D$1:$L$1,1,M209+1)))</f>
        <v/>
      </c>
      <c r="H209" s="2" t="str">
        <f aca="false">IF(M209="","",IF(M209=0,"—",INDEX(Нормативы!$D$1:$L$1,1,M209)))</f>
        <v/>
      </c>
      <c r="I209" s="7" t="str">
        <f aca="false">IF(M209="","",IF(M209=0,"",IF(INT(ROUND(INDEX(Нормативы!$D$2:$L$71,L209,M209)*100,0)/6000)&gt;0,INT(ROUND(INDEX(Нормативы!$D$2:$L$71,L209,M209)*100,0)/6000)&amp;":"&amp;RIGHT("0"&amp;INT(MOD(ROUND(INDEX(Нормативы!$D$2:$L$71,L209,M209)*100,0),6000)/100),2),INT(MOD(ROUND(INDEX(Нормативы!$D$2:$L$71,L209,M209)*100,0),6000)/100))&amp;"."&amp;RIGHT("0"&amp;MOD(ROUND(INDEX(Нормативы!$D$2:$L$71,L209,M209)*100,0),100),2)))</f>
        <v/>
      </c>
      <c r="J209" s="12" t="str">
        <f aca="false">IF(D209="","",SUMIFS('Базовые времена'!$D$2:$D$71,'Базовые времена'!$A$2:$A$71,B209,'Базовые времена'!$B$2:$B$71,C209,'Базовые времена'!$C$2:$C$71,D209))</f>
        <v/>
      </c>
      <c r="K209" s="12" t="str">
        <f aca="false">IF(E209="","",IF(ISNUMBER(E209),IF(E209&lt;1,E209*86400,E209),IFERROR(IF(ISNUMBER(FIND(":",SUBSTITUTE(TRIM(E209),",","."))),VALUE(LEFT(SUBSTITUTE(TRIM(E209),",","."),FIND(":",SUBSTITUTE(TRIM(E209),",","."))-1))*60+_xlfn.NUMBERVALUE(MID(SUBSTITUTE(TRIM(E209),",","."),FIND(":",SUBSTITUTE(TRIM(E209),",","."))+1,99),"."),_xlfn.NUMBERVALUE(SUBSTITUTE(TRIM(E209),",","."),".")),0)))</f>
        <v/>
      </c>
      <c r="L209" s="3" t="str">
        <f aca="false">IF(OR(D209="",N(K209)&lt;=0),"",IFERROR(MATCH(B209&amp;"|"&amp;C209&amp;"|"&amp;D209,Нормативы!$M$2:$M$71,0),""))</f>
        <v/>
      </c>
      <c r="M209" s="3" t="str">
        <f aca="false">IF(L209="","",SUMPRODUCT((INDEX(Нормативы!$D$2:$L$71,L209,0)&lt;K209)*ISNUMBER(INDEX(Нормативы!$D$2:$L$71,L209,0))))</f>
        <v/>
      </c>
    </row>
    <row r="210" customFormat="false" ht="15" hidden="false" customHeight="false" outlineLevel="0" collapsed="false">
      <c r="A210" s="5"/>
      <c r="B210" s="5"/>
      <c r="C210" s="5"/>
      <c r="D210" s="5"/>
      <c r="E210" s="14"/>
      <c r="F210" s="4" t="str">
        <f aca="false">IF(OR(J210="",K210="",N(J210)=0,N(K210)&lt;=0),"",ROUNDDOWN(1000*(J210/K210)^3,0))</f>
        <v/>
      </c>
      <c r="G210" s="4" t="str">
        <f aca="false">IF(M210="","",IF(M210+1&gt;COUNT(INDEX(Нормативы!$D$2:$L$71,L210,0)),"Разряда нет",INDEX(Нормативы!$D$1:$L$1,1,M210+1)))</f>
        <v/>
      </c>
      <c r="H210" s="2" t="str">
        <f aca="false">IF(M210="","",IF(M210=0,"—",INDEX(Нормативы!$D$1:$L$1,1,M210)))</f>
        <v/>
      </c>
      <c r="I210" s="7" t="str">
        <f aca="false">IF(M210="","",IF(M210=0,"",IF(INT(ROUND(INDEX(Нормативы!$D$2:$L$71,L210,M210)*100,0)/6000)&gt;0,INT(ROUND(INDEX(Нормативы!$D$2:$L$71,L210,M210)*100,0)/6000)&amp;":"&amp;RIGHT("0"&amp;INT(MOD(ROUND(INDEX(Нормативы!$D$2:$L$71,L210,M210)*100,0),6000)/100),2),INT(MOD(ROUND(INDEX(Нормативы!$D$2:$L$71,L210,M210)*100,0),6000)/100))&amp;"."&amp;RIGHT("0"&amp;MOD(ROUND(INDEX(Нормативы!$D$2:$L$71,L210,M210)*100,0),100),2)))</f>
        <v/>
      </c>
      <c r="J210" s="12" t="str">
        <f aca="false">IF(D210="","",SUMIFS('Базовые времена'!$D$2:$D$71,'Базовые времена'!$A$2:$A$71,B210,'Базовые времена'!$B$2:$B$71,C210,'Базовые времена'!$C$2:$C$71,D210))</f>
        <v/>
      </c>
      <c r="K210" s="12" t="str">
        <f aca="false">IF(E210="","",IF(ISNUMBER(E210),IF(E210&lt;1,E210*86400,E210),IFERROR(IF(ISNUMBER(FIND(":",SUBSTITUTE(TRIM(E210),",","."))),VALUE(LEFT(SUBSTITUTE(TRIM(E210),",","."),FIND(":",SUBSTITUTE(TRIM(E210),",","."))-1))*60+_xlfn.NUMBERVALUE(MID(SUBSTITUTE(TRIM(E210),",","."),FIND(":",SUBSTITUTE(TRIM(E210),",","."))+1,99),"."),_xlfn.NUMBERVALUE(SUBSTITUTE(TRIM(E210),",","."),".")),0)))</f>
        <v/>
      </c>
      <c r="L210" s="3" t="str">
        <f aca="false">IF(OR(D210="",N(K210)&lt;=0),"",IFERROR(MATCH(B210&amp;"|"&amp;C210&amp;"|"&amp;D210,Нормативы!$M$2:$M$71,0),""))</f>
        <v/>
      </c>
      <c r="M210" s="3" t="str">
        <f aca="false">IF(L210="","",SUMPRODUCT((INDEX(Нормативы!$D$2:$L$71,L210,0)&lt;K210)*ISNUMBER(INDEX(Нормативы!$D$2:$L$71,L210,0))))</f>
        <v/>
      </c>
    </row>
    <row r="211" customFormat="false" ht="15" hidden="false" customHeight="false" outlineLevel="0" collapsed="false">
      <c r="A211" s="5"/>
      <c r="B211" s="5"/>
      <c r="C211" s="5"/>
      <c r="D211" s="5"/>
      <c r="E211" s="14"/>
      <c r="F211" s="4" t="str">
        <f aca="false">IF(OR(J211="",K211="",N(J211)=0,N(K211)&lt;=0),"",ROUNDDOWN(1000*(J211/K211)^3,0))</f>
        <v/>
      </c>
      <c r="G211" s="4" t="str">
        <f aca="false">IF(M211="","",IF(M211+1&gt;COUNT(INDEX(Нормативы!$D$2:$L$71,L211,0)),"Разряда нет",INDEX(Нормативы!$D$1:$L$1,1,M211+1)))</f>
        <v/>
      </c>
      <c r="H211" s="2" t="str">
        <f aca="false">IF(M211="","",IF(M211=0,"—",INDEX(Нормативы!$D$1:$L$1,1,M211)))</f>
        <v/>
      </c>
      <c r="I211" s="7" t="str">
        <f aca="false">IF(M211="","",IF(M211=0,"",IF(INT(ROUND(INDEX(Нормативы!$D$2:$L$71,L211,M211)*100,0)/6000)&gt;0,INT(ROUND(INDEX(Нормативы!$D$2:$L$71,L211,M211)*100,0)/6000)&amp;":"&amp;RIGHT("0"&amp;INT(MOD(ROUND(INDEX(Нормативы!$D$2:$L$71,L211,M211)*100,0),6000)/100),2),INT(MOD(ROUND(INDEX(Нормативы!$D$2:$L$71,L211,M211)*100,0),6000)/100))&amp;"."&amp;RIGHT("0"&amp;MOD(ROUND(INDEX(Нормативы!$D$2:$L$71,L211,M211)*100,0),100),2)))</f>
        <v/>
      </c>
      <c r="J211" s="12" t="str">
        <f aca="false">IF(D211="","",SUMIFS('Базовые времена'!$D$2:$D$71,'Базовые времена'!$A$2:$A$71,B211,'Базовые времена'!$B$2:$B$71,C211,'Базовые времена'!$C$2:$C$71,D211))</f>
        <v/>
      </c>
      <c r="K211" s="12" t="str">
        <f aca="false">IF(E211="","",IF(ISNUMBER(E211),IF(E211&lt;1,E211*86400,E211),IFERROR(IF(ISNUMBER(FIND(":",SUBSTITUTE(TRIM(E211),",","."))),VALUE(LEFT(SUBSTITUTE(TRIM(E211),",","."),FIND(":",SUBSTITUTE(TRIM(E211),",","."))-1))*60+_xlfn.NUMBERVALUE(MID(SUBSTITUTE(TRIM(E211),",","."),FIND(":",SUBSTITUTE(TRIM(E211),",","."))+1,99),"."),_xlfn.NUMBERVALUE(SUBSTITUTE(TRIM(E211),",","."),".")),0)))</f>
        <v/>
      </c>
      <c r="L211" s="3" t="str">
        <f aca="false">IF(OR(D211="",N(K211)&lt;=0),"",IFERROR(MATCH(B211&amp;"|"&amp;C211&amp;"|"&amp;D211,Нормативы!$M$2:$M$71,0),""))</f>
        <v/>
      </c>
      <c r="M211" s="3" t="str">
        <f aca="false">IF(L211="","",SUMPRODUCT((INDEX(Нормативы!$D$2:$L$71,L211,0)&lt;K211)*ISNUMBER(INDEX(Нормативы!$D$2:$L$71,L211,0))))</f>
        <v/>
      </c>
    </row>
    <row r="212" customFormat="false" ht="15" hidden="false" customHeight="false" outlineLevel="0" collapsed="false">
      <c r="A212" s="5"/>
      <c r="B212" s="5"/>
      <c r="C212" s="5"/>
      <c r="D212" s="5"/>
      <c r="E212" s="14"/>
      <c r="F212" s="4" t="str">
        <f aca="false">IF(OR(J212="",K212="",N(J212)=0,N(K212)&lt;=0),"",ROUNDDOWN(1000*(J212/K212)^3,0))</f>
        <v/>
      </c>
      <c r="G212" s="4" t="str">
        <f aca="false">IF(M212="","",IF(M212+1&gt;COUNT(INDEX(Нормативы!$D$2:$L$71,L212,0)),"Разряда нет",INDEX(Нормативы!$D$1:$L$1,1,M212+1)))</f>
        <v/>
      </c>
      <c r="H212" s="2" t="str">
        <f aca="false">IF(M212="","",IF(M212=0,"—",INDEX(Нормативы!$D$1:$L$1,1,M212)))</f>
        <v/>
      </c>
      <c r="I212" s="7" t="str">
        <f aca="false">IF(M212="","",IF(M212=0,"",IF(INT(ROUND(INDEX(Нормативы!$D$2:$L$71,L212,M212)*100,0)/6000)&gt;0,INT(ROUND(INDEX(Нормативы!$D$2:$L$71,L212,M212)*100,0)/6000)&amp;":"&amp;RIGHT("0"&amp;INT(MOD(ROUND(INDEX(Нормативы!$D$2:$L$71,L212,M212)*100,0),6000)/100),2),INT(MOD(ROUND(INDEX(Нормативы!$D$2:$L$71,L212,M212)*100,0),6000)/100))&amp;"."&amp;RIGHT("0"&amp;MOD(ROUND(INDEX(Нормативы!$D$2:$L$71,L212,M212)*100,0),100),2)))</f>
        <v/>
      </c>
      <c r="J212" s="12" t="str">
        <f aca="false">IF(D212="","",SUMIFS('Базовые времена'!$D$2:$D$71,'Базовые времена'!$A$2:$A$71,B212,'Базовые времена'!$B$2:$B$71,C212,'Базовые времена'!$C$2:$C$71,D212))</f>
        <v/>
      </c>
      <c r="K212" s="12" t="str">
        <f aca="false">IF(E212="","",IF(ISNUMBER(E212),IF(E212&lt;1,E212*86400,E212),IFERROR(IF(ISNUMBER(FIND(":",SUBSTITUTE(TRIM(E212),",","."))),VALUE(LEFT(SUBSTITUTE(TRIM(E212),",","."),FIND(":",SUBSTITUTE(TRIM(E212),",","."))-1))*60+_xlfn.NUMBERVALUE(MID(SUBSTITUTE(TRIM(E212),",","."),FIND(":",SUBSTITUTE(TRIM(E212),",","."))+1,99),"."),_xlfn.NUMBERVALUE(SUBSTITUTE(TRIM(E212),",","."),".")),0)))</f>
        <v/>
      </c>
      <c r="L212" s="3" t="str">
        <f aca="false">IF(OR(D212="",N(K212)&lt;=0),"",IFERROR(MATCH(B212&amp;"|"&amp;C212&amp;"|"&amp;D212,Нормативы!$M$2:$M$71,0),""))</f>
        <v/>
      </c>
      <c r="M212" s="3" t="str">
        <f aca="false">IF(L212="","",SUMPRODUCT((INDEX(Нормативы!$D$2:$L$71,L212,0)&lt;K212)*ISNUMBER(INDEX(Нормативы!$D$2:$L$71,L212,0))))</f>
        <v/>
      </c>
    </row>
    <row r="213" customFormat="false" ht="15" hidden="false" customHeight="false" outlineLevel="0" collapsed="false">
      <c r="A213" s="5"/>
      <c r="B213" s="5"/>
      <c r="C213" s="5"/>
      <c r="D213" s="5"/>
      <c r="E213" s="14"/>
      <c r="F213" s="4" t="str">
        <f aca="false">IF(OR(J213="",K213="",N(J213)=0,N(K213)&lt;=0),"",ROUNDDOWN(1000*(J213/K213)^3,0))</f>
        <v/>
      </c>
      <c r="G213" s="4" t="str">
        <f aca="false">IF(M213="","",IF(M213+1&gt;COUNT(INDEX(Нормативы!$D$2:$L$71,L213,0)),"Разряда нет",INDEX(Нормативы!$D$1:$L$1,1,M213+1)))</f>
        <v/>
      </c>
      <c r="H213" s="2" t="str">
        <f aca="false">IF(M213="","",IF(M213=0,"—",INDEX(Нормативы!$D$1:$L$1,1,M213)))</f>
        <v/>
      </c>
      <c r="I213" s="7" t="str">
        <f aca="false">IF(M213="","",IF(M213=0,"",IF(INT(ROUND(INDEX(Нормативы!$D$2:$L$71,L213,M213)*100,0)/6000)&gt;0,INT(ROUND(INDEX(Нормативы!$D$2:$L$71,L213,M213)*100,0)/6000)&amp;":"&amp;RIGHT("0"&amp;INT(MOD(ROUND(INDEX(Нормативы!$D$2:$L$71,L213,M213)*100,0),6000)/100),2),INT(MOD(ROUND(INDEX(Нормативы!$D$2:$L$71,L213,M213)*100,0),6000)/100))&amp;"."&amp;RIGHT("0"&amp;MOD(ROUND(INDEX(Нормативы!$D$2:$L$71,L213,M213)*100,0),100),2)))</f>
        <v/>
      </c>
      <c r="J213" s="12" t="str">
        <f aca="false">IF(D213="","",SUMIFS('Базовые времена'!$D$2:$D$71,'Базовые времена'!$A$2:$A$71,B213,'Базовые времена'!$B$2:$B$71,C213,'Базовые времена'!$C$2:$C$71,D213))</f>
        <v/>
      </c>
      <c r="K213" s="12" t="str">
        <f aca="false">IF(E213="","",IF(ISNUMBER(E213),IF(E213&lt;1,E213*86400,E213),IFERROR(IF(ISNUMBER(FIND(":",SUBSTITUTE(TRIM(E213),",","."))),VALUE(LEFT(SUBSTITUTE(TRIM(E213),",","."),FIND(":",SUBSTITUTE(TRIM(E213),",","."))-1))*60+_xlfn.NUMBERVALUE(MID(SUBSTITUTE(TRIM(E213),",","."),FIND(":",SUBSTITUTE(TRIM(E213),",","."))+1,99),"."),_xlfn.NUMBERVALUE(SUBSTITUTE(TRIM(E213),",","."),".")),0)))</f>
        <v/>
      </c>
      <c r="L213" s="3" t="str">
        <f aca="false">IF(OR(D213="",N(K213)&lt;=0),"",IFERROR(MATCH(B213&amp;"|"&amp;C213&amp;"|"&amp;D213,Нормативы!$M$2:$M$71,0),""))</f>
        <v/>
      </c>
      <c r="M213" s="3" t="str">
        <f aca="false">IF(L213="","",SUMPRODUCT((INDEX(Нормативы!$D$2:$L$71,L213,0)&lt;K213)*ISNUMBER(INDEX(Нормативы!$D$2:$L$71,L213,0))))</f>
        <v/>
      </c>
    </row>
    <row r="214" customFormat="false" ht="15" hidden="false" customHeight="false" outlineLevel="0" collapsed="false">
      <c r="A214" s="5"/>
      <c r="B214" s="5"/>
      <c r="C214" s="5"/>
      <c r="D214" s="5"/>
      <c r="E214" s="14"/>
      <c r="F214" s="4" t="str">
        <f aca="false">IF(OR(J214="",K214="",N(J214)=0,N(K214)&lt;=0),"",ROUNDDOWN(1000*(J214/K214)^3,0))</f>
        <v/>
      </c>
      <c r="G214" s="4" t="str">
        <f aca="false">IF(M214="","",IF(M214+1&gt;COUNT(INDEX(Нормативы!$D$2:$L$71,L214,0)),"Разряда нет",INDEX(Нормативы!$D$1:$L$1,1,M214+1)))</f>
        <v/>
      </c>
      <c r="H214" s="2" t="str">
        <f aca="false">IF(M214="","",IF(M214=0,"—",INDEX(Нормативы!$D$1:$L$1,1,M214)))</f>
        <v/>
      </c>
      <c r="I214" s="7" t="str">
        <f aca="false">IF(M214="","",IF(M214=0,"",IF(INT(ROUND(INDEX(Нормативы!$D$2:$L$71,L214,M214)*100,0)/6000)&gt;0,INT(ROUND(INDEX(Нормативы!$D$2:$L$71,L214,M214)*100,0)/6000)&amp;":"&amp;RIGHT("0"&amp;INT(MOD(ROUND(INDEX(Нормативы!$D$2:$L$71,L214,M214)*100,0),6000)/100),2),INT(MOD(ROUND(INDEX(Нормативы!$D$2:$L$71,L214,M214)*100,0),6000)/100))&amp;"."&amp;RIGHT("0"&amp;MOD(ROUND(INDEX(Нормативы!$D$2:$L$71,L214,M214)*100,0),100),2)))</f>
        <v/>
      </c>
      <c r="J214" s="12" t="str">
        <f aca="false">IF(D214="","",SUMIFS('Базовые времена'!$D$2:$D$71,'Базовые времена'!$A$2:$A$71,B214,'Базовые времена'!$B$2:$B$71,C214,'Базовые времена'!$C$2:$C$71,D214))</f>
        <v/>
      </c>
      <c r="K214" s="12" t="str">
        <f aca="false">IF(E214="","",IF(ISNUMBER(E214),IF(E214&lt;1,E214*86400,E214),IFERROR(IF(ISNUMBER(FIND(":",SUBSTITUTE(TRIM(E214),",","."))),VALUE(LEFT(SUBSTITUTE(TRIM(E214),",","."),FIND(":",SUBSTITUTE(TRIM(E214),",","."))-1))*60+_xlfn.NUMBERVALUE(MID(SUBSTITUTE(TRIM(E214),",","."),FIND(":",SUBSTITUTE(TRIM(E214),",","."))+1,99),"."),_xlfn.NUMBERVALUE(SUBSTITUTE(TRIM(E214),",","."),".")),0)))</f>
        <v/>
      </c>
      <c r="L214" s="3" t="str">
        <f aca="false">IF(OR(D214="",N(K214)&lt;=0),"",IFERROR(MATCH(B214&amp;"|"&amp;C214&amp;"|"&amp;D214,Нормативы!$M$2:$M$71,0),""))</f>
        <v/>
      </c>
      <c r="M214" s="3" t="str">
        <f aca="false">IF(L214="","",SUMPRODUCT((INDEX(Нормативы!$D$2:$L$71,L214,0)&lt;K214)*ISNUMBER(INDEX(Нормативы!$D$2:$L$71,L214,0))))</f>
        <v/>
      </c>
    </row>
    <row r="215" customFormat="false" ht="15" hidden="false" customHeight="false" outlineLevel="0" collapsed="false">
      <c r="A215" s="5"/>
      <c r="B215" s="5"/>
      <c r="C215" s="5"/>
      <c r="D215" s="5"/>
      <c r="E215" s="14"/>
      <c r="F215" s="4" t="str">
        <f aca="false">IF(OR(J215="",K215="",N(J215)=0,N(K215)&lt;=0),"",ROUNDDOWN(1000*(J215/K215)^3,0))</f>
        <v/>
      </c>
      <c r="G215" s="4" t="str">
        <f aca="false">IF(M215="","",IF(M215+1&gt;COUNT(INDEX(Нормативы!$D$2:$L$71,L215,0)),"Разряда нет",INDEX(Нормативы!$D$1:$L$1,1,M215+1)))</f>
        <v/>
      </c>
      <c r="H215" s="2" t="str">
        <f aca="false">IF(M215="","",IF(M215=0,"—",INDEX(Нормативы!$D$1:$L$1,1,M215)))</f>
        <v/>
      </c>
      <c r="I215" s="7" t="str">
        <f aca="false">IF(M215="","",IF(M215=0,"",IF(INT(ROUND(INDEX(Нормативы!$D$2:$L$71,L215,M215)*100,0)/6000)&gt;0,INT(ROUND(INDEX(Нормативы!$D$2:$L$71,L215,M215)*100,0)/6000)&amp;":"&amp;RIGHT("0"&amp;INT(MOD(ROUND(INDEX(Нормативы!$D$2:$L$71,L215,M215)*100,0),6000)/100),2),INT(MOD(ROUND(INDEX(Нормативы!$D$2:$L$71,L215,M215)*100,0),6000)/100))&amp;"."&amp;RIGHT("0"&amp;MOD(ROUND(INDEX(Нормативы!$D$2:$L$71,L215,M215)*100,0),100),2)))</f>
        <v/>
      </c>
      <c r="J215" s="12" t="str">
        <f aca="false">IF(D215="","",SUMIFS('Базовые времена'!$D$2:$D$71,'Базовые времена'!$A$2:$A$71,B215,'Базовые времена'!$B$2:$B$71,C215,'Базовые времена'!$C$2:$C$71,D215))</f>
        <v/>
      </c>
      <c r="K215" s="12" t="str">
        <f aca="false">IF(E215="","",IF(ISNUMBER(E215),IF(E215&lt;1,E215*86400,E215),IFERROR(IF(ISNUMBER(FIND(":",SUBSTITUTE(TRIM(E215),",","."))),VALUE(LEFT(SUBSTITUTE(TRIM(E215),",","."),FIND(":",SUBSTITUTE(TRIM(E215),",","."))-1))*60+_xlfn.NUMBERVALUE(MID(SUBSTITUTE(TRIM(E215),",","."),FIND(":",SUBSTITUTE(TRIM(E215),",","."))+1,99),"."),_xlfn.NUMBERVALUE(SUBSTITUTE(TRIM(E215),",","."),".")),0)))</f>
        <v/>
      </c>
      <c r="L215" s="3" t="str">
        <f aca="false">IF(OR(D215="",N(K215)&lt;=0),"",IFERROR(MATCH(B215&amp;"|"&amp;C215&amp;"|"&amp;D215,Нормативы!$M$2:$M$71,0),""))</f>
        <v/>
      </c>
      <c r="M215" s="3" t="str">
        <f aca="false">IF(L215="","",SUMPRODUCT((INDEX(Нормативы!$D$2:$L$71,L215,0)&lt;K215)*ISNUMBER(INDEX(Нормативы!$D$2:$L$71,L215,0))))</f>
        <v/>
      </c>
    </row>
    <row r="216" customFormat="false" ht="15" hidden="false" customHeight="false" outlineLevel="0" collapsed="false">
      <c r="A216" s="5"/>
      <c r="B216" s="5"/>
      <c r="C216" s="5"/>
      <c r="D216" s="5"/>
      <c r="E216" s="14"/>
      <c r="F216" s="4" t="str">
        <f aca="false">IF(OR(J216="",K216="",N(J216)=0,N(K216)&lt;=0),"",ROUNDDOWN(1000*(J216/K216)^3,0))</f>
        <v/>
      </c>
      <c r="G216" s="4" t="str">
        <f aca="false">IF(M216="","",IF(M216+1&gt;COUNT(INDEX(Нормативы!$D$2:$L$71,L216,0)),"Разряда нет",INDEX(Нормативы!$D$1:$L$1,1,M216+1)))</f>
        <v/>
      </c>
      <c r="H216" s="2" t="str">
        <f aca="false">IF(M216="","",IF(M216=0,"—",INDEX(Нормативы!$D$1:$L$1,1,M216)))</f>
        <v/>
      </c>
      <c r="I216" s="7" t="str">
        <f aca="false">IF(M216="","",IF(M216=0,"",IF(INT(ROUND(INDEX(Нормативы!$D$2:$L$71,L216,M216)*100,0)/6000)&gt;0,INT(ROUND(INDEX(Нормативы!$D$2:$L$71,L216,M216)*100,0)/6000)&amp;":"&amp;RIGHT("0"&amp;INT(MOD(ROUND(INDEX(Нормативы!$D$2:$L$71,L216,M216)*100,0),6000)/100),2),INT(MOD(ROUND(INDEX(Нормативы!$D$2:$L$71,L216,M216)*100,0),6000)/100))&amp;"."&amp;RIGHT("0"&amp;MOD(ROUND(INDEX(Нормативы!$D$2:$L$71,L216,M216)*100,0),100),2)))</f>
        <v/>
      </c>
      <c r="J216" s="12" t="str">
        <f aca="false">IF(D216="","",SUMIFS('Базовые времена'!$D$2:$D$71,'Базовые времена'!$A$2:$A$71,B216,'Базовые времена'!$B$2:$B$71,C216,'Базовые времена'!$C$2:$C$71,D216))</f>
        <v/>
      </c>
      <c r="K216" s="12" t="str">
        <f aca="false">IF(E216="","",IF(ISNUMBER(E216),IF(E216&lt;1,E216*86400,E216),IFERROR(IF(ISNUMBER(FIND(":",SUBSTITUTE(TRIM(E216),",","."))),VALUE(LEFT(SUBSTITUTE(TRIM(E216),",","."),FIND(":",SUBSTITUTE(TRIM(E216),",","."))-1))*60+_xlfn.NUMBERVALUE(MID(SUBSTITUTE(TRIM(E216),",","."),FIND(":",SUBSTITUTE(TRIM(E216),",","."))+1,99),"."),_xlfn.NUMBERVALUE(SUBSTITUTE(TRIM(E216),",","."),".")),0)))</f>
        <v/>
      </c>
      <c r="L216" s="3" t="str">
        <f aca="false">IF(OR(D216="",N(K216)&lt;=0),"",IFERROR(MATCH(B216&amp;"|"&amp;C216&amp;"|"&amp;D216,Нормативы!$M$2:$M$71,0),""))</f>
        <v/>
      </c>
      <c r="M216" s="3" t="str">
        <f aca="false">IF(L216="","",SUMPRODUCT((INDEX(Нормативы!$D$2:$L$71,L216,0)&lt;K216)*ISNUMBER(INDEX(Нормативы!$D$2:$L$71,L216,0))))</f>
        <v/>
      </c>
    </row>
    <row r="217" customFormat="false" ht="15" hidden="false" customHeight="false" outlineLevel="0" collapsed="false">
      <c r="A217" s="5"/>
      <c r="B217" s="5"/>
      <c r="C217" s="5"/>
      <c r="D217" s="5"/>
      <c r="E217" s="14"/>
      <c r="F217" s="4" t="str">
        <f aca="false">IF(OR(J217="",K217="",N(J217)=0,N(K217)&lt;=0),"",ROUNDDOWN(1000*(J217/K217)^3,0))</f>
        <v/>
      </c>
      <c r="G217" s="4" t="str">
        <f aca="false">IF(M217="","",IF(M217+1&gt;COUNT(INDEX(Нормативы!$D$2:$L$71,L217,0)),"Разряда нет",INDEX(Нормативы!$D$1:$L$1,1,M217+1)))</f>
        <v/>
      </c>
      <c r="H217" s="2" t="str">
        <f aca="false">IF(M217="","",IF(M217=0,"—",INDEX(Нормативы!$D$1:$L$1,1,M217)))</f>
        <v/>
      </c>
      <c r="I217" s="7" t="str">
        <f aca="false">IF(M217="","",IF(M217=0,"",IF(INT(ROUND(INDEX(Нормативы!$D$2:$L$71,L217,M217)*100,0)/6000)&gt;0,INT(ROUND(INDEX(Нормативы!$D$2:$L$71,L217,M217)*100,0)/6000)&amp;":"&amp;RIGHT("0"&amp;INT(MOD(ROUND(INDEX(Нормативы!$D$2:$L$71,L217,M217)*100,0),6000)/100),2),INT(MOD(ROUND(INDEX(Нормативы!$D$2:$L$71,L217,M217)*100,0),6000)/100))&amp;"."&amp;RIGHT("0"&amp;MOD(ROUND(INDEX(Нормативы!$D$2:$L$71,L217,M217)*100,0),100),2)))</f>
        <v/>
      </c>
      <c r="J217" s="12" t="str">
        <f aca="false">IF(D217="","",SUMIFS('Базовые времена'!$D$2:$D$71,'Базовые времена'!$A$2:$A$71,B217,'Базовые времена'!$B$2:$B$71,C217,'Базовые времена'!$C$2:$C$71,D217))</f>
        <v/>
      </c>
      <c r="K217" s="12" t="str">
        <f aca="false">IF(E217="","",IF(ISNUMBER(E217),IF(E217&lt;1,E217*86400,E217),IFERROR(IF(ISNUMBER(FIND(":",SUBSTITUTE(TRIM(E217),",","."))),VALUE(LEFT(SUBSTITUTE(TRIM(E217),",","."),FIND(":",SUBSTITUTE(TRIM(E217),",","."))-1))*60+_xlfn.NUMBERVALUE(MID(SUBSTITUTE(TRIM(E217),",","."),FIND(":",SUBSTITUTE(TRIM(E217),",","."))+1,99),"."),_xlfn.NUMBERVALUE(SUBSTITUTE(TRIM(E217),",","."),".")),0)))</f>
        <v/>
      </c>
      <c r="L217" s="3" t="str">
        <f aca="false">IF(OR(D217="",N(K217)&lt;=0),"",IFERROR(MATCH(B217&amp;"|"&amp;C217&amp;"|"&amp;D217,Нормативы!$M$2:$M$71,0),""))</f>
        <v/>
      </c>
      <c r="M217" s="3" t="str">
        <f aca="false">IF(L217="","",SUMPRODUCT((INDEX(Нормативы!$D$2:$L$71,L217,0)&lt;K217)*ISNUMBER(INDEX(Нормативы!$D$2:$L$71,L217,0))))</f>
        <v/>
      </c>
    </row>
    <row r="218" customFormat="false" ht="15" hidden="false" customHeight="false" outlineLevel="0" collapsed="false">
      <c r="A218" s="5"/>
      <c r="B218" s="5"/>
      <c r="C218" s="5"/>
      <c r="D218" s="5"/>
      <c r="E218" s="14"/>
      <c r="F218" s="4" t="str">
        <f aca="false">IF(OR(J218="",K218="",N(J218)=0,N(K218)&lt;=0),"",ROUNDDOWN(1000*(J218/K218)^3,0))</f>
        <v/>
      </c>
      <c r="G218" s="4" t="str">
        <f aca="false">IF(M218="","",IF(M218+1&gt;COUNT(INDEX(Нормативы!$D$2:$L$71,L218,0)),"Разряда нет",INDEX(Нормативы!$D$1:$L$1,1,M218+1)))</f>
        <v/>
      </c>
      <c r="H218" s="2" t="str">
        <f aca="false">IF(M218="","",IF(M218=0,"—",INDEX(Нормативы!$D$1:$L$1,1,M218)))</f>
        <v/>
      </c>
      <c r="I218" s="7" t="str">
        <f aca="false">IF(M218="","",IF(M218=0,"",IF(INT(ROUND(INDEX(Нормативы!$D$2:$L$71,L218,M218)*100,0)/6000)&gt;0,INT(ROUND(INDEX(Нормативы!$D$2:$L$71,L218,M218)*100,0)/6000)&amp;":"&amp;RIGHT("0"&amp;INT(MOD(ROUND(INDEX(Нормативы!$D$2:$L$71,L218,M218)*100,0),6000)/100),2),INT(MOD(ROUND(INDEX(Нормативы!$D$2:$L$71,L218,M218)*100,0),6000)/100))&amp;"."&amp;RIGHT("0"&amp;MOD(ROUND(INDEX(Нормативы!$D$2:$L$71,L218,M218)*100,0),100),2)))</f>
        <v/>
      </c>
      <c r="J218" s="12" t="str">
        <f aca="false">IF(D218="","",SUMIFS('Базовые времена'!$D$2:$D$71,'Базовые времена'!$A$2:$A$71,B218,'Базовые времена'!$B$2:$B$71,C218,'Базовые времена'!$C$2:$C$71,D218))</f>
        <v/>
      </c>
      <c r="K218" s="12" t="str">
        <f aca="false">IF(E218="","",IF(ISNUMBER(E218),IF(E218&lt;1,E218*86400,E218),IFERROR(IF(ISNUMBER(FIND(":",SUBSTITUTE(TRIM(E218),",","."))),VALUE(LEFT(SUBSTITUTE(TRIM(E218),",","."),FIND(":",SUBSTITUTE(TRIM(E218),",","."))-1))*60+_xlfn.NUMBERVALUE(MID(SUBSTITUTE(TRIM(E218),",","."),FIND(":",SUBSTITUTE(TRIM(E218),",","."))+1,99),"."),_xlfn.NUMBERVALUE(SUBSTITUTE(TRIM(E218),",","."),".")),0)))</f>
        <v/>
      </c>
      <c r="L218" s="3" t="str">
        <f aca="false">IF(OR(D218="",N(K218)&lt;=0),"",IFERROR(MATCH(B218&amp;"|"&amp;C218&amp;"|"&amp;D218,Нормативы!$M$2:$M$71,0),""))</f>
        <v/>
      </c>
      <c r="M218" s="3" t="str">
        <f aca="false">IF(L218="","",SUMPRODUCT((INDEX(Нормативы!$D$2:$L$71,L218,0)&lt;K218)*ISNUMBER(INDEX(Нормативы!$D$2:$L$71,L218,0))))</f>
        <v/>
      </c>
    </row>
    <row r="219" customFormat="false" ht="15" hidden="false" customHeight="false" outlineLevel="0" collapsed="false">
      <c r="A219" s="5"/>
      <c r="B219" s="5"/>
      <c r="C219" s="5"/>
      <c r="D219" s="5"/>
      <c r="E219" s="14"/>
      <c r="F219" s="4" t="str">
        <f aca="false">IF(OR(J219="",K219="",N(J219)=0,N(K219)&lt;=0),"",ROUNDDOWN(1000*(J219/K219)^3,0))</f>
        <v/>
      </c>
      <c r="G219" s="4" t="str">
        <f aca="false">IF(M219="","",IF(M219+1&gt;COUNT(INDEX(Нормативы!$D$2:$L$71,L219,0)),"Разряда нет",INDEX(Нормативы!$D$1:$L$1,1,M219+1)))</f>
        <v/>
      </c>
      <c r="H219" s="2" t="str">
        <f aca="false">IF(M219="","",IF(M219=0,"—",INDEX(Нормативы!$D$1:$L$1,1,M219)))</f>
        <v/>
      </c>
      <c r="I219" s="7" t="str">
        <f aca="false">IF(M219="","",IF(M219=0,"",IF(INT(ROUND(INDEX(Нормативы!$D$2:$L$71,L219,M219)*100,0)/6000)&gt;0,INT(ROUND(INDEX(Нормативы!$D$2:$L$71,L219,M219)*100,0)/6000)&amp;":"&amp;RIGHT("0"&amp;INT(MOD(ROUND(INDEX(Нормативы!$D$2:$L$71,L219,M219)*100,0),6000)/100),2),INT(MOD(ROUND(INDEX(Нормативы!$D$2:$L$71,L219,M219)*100,0),6000)/100))&amp;"."&amp;RIGHT("0"&amp;MOD(ROUND(INDEX(Нормативы!$D$2:$L$71,L219,M219)*100,0),100),2)))</f>
        <v/>
      </c>
      <c r="J219" s="12" t="str">
        <f aca="false">IF(D219="","",SUMIFS('Базовые времена'!$D$2:$D$71,'Базовые времена'!$A$2:$A$71,B219,'Базовые времена'!$B$2:$B$71,C219,'Базовые времена'!$C$2:$C$71,D219))</f>
        <v/>
      </c>
      <c r="K219" s="12" t="str">
        <f aca="false">IF(E219="","",IF(ISNUMBER(E219),IF(E219&lt;1,E219*86400,E219),IFERROR(IF(ISNUMBER(FIND(":",SUBSTITUTE(TRIM(E219),",","."))),VALUE(LEFT(SUBSTITUTE(TRIM(E219),",","."),FIND(":",SUBSTITUTE(TRIM(E219),",","."))-1))*60+_xlfn.NUMBERVALUE(MID(SUBSTITUTE(TRIM(E219),",","."),FIND(":",SUBSTITUTE(TRIM(E219),",","."))+1,99),"."),_xlfn.NUMBERVALUE(SUBSTITUTE(TRIM(E219),",","."),".")),0)))</f>
        <v/>
      </c>
      <c r="L219" s="3" t="str">
        <f aca="false">IF(OR(D219="",N(K219)&lt;=0),"",IFERROR(MATCH(B219&amp;"|"&amp;C219&amp;"|"&amp;D219,Нормативы!$M$2:$M$71,0),""))</f>
        <v/>
      </c>
      <c r="M219" s="3" t="str">
        <f aca="false">IF(L219="","",SUMPRODUCT((INDEX(Нормативы!$D$2:$L$71,L219,0)&lt;K219)*ISNUMBER(INDEX(Нормативы!$D$2:$L$71,L219,0))))</f>
        <v/>
      </c>
    </row>
    <row r="220" customFormat="false" ht="15" hidden="false" customHeight="false" outlineLevel="0" collapsed="false">
      <c r="A220" s="5"/>
      <c r="B220" s="5"/>
      <c r="C220" s="5"/>
      <c r="D220" s="5"/>
      <c r="E220" s="14"/>
      <c r="F220" s="4" t="str">
        <f aca="false">IF(OR(J220="",K220="",N(J220)=0,N(K220)&lt;=0),"",ROUNDDOWN(1000*(J220/K220)^3,0))</f>
        <v/>
      </c>
      <c r="G220" s="4" t="str">
        <f aca="false">IF(M220="","",IF(M220+1&gt;COUNT(INDEX(Нормативы!$D$2:$L$71,L220,0)),"Разряда нет",INDEX(Нормативы!$D$1:$L$1,1,M220+1)))</f>
        <v/>
      </c>
      <c r="H220" s="2" t="str">
        <f aca="false">IF(M220="","",IF(M220=0,"—",INDEX(Нормативы!$D$1:$L$1,1,M220)))</f>
        <v/>
      </c>
      <c r="I220" s="7" t="str">
        <f aca="false">IF(M220="","",IF(M220=0,"",IF(INT(ROUND(INDEX(Нормативы!$D$2:$L$71,L220,M220)*100,0)/6000)&gt;0,INT(ROUND(INDEX(Нормативы!$D$2:$L$71,L220,M220)*100,0)/6000)&amp;":"&amp;RIGHT("0"&amp;INT(MOD(ROUND(INDEX(Нормативы!$D$2:$L$71,L220,M220)*100,0),6000)/100),2),INT(MOD(ROUND(INDEX(Нормативы!$D$2:$L$71,L220,M220)*100,0),6000)/100))&amp;"."&amp;RIGHT("0"&amp;MOD(ROUND(INDEX(Нормативы!$D$2:$L$71,L220,M220)*100,0),100),2)))</f>
        <v/>
      </c>
      <c r="J220" s="12" t="str">
        <f aca="false">IF(D220="","",SUMIFS('Базовые времена'!$D$2:$D$71,'Базовые времена'!$A$2:$A$71,B220,'Базовые времена'!$B$2:$B$71,C220,'Базовые времена'!$C$2:$C$71,D220))</f>
        <v/>
      </c>
      <c r="K220" s="12" t="str">
        <f aca="false">IF(E220="","",IF(ISNUMBER(E220),IF(E220&lt;1,E220*86400,E220),IFERROR(IF(ISNUMBER(FIND(":",SUBSTITUTE(TRIM(E220),",","."))),VALUE(LEFT(SUBSTITUTE(TRIM(E220),",","."),FIND(":",SUBSTITUTE(TRIM(E220),",","."))-1))*60+_xlfn.NUMBERVALUE(MID(SUBSTITUTE(TRIM(E220),",","."),FIND(":",SUBSTITUTE(TRIM(E220),",","."))+1,99),"."),_xlfn.NUMBERVALUE(SUBSTITUTE(TRIM(E220),",","."),".")),0)))</f>
        <v/>
      </c>
      <c r="L220" s="3" t="str">
        <f aca="false">IF(OR(D220="",N(K220)&lt;=0),"",IFERROR(MATCH(B220&amp;"|"&amp;C220&amp;"|"&amp;D220,Нормативы!$M$2:$M$71,0),""))</f>
        <v/>
      </c>
      <c r="M220" s="3" t="str">
        <f aca="false">IF(L220="","",SUMPRODUCT((INDEX(Нормативы!$D$2:$L$71,L220,0)&lt;K220)*ISNUMBER(INDEX(Нормативы!$D$2:$L$71,L220,0))))</f>
        <v/>
      </c>
    </row>
    <row r="221" customFormat="false" ht="15" hidden="false" customHeight="false" outlineLevel="0" collapsed="false">
      <c r="A221" s="5"/>
      <c r="B221" s="5"/>
      <c r="C221" s="5"/>
      <c r="D221" s="5"/>
      <c r="E221" s="14"/>
      <c r="F221" s="4" t="str">
        <f aca="false">IF(OR(J221="",K221="",N(J221)=0,N(K221)&lt;=0),"",ROUNDDOWN(1000*(J221/K221)^3,0))</f>
        <v/>
      </c>
      <c r="G221" s="4" t="str">
        <f aca="false">IF(M221="","",IF(M221+1&gt;COUNT(INDEX(Нормативы!$D$2:$L$71,L221,0)),"Разряда нет",INDEX(Нормативы!$D$1:$L$1,1,M221+1)))</f>
        <v/>
      </c>
      <c r="H221" s="2" t="str">
        <f aca="false">IF(M221="","",IF(M221=0,"—",INDEX(Нормативы!$D$1:$L$1,1,M221)))</f>
        <v/>
      </c>
      <c r="I221" s="7" t="str">
        <f aca="false">IF(M221="","",IF(M221=0,"",IF(INT(ROUND(INDEX(Нормативы!$D$2:$L$71,L221,M221)*100,0)/6000)&gt;0,INT(ROUND(INDEX(Нормативы!$D$2:$L$71,L221,M221)*100,0)/6000)&amp;":"&amp;RIGHT("0"&amp;INT(MOD(ROUND(INDEX(Нормативы!$D$2:$L$71,L221,M221)*100,0),6000)/100),2),INT(MOD(ROUND(INDEX(Нормативы!$D$2:$L$71,L221,M221)*100,0),6000)/100))&amp;"."&amp;RIGHT("0"&amp;MOD(ROUND(INDEX(Нормативы!$D$2:$L$71,L221,M221)*100,0),100),2)))</f>
        <v/>
      </c>
      <c r="J221" s="12" t="str">
        <f aca="false">IF(D221="","",SUMIFS('Базовые времена'!$D$2:$D$71,'Базовые времена'!$A$2:$A$71,B221,'Базовые времена'!$B$2:$B$71,C221,'Базовые времена'!$C$2:$C$71,D221))</f>
        <v/>
      </c>
      <c r="K221" s="12" t="str">
        <f aca="false">IF(E221="","",IF(ISNUMBER(E221),IF(E221&lt;1,E221*86400,E221),IFERROR(IF(ISNUMBER(FIND(":",SUBSTITUTE(TRIM(E221),",","."))),VALUE(LEFT(SUBSTITUTE(TRIM(E221),",","."),FIND(":",SUBSTITUTE(TRIM(E221),",","."))-1))*60+_xlfn.NUMBERVALUE(MID(SUBSTITUTE(TRIM(E221),",","."),FIND(":",SUBSTITUTE(TRIM(E221),",","."))+1,99),"."),_xlfn.NUMBERVALUE(SUBSTITUTE(TRIM(E221),",","."),".")),0)))</f>
        <v/>
      </c>
      <c r="L221" s="3" t="str">
        <f aca="false">IF(OR(D221="",N(K221)&lt;=0),"",IFERROR(MATCH(B221&amp;"|"&amp;C221&amp;"|"&amp;D221,Нормативы!$M$2:$M$71,0),""))</f>
        <v/>
      </c>
      <c r="M221" s="3" t="str">
        <f aca="false">IF(L221="","",SUMPRODUCT((INDEX(Нормативы!$D$2:$L$71,L221,0)&lt;K221)*ISNUMBER(INDEX(Нормативы!$D$2:$L$71,L221,0))))</f>
        <v/>
      </c>
    </row>
    <row r="222" customFormat="false" ht="15" hidden="false" customHeight="false" outlineLevel="0" collapsed="false">
      <c r="A222" s="5"/>
      <c r="B222" s="5"/>
      <c r="C222" s="5"/>
      <c r="D222" s="5"/>
      <c r="E222" s="14"/>
      <c r="F222" s="4" t="str">
        <f aca="false">IF(OR(J222="",K222="",N(J222)=0,N(K222)&lt;=0),"",ROUNDDOWN(1000*(J222/K222)^3,0))</f>
        <v/>
      </c>
      <c r="G222" s="4" t="str">
        <f aca="false">IF(M222="","",IF(M222+1&gt;COUNT(INDEX(Нормативы!$D$2:$L$71,L222,0)),"Разряда нет",INDEX(Нормативы!$D$1:$L$1,1,M222+1)))</f>
        <v/>
      </c>
      <c r="H222" s="2" t="str">
        <f aca="false">IF(M222="","",IF(M222=0,"—",INDEX(Нормативы!$D$1:$L$1,1,M222)))</f>
        <v/>
      </c>
      <c r="I222" s="7" t="str">
        <f aca="false">IF(M222="","",IF(M222=0,"",IF(INT(ROUND(INDEX(Нормативы!$D$2:$L$71,L222,M222)*100,0)/6000)&gt;0,INT(ROUND(INDEX(Нормативы!$D$2:$L$71,L222,M222)*100,0)/6000)&amp;":"&amp;RIGHT("0"&amp;INT(MOD(ROUND(INDEX(Нормативы!$D$2:$L$71,L222,M222)*100,0),6000)/100),2),INT(MOD(ROUND(INDEX(Нормативы!$D$2:$L$71,L222,M222)*100,0),6000)/100))&amp;"."&amp;RIGHT("0"&amp;MOD(ROUND(INDEX(Нормативы!$D$2:$L$71,L222,M222)*100,0),100),2)))</f>
        <v/>
      </c>
      <c r="J222" s="12" t="str">
        <f aca="false">IF(D222="","",SUMIFS('Базовые времена'!$D$2:$D$71,'Базовые времена'!$A$2:$A$71,B222,'Базовые времена'!$B$2:$B$71,C222,'Базовые времена'!$C$2:$C$71,D222))</f>
        <v/>
      </c>
      <c r="K222" s="12" t="str">
        <f aca="false">IF(E222="","",IF(ISNUMBER(E222),IF(E222&lt;1,E222*86400,E222),IFERROR(IF(ISNUMBER(FIND(":",SUBSTITUTE(TRIM(E222),",","."))),VALUE(LEFT(SUBSTITUTE(TRIM(E222),",","."),FIND(":",SUBSTITUTE(TRIM(E222),",","."))-1))*60+_xlfn.NUMBERVALUE(MID(SUBSTITUTE(TRIM(E222),",","."),FIND(":",SUBSTITUTE(TRIM(E222),",","."))+1,99),"."),_xlfn.NUMBERVALUE(SUBSTITUTE(TRIM(E222),",","."),".")),0)))</f>
        <v/>
      </c>
      <c r="L222" s="3" t="str">
        <f aca="false">IF(OR(D222="",N(K222)&lt;=0),"",IFERROR(MATCH(B222&amp;"|"&amp;C222&amp;"|"&amp;D222,Нормативы!$M$2:$M$71,0),""))</f>
        <v/>
      </c>
      <c r="M222" s="3" t="str">
        <f aca="false">IF(L222="","",SUMPRODUCT((INDEX(Нормативы!$D$2:$L$71,L222,0)&lt;K222)*ISNUMBER(INDEX(Нормативы!$D$2:$L$71,L222,0))))</f>
        <v/>
      </c>
    </row>
    <row r="223" customFormat="false" ht="15" hidden="false" customHeight="false" outlineLevel="0" collapsed="false">
      <c r="A223" s="5"/>
      <c r="B223" s="5"/>
      <c r="C223" s="5"/>
      <c r="D223" s="5"/>
      <c r="E223" s="14"/>
      <c r="F223" s="4" t="str">
        <f aca="false">IF(OR(J223="",K223="",N(J223)=0,N(K223)&lt;=0),"",ROUNDDOWN(1000*(J223/K223)^3,0))</f>
        <v/>
      </c>
      <c r="G223" s="4" t="str">
        <f aca="false">IF(M223="","",IF(M223+1&gt;COUNT(INDEX(Нормативы!$D$2:$L$71,L223,0)),"Разряда нет",INDEX(Нормативы!$D$1:$L$1,1,M223+1)))</f>
        <v/>
      </c>
      <c r="H223" s="2" t="str">
        <f aca="false">IF(M223="","",IF(M223=0,"—",INDEX(Нормативы!$D$1:$L$1,1,M223)))</f>
        <v/>
      </c>
      <c r="I223" s="7" t="str">
        <f aca="false">IF(M223="","",IF(M223=0,"",IF(INT(ROUND(INDEX(Нормативы!$D$2:$L$71,L223,M223)*100,0)/6000)&gt;0,INT(ROUND(INDEX(Нормативы!$D$2:$L$71,L223,M223)*100,0)/6000)&amp;":"&amp;RIGHT("0"&amp;INT(MOD(ROUND(INDEX(Нормативы!$D$2:$L$71,L223,M223)*100,0),6000)/100),2),INT(MOD(ROUND(INDEX(Нормативы!$D$2:$L$71,L223,M223)*100,0),6000)/100))&amp;"."&amp;RIGHT("0"&amp;MOD(ROUND(INDEX(Нормативы!$D$2:$L$71,L223,M223)*100,0),100),2)))</f>
        <v/>
      </c>
      <c r="J223" s="12" t="str">
        <f aca="false">IF(D223="","",SUMIFS('Базовые времена'!$D$2:$D$71,'Базовые времена'!$A$2:$A$71,B223,'Базовые времена'!$B$2:$B$71,C223,'Базовые времена'!$C$2:$C$71,D223))</f>
        <v/>
      </c>
      <c r="K223" s="12" t="str">
        <f aca="false">IF(E223="","",IF(ISNUMBER(E223),IF(E223&lt;1,E223*86400,E223),IFERROR(IF(ISNUMBER(FIND(":",SUBSTITUTE(TRIM(E223),",","."))),VALUE(LEFT(SUBSTITUTE(TRIM(E223),",","."),FIND(":",SUBSTITUTE(TRIM(E223),",","."))-1))*60+_xlfn.NUMBERVALUE(MID(SUBSTITUTE(TRIM(E223),",","."),FIND(":",SUBSTITUTE(TRIM(E223),",","."))+1,99),"."),_xlfn.NUMBERVALUE(SUBSTITUTE(TRIM(E223),",","."),".")),0)))</f>
        <v/>
      </c>
      <c r="L223" s="3" t="str">
        <f aca="false">IF(OR(D223="",N(K223)&lt;=0),"",IFERROR(MATCH(B223&amp;"|"&amp;C223&amp;"|"&amp;D223,Нормативы!$M$2:$M$71,0),""))</f>
        <v/>
      </c>
      <c r="M223" s="3" t="str">
        <f aca="false">IF(L223="","",SUMPRODUCT((INDEX(Нормативы!$D$2:$L$71,L223,0)&lt;K223)*ISNUMBER(INDEX(Нормативы!$D$2:$L$71,L223,0))))</f>
        <v/>
      </c>
    </row>
    <row r="224" customFormat="false" ht="15" hidden="false" customHeight="false" outlineLevel="0" collapsed="false">
      <c r="A224" s="5"/>
      <c r="B224" s="5"/>
      <c r="C224" s="5"/>
      <c r="D224" s="5"/>
      <c r="E224" s="14"/>
      <c r="F224" s="4" t="str">
        <f aca="false">IF(OR(J224="",K224="",N(J224)=0,N(K224)&lt;=0),"",ROUNDDOWN(1000*(J224/K224)^3,0))</f>
        <v/>
      </c>
      <c r="G224" s="4" t="str">
        <f aca="false">IF(M224="","",IF(M224+1&gt;COUNT(INDEX(Нормативы!$D$2:$L$71,L224,0)),"Разряда нет",INDEX(Нормативы!$D$1:$L$1,1,M224+1)))</f>
        <v/>
      </c>
      <c r="H224" s="2" t="str">
        <f aca="false">IF(M224="","",IF(M224=0,"—",INDEX(Нормативы!$D$1:$L$1,1,M224)))</f>
        <v/>
      </c>
      <c r="I224" s="7" t="str">
        <f aca="false">IF(M224="","",IF(M224=0,"",IF(INT(ROUND(INDEX(Нормативы!$D$2:$L$71,L224,M224)*100,0)/6000)&gt;0,INT(ROUND(INDEX(Нормативы!$D$2:$L$71,L224,M224)*100,0)/6000)&amp;":"&amp;RIGHT("0"&amp;INT(MOD(ROUND(INDEX(Нормативы!$D$2:$L$71,L224,M224)*100,0),6000)/100),2),INT(MOD(ROUND(INDEX(Нормативы!$D$2:$L$71,L224,M224)*100,0),6000)/100))&amp;"."&amp;RIGHT("0"&amp;MOD(ROUND(INDEX(Нормативы!$D$2:$L$71,L224,M224)*100,0),100),2)))</f>
        <v/>
      </c>
      <c r="J224" s="12" t="str">
        <f aca="false">IF(D224="","",SUMIFS('Базовые времена'!$D$2:$D$71,'Базовые времена'!$A$2:$A$71,B224,'Базовые времена'!$B$2:$B$71,C224,'Базовые времена'!$C$2:$C$71,D224))</f>
        <v/>
      </c>
      <c r="K224" s="12" t="str">
        <f aca="false">IF(E224="","",IF(ISNUMBER(E224),IF(E224&lt;1,E224*86400,E224),IFERROR(IF(ISNUMBER(FIND(":",SUBSTITUTE(TRIM(E224),",","."))),VALUE(LEFT(SUBSTITUTE(TRIM(E224),",","."),FIND(":",SUBSTITUTE(TRIM(E224),",","."))-1))*60+_xlfn.NUMBERVALUE(MID(SUBSTITUTE(TRIM(E224),",","."),FIND(":",SUBSTITUTE(TRIM(E224),",","."))+1,99),"."),_xlfn.NUMBERVALUE(SUBSTITUTE(TRIM(E224),",","."),".")),0)))</f>
        <v/>
      </c>
      <c r="L224" s="3" t="str">
        <f aca="false">IF(OR(D224="",N(K224)&lt;=0),"",IFERROR(MATCH(B224&amp;"|"&amp;C224&amp;"|"&amp;D224,Нормативы!$M$2:$M$71,0),""))</f>
        <v/>
      </c>
      <c r="M224" s="3" t="str">
        <f aca="false">IF(L224="","",SUMPRODUCT((INDEX(Нормативы!$D$2:$L$71,L224,0)&lt;K224)*ISNUMBER(INDEX(Нормативы!$D$2:$L$71,L224,0))))</f>
        <v/>
      </c>
    </row>
    <row r="225" customFormat="false" ht="15" hidden="false" customHeight="false" outlineLevel="0" collapsed="false">
      <c r="A225" s="5"/>
      <c r="B225" s="5"/>
      <c r="C225" s="5"/>
      <c r="D225" s="5"/>
      <c r="E225" s="14"/>
      <c r="F225" s="4" t="str">
        <f aca="false">IF(OR(J225="",K225="",N(J225)=0,N(K225)&lt;=0),"",ROUNDDOWN(1000*(J225/K225)^3,0))</f>
        <v/>
      </c>
      <c r="G225" s="4" t="str">
        <f aca="false">IF(M225="","",IF(M225+1&gt;COUNT(INDEX(Нормативы!$D$2:$L$71,L225,0)),"Разряда нет",INDEX(Нормативы!$D$1:$L$1,1,M225+1)))</f>
        <v/>
      </c>
      <c r="H225" s="2" t="str">
        <f aca="false">IF(M225="","",IF(M225=0,"—",INDEX(Нормативы!$D$1:$L$1,1,M225)))</f>
        <v/>
      </c>
      <c r="I225" s="7" t="str">
        <f aca="false">IF(M225="","",IF(M225=0,"",IF(INT(ROUND(INDEX(Нормативы!$D$2:$L$71,L225,M225)*100,0)/6000)&gt;0,INT(ROUND(INDEX(Нормативы!$D$2:$L$71,L225,M225)*100,0)/6000)&amp;":"&amp;RIGHT("0"&amp;INT(MOD(ROUND(INDEX(Нормативы!$D$2:$L$71,L225,M225)*100,0),6000)/100),2),INT(MOD(ROUND(INDEX(Нормативы!$D$2:$L$71,L225,M225)*100,0),6000)/100))&amp;"."&amp;RIGHT("0"&amp;MOD(ROUND(INDEX(Нормативы!$D$2:$L$71,L225,M225)*100,0),100),2)))</f>
        <v/>
      </c>
      <c r="J225" s="12" t="str">
        <f aca="false">IF(D225="","",SUMIFS('Базовые времена'!$D$2:$D$71,'Базовые времена'!$A$2:$A$71,B225,'Базовые времена'!$B$2:$B$71,C225,'Базовые времена'!$C$2:$C$71,D225))</f>
        <v/>
      </c>
      <c r="K225" s="12" t="str">
        <f aca="false">IF(E225="","",IF(ISNUMBER(E225),IF(E225&lt;1,E225*86400,E225),IFERROR(IF(ISNUMBER(FIND(":",SUBSTITUTE(TRIM(E225),",","."))),VALUE(LEFT(SUBSTITUTE(TRIM(E225),",","."),FIND(":",SUBSTITUTE(TRIM(E225),",","."))-1))*60+_xlfn.NUMBERVALUE(MID(SUBSTITUTE(TRIM(E225),",","."),FIND(":",SUBSTITUTE(TRIM(E225),",","."))+1,99),"."),_xlfn.NUMBERVALUE(SUBSTITUTE(TRIM(E225),",","."),".")),0)))</f>
        <v/>
      </c>
      <c r="L225" s="3" t="str">
        <f aca="false">IF(OR(D225="",N(K225)&lt;=0),"",IFERROR(MATCH(B225&amp;"|"&amp;C225&amp;"|"&amp;D225,Нормативы!$M$2:$M$71,0),""))</f>
        <v/>
      </c>
      <c r="M225" s="3" t="str">
        <f aca="false">IF(L225="","",SUMPRODUCT((INDEX(Нормативы!$D$2:$L$71,L225,0)&lt;K225)*ISNUMBER(INDEX(Нормативы!$D$2:$L$71,L225,0))))</f>
        <v/>
      </c>
    </row>
    <row r="226" customFormat="false" ht="15" hidden="false" customHeight="false" outlineLevel="0" collapsed="false">
      <c r="A226" s="5"/>
      <c r="B226" s="5"/>
      <c r="C226" s="5"/>
      <c r="D226" s="5"/>
      <c r="E226" s="14"/>
      <c r="F226" s="4" t="str">
        <f aca="false">IF(OR(J226="",K226="",N(J226)=0,N(K226)&lt;=0),"",ROUNDDOWN(1000*(J226/K226)^3,0))</f>
        <v/>
      </c>
      <c r="G226" s="4" t="str">
        <f aca="false">IF(M226="","",IF(M226+1&gt;COUNT(INDEX(Нормативы!$D$2:$L$71,L226,0)),"Разряда нет",INDEX(Нормативы!$D$1:$L$1,1,M226+1)))</f>
        <v/>
      </c>
      <c r="H226" s="2" t="str">
        <f aca="false">IF(M226="","",IF(M226=0,"—",INDEX(Нормативы!$D$1:$L$1,1,M226)))</f>
        <v/>
      </c>
      <c r="I226" s="7" t="str">
        <f aca="false">IF(M226="","",IF(M226=0,"",IF(INT(ROUND(INDEX(Нормативы!$D$2:$L$71,L226,M226)*100,0)/6000)&gt;0,INT(ROUND(INDEX(Нормативы!$D$2:$L$71,L226,M226)*100,0)/6000)&amp;":"&amp;RIGHT("0"&amp;INT(MOD(ROUND(INDEX(Нормативы!$D$2:$L$71,L226,M226)*100,0),6000)/100),2),INT(MOD(ROUND(INDEX(Нормативы!$D$2:$L$71,L226,M226)*100,0),6000)/100))&amp;"."&amp;RIGHT("0"&amp;MOD(ROUND(INDEX(Нормативы!$D$2:$L$71,L226,M226)*100,0),100),2)))</f>
        <v/>
      </c>
      <c r="J226" s="12" t="str">
        <f aca="false">IF(D226="","",SUMIFS('Базовые времена'!$D$2:$D$71,'Базовые времена'!$A$2:$A$71,B226,'Базовые времена'!$B$2:$B$71,C226,'Базовые времена'!$C$2:$C$71,D226))</f>
        <v/>
      </c>
      <c r="K226" s="12" t="str">
        <f aca="false">IF(E226="","",IF(ISNUMBER(E226),IF(E226&lt;1,E226*86400,E226),IFERROR(IF(ISNUMBER(FIND(":",SUBSTITUTE(TRIM(E226),",","."))),VALUE(LEFT(SUBSTITUTE(TRIM(E226),",","."),FIND(":",SUBSTITUTE(TRIM(E226),",","."))-1))*60+_xlfn.NUMBERVALUE(MID(SUBSTITUTE(TRIM(E226),",","."),FIND(":",SUBSTITUTE(TRIM(E226),",","."))+1,99),"."),_xlfn.NUMBERVALUE(SUBSTITUTE(TRIM(E226),",","."),".")),0)))</f>
        <v/>
      </c>
      <c r="L226" s="3" t="str">
        <f aca="false">IF(OR(D226="",N(K226)&lt;=0),"",IFERROR(MATCH(B226&amp;"|"&amp;C226&amp;"|"&amp;D226,Нормативы!$M$2:$M$71,0),""))</f>
        <v/>
      </c>
      <c r="M226" s="3" t="str">
        <f aca="false">IF(L226="","",SUMPRODUCT((INDEX(Нормативы!$D$2:$L$71,L226,0)&lt;K226)*ISNUMBER(INDEX(Нормативы!$D$2:$L$71,L226,0))))</f>
        <v/>
      </c>
    </row>
    <row r="227" customFormat="false" ht="15" hidden="false" customHeight="false" outlineLevel="0" collapsed="false">
      <c r="A227" s="5"/>
      <c r="B227" s="5"/>
      <c r="C227" s="5"/>
      <c r="D227" s="5"/>
      <c r="E227" s="14"/>
      <c r="F227" s="4" t="str">
        <f aca="false">IF(OR(J227="",K227="",N(J227)=0,N(K227)&lt;=0),"",ROUNDDOWN(1000*(J227/K227)^3,0))</f>
        <v/>
      </c>
      <c r="G227" s="4" t="str">
        <f aca="false">IF(M227="","",IF(M227+1&gt;COUNT(INDEX(Нормативы!$D$2:$L$71,L227,0)),"Разряда нет",INDEX(Нормативы!$D$1:$L$1,1,M227+1)))</f>
        <v/>
      </c>
      <c r="H227" s="2" t="str">
        <f aca="false">IF(M227="","",IF(M227=0,"—",INDEX(Нормативы!$D$1:$L$1,1,M227)))</f>
        <v/>
      </c>
      <c r="I227" s="7" t="str">
        <f aca="false">IF(M227="","",IF(M227=0,"",IF(INT(ROUND(INDEX(Нормативы!$D$2:$L$71,L227,M227)*100,0)/6000)&gt;0,INT(ROUND(INDEX(Нормативы!$D$2:$L$71,L227,M227)*100,0)/6000)&amp;":"&amp;RIGHT("0"&amp;INT(MOD(ROUND(INDEX(Нормативы!$D$2:$L$71,L227,M227)*100,0),6000)/100),2),INT(MOD(ROUND(INDEX(Нормативы!$D$2:$L$71,L227,M227)*100,0),6000)/100))&amp;"."&amp;RIGHT("0"&amp;MOD(ROUND(INDEX(Нормативы!$D$2:$L$71,L227,M227)*100,0),100),2)))</f>
        <v/>
      </c>
      <c r="J227" s="12" t="str">
        <f aca="false">IF(D227="","",SUMIFS('Базовые времена'!$D$2:$D$71,'Базовые времена'!$A$2:$A$71,B227,'Базовые времена'!$B$2:$B$71,C227,'Базовые времена'!$C$2:$C$71,D227))</f>
        <v/>
      </c>
      <c r="K227" s="12" t="str">
        <f aca="false">IF(E227="","",IF(ISNUMBER(E227),IF(E227&lt;1,E227*86400,E227),IFERROR(IF(ISNUMBER(FIND(":",SUBSTITUTE(TRIM(E227),",","."))),VALUE(LEFT(SUBSTITUTE(TRIM(E227),",","."),FIND(":",SUBSTITUTE(TRIM(E227),",","."))-1))*60+_xlfn.NUMBERVALUE(MID(SUBSTITUTE(TRIM(E227),",","."),FIND(":",SUBSTITUTE(TRIM(E227),",","."))+1,99),"."),_xlfn.NUMBERVALUE(SUBSTITUTE(TRIM(E227),",","."),".")),0)))</f>
        <v/>
      </c>
      <c r="L227" s="3" t="str">
        <f aca="false">IF(OR(D227="",N(K227)&lt;=0),"",IFERROR(MATCH(B227&amp;"|"&amp;C227&amp;"|"&amp;D227,Нормативы!$M$2:$M$71,0),""))</f>
        <v/>
      </c>
      <c r="M227" s="3" t="str">
        <f aca="false">IF(L227="","",SUMPRODUCT((INDEX(Нормативы!$D$2:$L$71,L227,0)&lt;K227)*ISNUMBER(INDEX(Нормативы!$D$2:$L$71,L227,0))))</f>
        <v/>
      </c>
    </row>
    <row r="228" customFormat="false" ht="15" hidden="false" customHeight="false" outlineLevel="0" collapsed="false">
      <c r="A228" s="5"/>
      <c r="B228" s="5"/>
      <c r="C228" s="5"/>
      <c r="D228" s="5"/>
      <c r="E228" s="14"/>
      <c r="F228" s="4" t="str">
        <f aca="false">IF(OR(J228="",K228="",N(J228)=0,N(K228)&lt;=0),"",ROUNDDOWN(1000*(J228/K228)^3,0))</f>
        <v/>
      </c>
      <c r="G228" s="4" t="str">
        <f aca="false">IF(M228="","",IF(M228+1&gt;COUNT(INDEX(Нормативы!$D$2:$L$71,L228,0)),"Разряда нет",INDEX(Нормативы!$D$1:$L$1,1,M228+1)))</f>
        <v/>
      </c>
      <c r="H228" s="2" t="str">
        <f aca="false">IF(M228="","",IF(M228=0,"—",INDEX(Нормативы!$D$1:$L$1,1,M228)))</f>
        <v/>
      </c>
      <c r="I228" s="7" t="str">
        <f aca="false">IF(M228="","",IF(M228=0,"",IF(INT(ROUND(INDEX(Нормативы!$D$2:$L$71,L228,M228)*100,0)/6000)&gt;0,INT(ROUND(INDEX(Нормативы!$D$2:$L$71,L228,M228)*100,0)/6000)&amp;":"&amp;RIGHT("0"&amp;INT(MOD(ROUND(INDEX(Нормативы!$D$2:$L$71,L228,M228)*100,0),6000)/100),2),INT(MOD(ROUND(INDEX(Нормативы!$D$2:$L$71,L228,M228)*100,0),6000)/100))&amp;"."&amp;RIGHT("0"&amp;MOD(ROUND(INDEX(Нормативы!$D$2:$L$71,L228,M228)*100,0),100),2)))</f>
        <v/>
      </c>
      <c r="J228" s="12" t="str">
        <f aca="false">IF(D228="","",SUMIFS('Базовые времена'!$D$2:$D$71,'Базовые времена'!$A$2:$A$71,B228,'Базовые времена'!$B$2:$B$71,C228,'Базовые времена'!$C$2:$C$71,D228))</f>
        <v/>
      </c>
      <c r="K228" s="12" t="str">
        <f aca="false">IF(E228="","",IF(ISNUMBER(E228),IF(E228&lt;1,E228*86400,E228),IFERROR(IF(ISNUMBER(FIND(":",SUBSTITUTE(TRIM(E228),",","."))),VALUE(LEFT(SUBSTITUTE(TRIM(E228),",","."),FIND(":",SUBSTITUTE(TRIM(E228),",","."))-1))*60+_xlfn.NUMBERVALUE(MID(SUBSTITUTE(TRIM(E228),",","."),FIND(":",SUBSTITUTE(TRIM(E228),",","."))+1,99),"."),_xlfn.NUMBERVALUE(SUBSTITUTE(TRIM(E228),",","."),".")),0)))</f>
        <v/>
      </c>
      <c r="L228" s="3" t="str">
        <f aca="false">IF(OR(D228="",N(K228)&lt;=0),"",IFERROR(MATCH(B228&amp;"|"&amp;C228&amp;"|"&amp;D228,Нормативы!$M$2:$M$71,0),""))</f>
        <v/>
      </c>
      <c r="M228" s="3" t="str">
        <f aca="false">IF(L228="","",SUMPRODUCT((INDEX(Нормативы!$D$2:$L$71,L228,0)&lt;K228)*ISNUMBER(INDEX(Нормативы!$D$2:$L$71,L228,0))))</f>
        <v/>
      </c>
    </row>
    <row r="229" customFormat="false" ht="15" hidden="false" customHeight="false" outlineLevel="0" collapsed="false">
      <c r="A229" s="5"/>
      <c r="B229" s="5"/>
      <c r="C229" s="5"/>
      <c r="D229" s="5"/>
      <c r="E229" s="14"/>
      <c r="F229" s="4" t="str">
        <f aca="false">IF(OR(J229="",K229="",N(J229)=0,N(K229)&lt;=0),"",ROUNDDOWN(1000*(J229/K229)^3,0))</f>
        <v/>
      </c>
      <c r="G229" s="4" t="str">
        <f aca="false">IF(M229="","",IF(M229+1&gt;COUNT(INDEX(Нормативы!$D$2:$L$71,L229,0)),"Разряда нет",INDEX(Нормативы!$D$1:$L$1,1,M229+1)))</f>
        <v/>
      </c>
      <c r="H229" s="2" t="str">
        <f aca="false">IF(M229="","",IF(M229=0,"—",INDEX(Нормативы!$D$1:$L$1,1,M229)))</f>
        <v/>
      </c>
      <c r="I229" s="7" t="str">
        <f aca="false">IF(M229="","",IF(M229=0,"",IF(INT(ROUND(INDEX(Нормативы!$D$2:$L$71,L229,M229)*100,0)/6000)&gt;0,INT(ROUND(INDEX(Нормативы!$D$2:$L$71,L229,M229)*100,0)/6000)&amp;":"&amp;RIGHT("0"&amp;INT(MOD(ROUND(INDEX(Нормативы!$D$2:$L$71,L229,M229)*100,0),6000)/100),2),INT(MOD(ROUND(INDEX(Нормативы!$D$2:$L$71,L229,M229)*100,0),6000)/100))&amp;"."&amp;RIGHT("0"&amp;MOD(ROUND(INDEX(Нормативы!$D$2:$L$71,L229,M229)*100,0),100),2)))</f>
        <v/>
      </c>
      <c r="J229" s="12" t="str">
        <f aca="false">IF(D229="","",SUMIFS('Базовые времена'!$D$2:$D$71,'Базовые времена'!$A$2:$A$71,B229,'Базовые времена'!$B$2:$B$71,C229,'Базовые времена'!$C$2:$C$71,D229))</f>
        <v/>
      </c>
      <c r="K229" s="12" t="str">
        <f aca="false">IF(E229="","",IF(ISNUMBER(E229),IF(E229&lt;1,E229*86400,E229),IFERROR(IF(ISNUMBER(FIND(":",SUBSTITUTE(TRIM(E229),",","."))),VALUE(LEFT(SUBSTITUTE(TRIM(E229),",","."),FIND(":",SUBSTITUTE(TRIM(E229),",","."))-1))*60+_xlfn.NUMBERVALUE(MID(SUBSTITUTE(TRIM(E229),",","."),FIND(":",SUBSTITUTE(TRIM(E229),",","."))+1,99),"."),_xlfn.NUMBERVALUE(SUBSTITUTE(TRIM(E229),",","."),".")),0)))</f>
        <v/>
      </c>
      <c r="L229" s="3" t="str">
        <f aca="false">IF(OR(D229="",N(K229)&lt;=0),"",IFERROR(MATCH(B229&amp;"|"&amp;C229&amp;"|"&amp;D229,Нормативы!$M$2:$M$71,0),""))</f>
        <v/>
      </c>
      <c r="M229" s="3" t="str">
        <f aca="false">IF(L229="","",SUMPRODUCT((INDEX(Нормативы!$D$2:$L$71,L229,0)&lt;K229)*ISNUMBER(INDEX(Нормативы!$D$2:$L$71,L229,0))))</f>
        <v/>
      </c>
    </row>
    <row r="230" customFormat="false" ht="15" hidden="false" customHeight="false" outlineLevel="0" collapsed="false">
      <c r="A230" s="5"/>
      <c r="B230" s="5"/>
      <c r="C230" s="5"/>
      <c r="D230" s="5"/>
      <c r="E230" s="14"/>
      <c r="F230" s="4" t="str">
        <f aca="false">IF(OR(J230="",K230="",N(J230)=0,N(K230)&lt;=0),"",ROUNDDOWN(1000*(J230/K230)^3,0))</f>
        <v/>
      </c>
      <c r="G230" s="4" t="str">
        <f aca="false">IF(M230="","",IF(M230+1&gt;COUNT(INDEX(Нормативы!$D$2:$L$71,L230,0)),"Разряда нет",INDEX(Нормативы!$D$1:$L$1,1,M230+1)))</f>
        <v/>
      </c>
      <c r="H230" s="2" t="str">
        <f aca="false">IF(M230="","",IF(M230=0,"—",INDEX(Нормативы!$D$1:$L$1,1,M230)))</f>
        <v/>
      </c>
      <c r="I230" s="7" t="str">
        <f aca="false">IF(M230="","",IF(M230=0,"",IF(INT(ROUND(INDEX(Нормативы!$D$2:$L$71,L230,M230)*100,0)/6000)&gt;0,INT(ROUND(INDEX(Нормативы!$D$2:$L$71,L230,M230)*100,0)/6000)&amp;":"&amp;RIGHT("0"&amp;INT(MOD(ROUND(INDEX(Нормативы!$D$2:$L$71,L230,M230)*100,0),6000)/100),2),INT(MOD(ROUND(INDEX(Нормативы!$D$2:$L$71,L230,M230)*100,0),6000)/100))&amp;"."&amp;RIGHT("0"&amp;MOD(ROUND(INDEX(Нормативы!$D$2:$L$71,L230,M230)*100,0),100),2)))</f>
        <v/>
      </c>
      <c r="J230" s="12" t="str">
        <f aca="false">IF(D230="","",SUMIFS('Базовые времена'!$D$2:$D$71,'Базовые времена'!$A$2:$A$71,B230,'Базовые времена'!$B$2:$B$71,C230,'Базовые времена'!$C$2:$C$71,D230))</f>
        <v/>
      </c>
      <c r="K230" s="12" t="str">
        <f aca="false">IF(E230="","",IF(ISNUMBER(E230),IF(E230&lt;1,E230*86400,E230),IFERROR(IF(ISNUMBER(FIND(":",SUBSTITUTE(TRIM(E230),",","."))),VALUE(LEFT(SUBSTITUTE(TRIM(E230),",","."),FIND(":",SUBSTITUTE(TRIM(E230),",","."))-1))*60+_xlfn.NUMBERVALUE(MID(SUBSTITUTE(TRIM(E230),",","."),FIND(":",SUBSTITUTE(TRIM(E230),",","."))+1,99),"."),_xlfn.NUMBERVALUE(SUBSTITUTE(TRIM(E230),",","."),".")),0)))</f>
        <v/>
      </c>
      <c r="L230" s="3" t="str">
        <f aca="false">IF(OR(D230="",N(K230)&lt;=0),"",IFERROR(MATCH(B230&amp;"|"&amp;C230&amp;"|"&amp;D230,Нормативы!$M$2:$M$71,0),""))</f>
        <v/>
      </c>
      <c r="M230" s="3" t="str">
        <f aca="false">IF(L230="","",SUMPRODUCT((INDEX(Нормативы!$D$2:$L$71,L230,0)&lt;K230)*ISNUMBER(INDEX(Нормативы!$D$2:$L$71,L230,0))))</f>
        <v/>
      </c>
    </row>
    <row r="231" customFormat="false" ht="15" hidden="false" customHeight="false" outlineLevel="0" collapsed="false">
      <c r="A231" s="5"/>
      <c r="B231" s="5"/>
      <c r="C231" s="5"/>
      <c r="D231" s="5"/>
      <c r="E231" s="14"/>
      <c r="F231" s="4" t="str">
        <f aca="false">IF(OR(J231="",K231="",N(J231)=0,N(K231)&lt;=0),"",ROUNDDOWN(1000*(J231/K231)^3,0))</f>
        <v/>
      </c>
      <c r="G231" s="4" t="str">
        <f aca="false">IF(M231="","",IF(M231+1&gt;COUNT(INDEX(Нормативы!$D$2:$L$71,L231,0)),"Разряда нет",INDEX(Нормативы!$D$1:$L$1,1,M231+1)))</f>
        <v/>
      </c>
      <c r="H231" s="2" t="str">
        <f aca="false">IF(M231="","",IF(M231=0,"—",INDEX(Нормативы!$D$1:$L$1,1,M231)))</f>
        <v/>
      </c>
      <c r="I231" s="7" t="str">
        <f aca="false">IF(M231="","",IF(M231=0,"",IF(INT(ROUND(INDEX(Нормативы!$D$2:$L$71,L231,M231)*100,0)/6000)&gt;0,INT(ROUND(INDEX(Нормативы!$D$2:$L$71,L231,M231)*100,0)/6000)&amp;":"&amp;RIGHT("0"&amp;INT(MOD(ROUND(INDEX(Нормативы!$D$2:$L$71,L231,M231)*100,0),6000)/100),2),INT(MOD(ROUND(INDEX(Нормативы!$D$2:$L$71,L231,M231)*100,0),6000)/100))&amp;"."&amp;RIGHT("0"&amp;MOD(ROUND(INDEX(Нормативы!$D$2:$L$71,L231,M231)*100,0),100),2)))</f>
        <v/>
      </c>
      <c r="J231" s="12" t="str">
        <f aca="false">IF(D231="","",SUMIFS('Базовые времена'!$D$2:$D$71,'Базовые времена'!$A$2:$A$71,B231,'Базовые времена'!$B$2:$B$71,C231,'Базовые времена'!$C$2:$C$71,D231))</f>
        <v/>
      </c>
      <c r="K231" s="12" t="str">
        <f aca="false">IF(E231="","",IF(ISNUMBER(E231),IF(E231&lt;1,E231*86400,E231),IFERROR(IF(ISNUMBER(FIND(":",SUBSTITUTE(TRIM(E231),",","."))),VALUE(LEFT(SUBSTITUTE(TRIM(E231),",","."),FIND(":",SUBSTITUTE(TRIM(E231),",","."))-1))*60+_xlfn.NUMBERVALUE(MID(SUBSTITUTE(TRIM(E231),",","."),FIND(":",SUBSTITUTE(TRIM(E231),",","."))+1,99),"."),_xlfn.NUMBERVALUE(SUBSTITUTE(TRIM(E231),",","."),".")),0)))</f>
        <v/>
      </c>
      <c r="L231" s="3" t="str">
        <f aca="false">IF(OR(D231="",N(K231)&lt;=0),"",IFERROR(MATCH(B231&amp;"|"&amp;C231&amp;"|"&amp;D231,Нормативы!$M$2:$M$71,0),""))</f>
        <v/>
      </c>
      <c r="M231" s="3" t="str">
        <f aca="false">IF(L231="","",SUMPRODUCT((INDEX(Нормативы!$D$2:$L$71,L231,0)&lt;K231)*ISNUMBER(INDEX(Нормативы!$D$2:$L$71,L231,0))))</f>
        <v/>
      </c>
    </row>
    <row r="232" customFormat="false" ht="15" hidden="false" customHeight="false" outlineLevel="0" collapsed="false">
      <c r="A232" s="5"/>
      <c r="B232" s="5"/>
      <c r="C232" s="5"/>
      <c r="D232" s="5"/>
      <c r="E232" s="14"/>
      <c r="F232" s="4" t="str">
        <f aca="false">IF(OR(J232="",K232="",N(J232)=0,N(K232)&lt;=0),"",ROUNDDOWN(1000*(J232/K232)^3,0))</f>
        <v/>
      </c>
      <c r="G232" s="4" t="str">
        <f aca="false">IF(M232="","",IF(M232+1&gt;COUNT(INDEX(Нормативы!$D$2:$L$71,L232,0)),"Разряда нет",INDEX(Нормативы!$D$1:$L$1,1,M232+1)))</f>
        <v/>
      </c>
      <c r="H232" s="2" t="str">
        <f aca="false">IF(M232="","",IF(M232=0,"—",INDEX(Нормативы!$D$1:$L$1,1,M232)))</f>
        <v/>
      </c>
      <c r="I232" s="7" t="str">
        <f aca="false">IF(M232="","",IF(M232=0,"",IF(INT(ROUND(INDEX(Нормативы!$D$2:$L$71,L232,M232)*100,0)/6000)&gt;0,INT(ROUND(INDEX(Нормативы!$D$2:$L$71,L232,M232)*100,0)/6000)&amp;":"&amp;RIGHT("0"&amp;INT(MOD(ROUND(INDEX(Нормативы!$D$2:$L$71,L232,M232)*100,0),6000)/100),2),INT(MOD(ROUND(INDEX(Нормативы!$D$2:$L$71,L232,M232)*100,0),6000)/100))&amp;"."&amp;RIGHT("0"&amp;MOD(ROUND(INDEX(Нормативы!$D$2:$L$71,L232,M232)*100,0),100),2)))</f>
        <v/>
      </c>
      <c r="J232" s="12" t="str">
        <f aca="false">IF(D232="","",SUMIFS('Базовые времена'!$D$2:$D$71,'Базовые времена'!$A$2:$A$71,B232,'Базовые времена'!$B$2:$B$71,C232,'Базовые времена'!$C$2:$C$71,D232))</f>
        <v/>
      </c>
      <c r="K232" s="12" t="str">
        <f aca="false">IF(E232="","",IF(ISNUMBER(E232),IF(E232&lt;1,E232*86400,E232),IFERROR(IF(ISNUMBER(FIND(":",SUBSTITUTE(TRIM(E232),",","."))),VALUE(LEFT(SUBSTITUTE(TRIM(E232),",","."),FIND(":",SUBSTITUTE(TRIM(E232),",","."))-1))*60+_xlfn.NUMBERVALUE(MID(SUBSTITUTE(TRIM(E232),",","."),FIND(":",SUBSTITUTE(TRIM(E232),",","."))+1,99),"."),_xlfn.NUMBERVALUE(SUBSTITUTE(TRIM(E232),",","."),".")),0)))</f>
        <v/>
      </c>
      <c r="L232" s="3" t="str">
        <f aca="false">IF(OR(D232="",N(K232)&lt;=0),"",IFERROR(MATCH(B232&amp;"|"&amp;C232&amp;"|"&amp;D232,Нормативы!$M$2:$M$71,0),""))</f>
        <v/>
      </c>
      <c r="M232" s="3" t="str">
        <f aca="false">IF(L232="","",SUMPRODUCT((INDEX(Нормативы!$D$2:$L$71,L232,0)&lt;K232)*ISNUMBER(INDEX(Нормативы!$D$2:$L$71,L232,0))))</f>
        <v/>
      </c>
    </row>
    <row r="233" customFormat="false" ht="15" hidden="false" customHeight="false" outlineLevel="0" collapsed="false">
      <c r="A233" s="5"/>
      <c r="B233" s="5"/>
      <c r="C233" s="5"/>
      <c r="D233" s="5"/>
      <c r="E233" s="14"/>
      <c r="F233" s="4" t="str">
        <f aca="false">IF(OR(J233="",K233="",N(J233)=0,N(K233)&lt;=0),"",ROUNDDOWN(1000*(J233/K233)^3,0))</f>
        <v/>
      </c>
      <c r="G233" s="4" t="str">
        <f aca="false">IF(M233="","",IF(M233+1&gt;COUNT(INDEX(Нормативы!$D$2:$L$71,L233,0)),"Разряда нет",INDEX(Нормативы!$D$1:$L$1,1,M233+1)))</f>
        <v/>
      </c>
      <c r="H233" s="2" t="str">
        <f aca="false">IF(M233="","",IF(M233=0,"—",INDEX(Нормативы!$D$1:$L$1,1,M233)))</f>
        <v/>
      </c>
      <c r="I233" s="7" t="str">
        <f aca="false">IF(M233="","",IF(M233=0,"",IF(INT(ROUND(INDEX(Нормативы!$D$2:$L$71,L233,M233)*100,0)/6000)&gt;0,INT(ROUND(INDEX(Нормативы!$D$2:$L$71,L233,M233)*100,0)/6000)&amp;":"&amp;RIGHT("0"&amp;INT(MOD(ROUND(INDEX(Нормативы!$D$2:$L$71,L233,M233)*100,0),6000)/100),2),INT(MOD(ROUND(INDEX(Нормативы!$D$2:$L$71,L233,M233)*100,0),6000)/100))&amp;"."&amp;RIGHT("0"&amp;MOD(ROUND(INDEX(Нормативы!$D$2:$L$71,L233,M233)*100,0),100),2)))</f>
        <v/>
      </c>
      <c r="J233" s="12" t="str">
        <f aca="false">IF(D233="","",SUMIFS('Базовые времена'!$D$2:$D$71,'Базовые времена'!$A$2:$A$71,B233,'Базовые времена'!$B$2:$B$71,C233,'Базовые времена'!$C$2:$C$71,D233))</f>
        <v/>
      </c>
      <c r="K233" s="12" t="str">
        <f aca="false">IF(E233="","",IF(ISNUMBER(E233),IF(E233&lt;1,E233*86400,E233),IFERROR(IF(ISNUMBER(FIND(":",SUBSTITUTE(TRIM(E233),",","."))),VALUE(LEFT(SUBSTITUTE(TRIM(E233),",","."),FIND(":",SUBSTITUTE(TRIM(E233),",","."))-1))*60+_xlfn.NUMBERVALUE(MID(SUBSTITUTE(TRIM(E233),",","."),FIND(":",SUBSTITUTE(TRIM(E233),",","."))+1,99),"."),_xlfn.NUMBERVALUE(SUBSTITUTE(TRIM(E233),",","."),".")),0)))</f>
        <v/>
      </c>
      <c r="L233" s="3" t="str">
        <f aca="false">IF(OR(D233="",N(K233)&lt;=0),"",IFERROR(MATCH(B233&amp;"|"&amp;C233&amp;"|"&amp;D233,Нормативы!$M$2:$M$71,0),""))</f>
        <v/>
      </c>
      <c r="M233" s="3" t="str">
        <f aca="false">IF(L233="","",SUMPRODUCT((INDEX(Нормативы!$D$2:$L$71,L233,0)&lt;K233)*ISNUMBER(INDEX(Нормативы!$D$2:$L$71,L233,0))))</f>
        <v/>
      </c>
    </row>
    <row r="234" customFormat="false" ht="15" hidden="false" customHeight="false" outlineLevel="0" collapsed="false">
      <c r="A234" s="5"/>
      <c r="B234" s="5"/>
      <c r="C234" s="5"/>
      <c r="D234" s="5"/>
      <c r="E234" s="14"/>
      <c r="F234" s="4" t="str">
        <f aca="false">IF(OR(J234="",K234="",N(J234)=0,N(K234)&lt;=0),"",ROUNDDOWN(1000*(J234/K234)^3,0))</f>
        <v/>
      </c>
      <c r="G234" s="4" t="str">
        <f aca="false">IF(M234="","",IF(M234+1&gt;COUNT(INDEX(Нормативы!$D$2:$L$71,L234,0)),"Разряда нет",INDEX(Нормативы!$D$1:$L$1,1,M234+1)))</f>
        <v/>
      </c>
      <c r="H234" s="2" t="str">
        <f aca="false">IF(M234="","",IF(M234=0,"—",INDEX(Нормативы!$D$1:$L$1,1,M234)))</f>
        <v/>
      </c>
      <c r="I234" s="7" t="str">
        <f aca="false">IF(M234="","",IF(M234=0,"",IF(INT(ROUND(INDEX(Нормативы!$D$2:$L$71,L234,M234)*100,0)/6000)&gt;0,INT(ROUND(INDEX(Нормативы!$D$2:$L$71,L234,M234)*100,0)/6000)&amp;":"&amp;RIGHT("0"&amp;INT(MOD(ROUND(INDEX(Нормативы!$D$2:$L$71,L234,M234)*100,0),6000)/100),2),INT(MOD(ROUND(INDEX(Нормативы!$D$2:$L$71,L234,M234)*100,0),6000)/100))&amp;"."&amp;RIGHT("0"&amp;MOD(ROUND(INDEX(Нормативы!$D$2:$L$71,L234,M234)*100,0),100),2)))</f>
        <v/>
      </c>
      <c r="J234" s="12" t="str">
        <f aca="false">IF(D234="","",SUMIFS('Базовые времена'!$D$2:$D$71,'Базовые времена'!$A$2:$A$71,B234,'Базовые времена'!$B$2:$B$71,C234,'Базовые времена'!$C$2:$C$71,D234))</f>
        <v/>
      </c>
      <c r="K234" s="12" t="str">
        <f aca="false">IF(E234="","",IF(ISNUMBER(E234),IF(E234&lt;1,E234*86400,E234),IFERROR(IF(ISNUMBER(FIND(":",SUBSTITUTE(TRIM(E234),",","."))),VALUE(LEFT(SUBSTITUTE(TRIM(E234),",","."),FIND(":",SUBSTITUTE(TRIM(E234),",","."))-1))*60+_xlfn.NUMBERVALUE(MID(SUBSTITUTE(TRIM(E234),",","."),FIND(":",SUBSTITUTE(TRIM(E234),",","."))+1,99),"."),_xlfn.NUMBERVALUE(SUBSTITUTE(TRIM(E234),",","."),".")),0)))</f>
        <v/>
      </c>
      <c r="L234" s="3" t="str">
        <f aca="false">IF(OR(D234="",N(K234)&lt;=0),"",IFERROR(MATCH(B234&amp;"|"&amp;C234&amp;"|"&amp;D234,Нормативы!$M$2:$M$71,0),""))</f>
        <v/>
      </c>
      <c r="M234" s="3" t="str">
        <f aca="false">IF(L234="","",SUMPRODUCT((INDEX(Нормативы!$D$2:$L$71,L234,0)&lt;K234)*ISNUMBER(INDEX(Нормативы!$D$2:$L$71,L234,0))))</f>
        <v/>
      </c>
    </row>
    <row r="235" customFormat="false" ht="15" hidden="false" customHeight="false" outlineLevel="0" collapsed="false">
      <c r="A235" s="5"/>
      <c r="B235" s="5"/>
      <c r="C235" s="5"/>
      <c r="D235" s="5"/>
      <c r="E235" s="14"/>
      <c r="F235" s="4" t="str">
        <f aca="false">IF(OR(J235="",K235="",N(J235)=0,N(K235)&lt;=0),"",ROUNDDOWN(1000*(J235/K235)^3,0))</f>
        <v/>
      </c>
      <c r="G235" s="4" t="str">
        <f aca="false">IF(M235="","",IF(M235+1&gt;COUNT(INDEX(Нормативы!$D$2:$L$71,L235,0)),"Разряда нет",INDEX(Нормативы!$D$1:$L$1,1,M235+1)))</f>
        <v/>
      </c>
      <c r="H235" s="2" t="str">
        <f aca="false">IF(M235="","",IF(M235=0,"—",INDEX(Нормативы!$D$1:$L$1,1,M235)))</f>
        <v/>
      </c>
      <c r="I235" s="7" t="str">
        <f aca="false">IF(M235="","",IF(M235=0,"",IF(INT(ROUND(INDEX(Нормативы!$D$2:$L$71,L235,M235)*100,0)/6000)&gt;0,INT(ROUND(INDEX(Нормативы!$D$2:$L$71,L235,M235)*100,0)/6000)&amp;":"&amp;RIGHT("0"&amp;INT(MOD(ROUND(INDEX(Нормативы!$D$2:$L$71,L235,M235)*100,0),6000)/100),2),INT(MOD(ROUND(INDEX(Нормативы!$D$2:$L$71,L235,M235)*100,0),6000)/100))&amp;"."&amp;RIGHT("0"&amp;MOD(ROUND(INDEX(Нормативы!$D$2:$L$71,L235,M235)*100,0),100),2)))</f>
        <v/>
      </c>
      <c r="J235" s="12" t="str">
        <f aca="false">IF(D235="","",SUMIFS('Базовые времена'!$D$2:$D$71,'Базовые времена'!$A$2:$A$71,B235,'Базовые времена'!$B$2:$B$71,C235,'Базовые времена'!$C$2:$C$71,D235))</f>
        <v/>
      </c>
      <c r="K235" s="12" t="str">
        <f aca="false">IF(E235="","",IF(ISNUMBER(E235),IF(E235&lt;1,E235*86400,E235),IFERROR(IF(ISNUMBER(FIND(":",SUBSTITUTE(TRIM(E235),",","."))),VALUE(LEFT(SUBSTITUTE(TRIM(E235),",","."),FIND(":",SUBSTITUTE(TRIM(E235),",","."))-1))*60+_xlfn.NUMBERVALUE(MID(SUBSTITUTE(TRIM(E235),",","."),FIND(":",SUBSTITUTE(TRIM(E235),",","."))+1,99),"."),_xlfn.NUMBERVALUE(SUBSTITUTE(TRIM(E235),",","."),".")),0)))</f>
        <v/>
      </c>
      <c r="L235" s="3" t="str">
        <f aca="false">IF(OR(D235="",N(K235)&lt;=0),"",IFERROR(MATCH(B235&amp;"|"&amp;C235&amp;"|"&amp;D235,Нормативы!$M$2:$M$71,0),""))</f>
        <v/>
      </c>
      <c r="M235" s="3" t="str">
        <f aca="false">IF(L235="","",SUMPRODUCT((INDEX(Нормативы!$D$2:$L$71,L235,0)&lt;K235)*ISNUMBER(INDEX(Нормативы!$D$2:$L$71,L235,0))))</f>
        <v/>
      </c>
    </row>
    <row r="236" customFormat="false" ht="15" hidden="false" customHeight="false" outlineLevel="0" collapsed="false">
      <c r="A236" s="5"/>
      <c r="B236" s="5"/>
      <c r="C236" s="5"/>
      <c r="D236" s="5"/>
      <c r="E236" s="14"/>
      <c r="F236" s="4" t="str">
        <f aca="false">IF(OR(J236="",K236="",N(J236)=0,N(K236)&lt;=0),"",ROUNDDOWN(1000*(J236/K236)^3,0))</f>
        <v/>
      </c>
      <c r="G236" s="4" t="str">
        <f aca="false">IF(M236="","",IF(M236+1&gt;COUNT(INDEX(Нормативы!$D$2:$L$71,L236,0)),"Разряда нет",INDEX(Нормативы!$D$1:$L$1,1,M236+1)))</f>
        <v/>
      </c>
      <c r="H236" s="2" t="str">
        <f aca="false">IF(M236="","",IF(M236=0,"—",INDEX(Нормативы!$D$1:$L$1,1,M236)))</f>
        <v/>
      </c>
      <c r="I236" s="7" t="str">
        <f aca="false">IF(M236="","",IF(M236=0,"",IF(INT(ROUND(INDEX(Нормативы!$D$2:$L$71,L236,M236)*100,0)/6000)&gt;0,INT(ROUND(INDEX(Нормативы!$D$2:$L$71,L236,M236)*100,0)/6000)&amp;":"&amp;RIGHT("0"&amp;INT(MOD(ROUND(INDEX(Нормативы!$D$2:$L$71,L236,M236)*100,0),6000)/100),2),INT(MOD(ROUND(INDEX(Нормативы!$D$2:$L$71,L236,M236)*100,0),6000)/100))&amp;"."&amp;RIGHT("0"&amp;MOD(ROUND(INDEX(Нормативы!$D$2:$L$71,L236,M236)*100,0),100),2)))</f>
        <v/>
      </c>
      <c r="J236" s="12" t="str">
        <f aca="false">IF(D236="","",SUMIFS('Базовые времена'!$D$2:$D$71,'Базовые времена'!$A$2:$A$71,B236,'Базовые времена'!$B$2:$B$71,C236,'Базовые времена'!$C$2:$C$71,D236))</f>
        <v/>
      </c>
      <c r="K236" s="12" t="str">
        <f aca="false">IF(E236="","",IF(ISNUMBER(E236),IF(E236&lt;1,E236*86400,E236),IFERROR(IF(ISNUMBER(FIND(":",SUBSTITUTE(TRIM(E236),",","."))),VALUE(LEFT(SUBSTITUTE(TRIM(E236),",","."),FIND(":",SUBSTITUTE(TRIM(E236),",","."))-1))*60+_xlfn.NUMBERVALUE(MID(SUBSTITUTE(TRIM(E236),",","."),FIND(":",SUBSTITUTE(TRIM(E236),",","."))+1,99),"."),_xlfn.NUMBERVALUE(SUBSTITUTE(TRIM(E236),",","."),".")),0)))</f>
        <v/>
      </c>
      <c r="L236" s="3" t="str">
        <f aca="false">IF(OR(D236="",N(K236)&lt;=0),"",IFERROR(MATCH(B236&amp;"|"&amp;C236&amp;"|"&amp;D236,Нормативы!$M$2:$M$71,0),""))</f>
        <v/>
      </c>
      <c r="M236" s="3" t="str">
        <f aca="false">IF(L236="","",SUMPRODUCT((INDEX(Нормативы!$D$2:$L$71,L236,0)&lt;K236)*ISNUMBER(INDEX(Нормативы!$D$2:$L$71,L236,0))))</f>
        <v/>
      </c>
    </row>
    <row r="237" customFormat="false" ht="15" hidden="false" customHeight="false" outlineLevel="0" collapsed="false">
      <c r="A237" s="5"/>
      <c r="B237" s="5"/>
      <c r="C237" s="5"/>
      <c r="D237" s="5"/>
      <c r="E237" s="14"/>
      <c r="F237" s="4" t="str">
        <f aca="false">IF(OR(J237="",K237="",N(J237)=0,N(K237)&lt;=0),"",ROUNDDOWN(1000*(J237/K237)^3,0))</f>
        <v/>
      </c>
      <c r="G237" s="4" t="str">
        <f aca="false">IF(M237="","",IF(M237+1&gt;COUNT(INDEX(Нормативы!$D$2:$L$71,L237,0)),"Разряда нет",INDEX(Нормативы!$D$1:$L$1,1,M237+1)))</f>
        <v/>
      </c>
      <c r="H237" s="2" t="str">
        <f aca="false">IF(M237="","",IF(M237=0,"—",INDEX(Нормативы!$D$1:$L$1,1,M237)))</f>
        <v/>
      </c>
      <c r="I237" s="7" t="str">
        <f aca="false">IF(M237="","",IF(M237=0,"",IF(INT(ROUND(INDEX(Нормативы!$D$2:$L$71,L237,M237)*100,0)/6000)&gt;0,INT(ROUND(INDEX(Нормативы!$D$2:$L$71,L237,M237)*100,0)/6000)&amp;":"&amp;RIGHT("0"&amp;INT(MOD(ROUND(INDEX(Нормативы!$D$2:$L$71,L237,M237)*100,0),6000)/100),2),INT(MOD(ROUND(INDEX(Нормативы!$D$2:$L$71,L237,M237)*100,0),6000)/100))&amp;"."&amp;RIGHT("0"&amp;MOD(ROUND(INDEX(Нормативы!$D$2:$L$71,L237,M237)*100,0),100),2)))</f>
        <v/>
      </c>
      <c r="J237" s="12" t="str">
        <f aca="false">IF(D237="","",SUMIFS('Базовые времена'!$D$2:$D$71,'Базовые времена'!$A$2:$A$71,B237,'Базовые времена'!$B$2:$B$71,C237,'Базовые времена'!$C$2:$C$71,D237))</f>
        <v/>
      </c>
      <c r="K237" s="12" t="str">
        <f aca="false">IF(E237="","",IF(ISNUMBER(E237),IF(E237&lt;1,E237*86400,E237),IFERROR(IF(ISNUMBER(FIND(":",SUBSTITUTE(TRIM(E237),",","."))),VALUE(LEFT(SUBSTITUTE(TRIM(E237),",","."),FIND(":",SUBSTITUTE(TRIM(E237),",","."))-1))*60+_xlfn.NUMBERVALUE(MID(SUBSTITUTE(TRIM(E237),",","."),FIND(":",SUBSTITUTE(TRIM(E237),",","."))+1,99),"."),_xlfn.NUMBERVALUE(SUBSTITUTE(TRIM(E237),",","."),".")),0)))</f>
        <v/>
      </c>
      <c r="L237" s="3" t="str">
        <f aca="false">IF(OR(D237="",N(K237)&lt;=0),"",IFERROR(MATCH(B237&amp;"|"&amp;C237&amp;"|"&amp;D237,Нормативы!$M$2:$M$71,0),""))</f>
        <v/>
      </c>
      <c r="M237" s="3" t="str">
        <f aca="false">IF(L237="","",SUMPRODUCT((INDEX(Нормативы!$D$2:$L$71,L237,0)&lt;K237)*ISNUMBER(INDEX(Нормативы!$D$2:$L$71,L237,0))))</f>
        <v/>
      </c>
    </row>
    <row r="238" customFormat="false" ht="15" hidden="false" customHeight="false" outlineLevel="0" collapsed="false">
      <c r="A238" s="5"/>
      <c r="B238" s="5"/>
      <c r="C238" s="5"/>
      <c r="D238" s="5"/>
      <c r="E238" s="14"/>
      <c r="F238" s="4" t="str">
        <f aca="false">IF(OR(J238="",K238="",N(J238)=0,N(K238)&lt;=0),"",ROUNDDOWN(1000*(J238/K238)^3,0))</f>
        <v/>
      </c>
      <c r="G238" s="4" t="str">
        <f aca="false">IF(M238="","",IF(M238+1&gt;COUNT(INDEX(Нормативы!$D$2:$L$71,L238,0)),"Разряда нет",INDEX(Нормативы!$D$1:$L$1,1,M238+1)))</f>
        <v/>
      </c>
      <c r="H238" s="2" t="str">
        <f aca="false">IF(M238="","",IF(M238=0,"—",INDEX(Нормативы!$D$1:$L$1,1,M238)))</f>
        <v/>
      </c>
      <c r="I238" s="7" t="str">
        <f aca="false">IF(M238="","",IF(M238=0,"",IF(INT(ROUND(INDEX(Нормативы!$D$2:$L$71,L238,M238)*100,0)/6000)&gt;0,INT(ROUND(INDEX(Нормативы!$D$2:$L$71,L238,M238)*100,0)/6000)&amp;":"&amp;RIGHT("0"&amp;INT(MOD(ROUND(INDEX(Нормативы!$D$2:$L$71,L238,M238)*100,0),6000)/100),2),INT(MOD(ROUND(INDEX(Нормативы!$D$2:$L$71,L238,M238)*100,0),6000)/100))&amp;"."&amp;RIGHT("0"&amp;MOD(ROUND(INDEX(Нормативы!$D$2:$L$71,L238,M238)*100,0),100),2)))</f>
        <v/>
      </c>
      <c r="J238" s="12" t="str">
        <f aca="false">IF(D238="","",SUMIFS('Базовые времена'!$D$2:$D$71,'Базовые времена'!$A$2:$A$71,B238,'Базовые времена'!$B$2:$B$71,C238,'Базовые времена'!$C$2:$C$71,D238))</f>
        <v/>
      </c>
      <c r="K238" s="12" t="str">
        <f aca="false">IF(E238="","",IF(ISNUMBER(E238),IF(E238&lt;1,E238*86400,E238),IFERROR(IF(ISNUMBER(FIND(":",SUBSTITUTE(TRIM(E238),",","."))),VALUE(LEFT(SUBSTITUTE(TRIM(E238),",","."),FIND(":",SUBSTITUTE(TRIM(E238),",","."))-1))*60+_xlfn.NUMBERVALUE(MID(SUBSTITUTE(TRIM(E238),",","."),FIND(":",SUBSTITUTE(TRIM(E238),",","."))+1,99),"."),_xlfn.NUMBERVALUE(SUBSTITUTE(TRIM(E238),",","."),".")),0)))</f>
        <v/>
      </c>
      <c r="L238" s="3" t="str">
        <f aca="false">IF(OR(D238="",N(K238)&lt;=0),"",IFERROR(MATCH(B238&amp;"|"&amp;C238&amp;"|"&amp;D238,Нормативы!$M$2:$M$71,0),""))</f>
        <v/>
      </c>
      <c r="M238" s="3" t="str">
        <f aca="false">IF(L238="","",SUMPRODUCT((INDEX(Нормативы!$D$2:$L$71,L238,0)&lt;K238)*ISNUMBER(INDEX(Нормативы!$D$2:$L$71,L238,0))))</f>
        <v/>
      </c>
    </row>
    <row r="239" customFormat="false" ht="15" hidden="false" customHeight="false" outlineLevel="0" collapsed="false">
      <c r="A239" s="5"/>
      <c r="B239" s="5"/>
      <c r="C239" s="5"/>
      <c r="D239" s="5"/>
      <c r="E239" s="14"/>
      <c r="F239" s="4" t="str">
        <f aca="false">IF(OR(J239="",K239="",N(J239)=0,N(K239)&lt;=0),"",ROUNDDOWN(1000*(J239/K239)^3,0))</f>
        <v/>
      </c>
      <c r="G239" s="4" t="str">
        <f aca="false">IF(M239="","",IF(M239+1&gt;COUNT(INDEX(Нормативы!$D$2:$L$71,L239,0)),"Разряда нет",INDEX(Нормативы!$D$1:$L$1,1,M239+1)))</f>
        <v/>
      </c>
      <c r="H239" s="2" t="str">
        <f aca="false">IF(M239="","",IF(M239=0,"—",INDEX(Нормативы!$D$1:$L$1,1,M239)))</f>
        <v/>
      </c>
      <c r="I239" s="7" t="str">
        <f aca="false">IF(M239="","",IF(M239=0,"",IF(INT(ROUND(INDEX(Нормативы!$D$2:$L$71,L239,M239)*100,0)/6000)&gt;0,INT(ROUND(INDEX(Нормативы!$D$2:$L$71,L239,M239)*100,0)/6000)&amp;":"&amp;RIGHT("0"&amp;INT(MOD(ROUND(INDEX(Нормативы!$D$2:$L$71,L239,M239)*100,0),6000)/100),2),INT(MOD(ROUND(INDEX(Нормативы!$D$2:$L$71,L239,M239)*100,0),6000)/100))&amp;"."&amp;RIGHT("0"&amp;MOD(ROUND(INDEX(Нормативы!$D$2:$L$71,L239,M239)*100,0),100),2)))</f>
        <v/>
      </c>
      <c r="J239" s="12" t="str">
        <f aca="false">IF(D239="","",SUMIFS('Базовые времена'!$D$2:$D$71,'Базовые времена'!$A$2:$A$71,B239,'Базовые времена'!$B$2:$B$71,C239,'Базовые времена'!$C$2:$C$71,D239))</f>
        <v/>
      </c>
      <c r="K239" s="12" t="str">
        <f aca="false">IF(E239="","",IF(ISNUMBER(E239),IF(E239&lt;1,E239*86400,E239),IFERROR(IF(ISNUMBER(FIND(":",SUBSTITUTE(TRIM(E239),",","."))),VALUE(LEFT(SUBSTITUTE(TRIM(E239),",","."),FIND(":",SUBSTITUTE(TRIM(E239),",","."))-1))*60+_xlfn.NUMBERVALUE(MID(SUBSTITUTE(TRIM(E239),",","."),FIND(":",SUBSTITUTE(TRIM(E239),",","."))+1,99),"."),_xlfn.NUMBERVALUE(SUBSTITUTE(TRIM(E239),",","."),".")),0)))</f>
        <v/>
      </c>
      <c r="L239" s="3" t="str">
        <f aca="false">IF(OR(D239="",N(K239)&lt;=0),"",IFERROR(MATCH(B239&amp;"|"&amp;C239&amp;"|"&amp;D239,Нормативы!$M$2:$M$71,0),""))</f>
        <v/>
      </c>
      <c r="M239" s="3" t="str">
        <f aca="false">IF(L239="","",SUMPRODUCT((INDEX(Нормативы!$D$2:$L$71,L239,0)&lt;K239)*ISNUMBER(INDEX(Нормативы!$D$2:$L$71,L239,0))))</f>
        <v/>
      </c>
    </row>
    <row r="240" customFormat="false" ht="15" hidden="false" customHeight="false" outlineLevel="0" collapsed="false">
      <c r="A240" s="5"/>
      <c r="B240" s="5"/>
      <c r="C240" s="5"/>
      <c r="D240" s="5"/>
      <c r="E240" s="14"/>
      <c r="F240" s="4" t="str">
        <f aca="false">IF(OR(J240="",K240="",N(J240)=0,N(K240)&lt;=0),"",ROUNDDOWN(1000*(J240/K240)^3,0))</f>
        <v/>
      </c>
      <c r="G240" s="4" t="str">
        <f aca="false">IF(M240="","",IF(M240+1&gt;COUNT(INDEX(Нормативы!$D$2:$L$71,L240,0)),"Разряда нет",INDEX(Нормативы!$D$1:$L$1,1,M240+1)))</f>
        <v/>
      </c>
      <c r="H240" s="2" t="str">
        <f aca="false">IF(M240="","",IF(M240=0,"—",INDEX(Нормативы!$D$1:$L$1,1,M240)))</f>
        <v/>
      </c>
      <c r="I240" s="7" t="str">
        <f aca="false">IF(M240="","",IF(M240=0,"",IF(INT(ROUND(INDEX(Нормативы!$D$2:$L$71,L240,M240)*100,0)/6000)&gt;0,INT(ROUND(INDEX(Нормативы!$D$2:$L$71,L240,M240)*100,0)/6000)&amp;":"&amp;RIGHT("0"&amp;INT(MOD(ROUND(INDEX(Нормативы!$D$2:$L$71,L240,M240)*100,0),6000)/100),2),INT(MOD(ROUND(INDEX(Нормативы!$D$2:$L$71,L240,M240)*100,0),6000)/100))&amp;"."&amp;RIGHT("0"&amp;MOD(ROUND(INDEX(Нормативы!$D$2:$L$71,L240,M240)*100,0),100),2)))</f>
        <v/>
      </c>
      <c r="J240" s="12" t="str">
        <f aca="false">IF(D240="","",SUMIFS('Базовые времена'!$D$2:$D$71,'Базовые времена'!$A$2:$A$71,B240,'Базовые времена'!$B$2:$B$71,C240,'Базовые времена'!$C$2:$C$71,D240))</f>
        <v/>
      </c>
      <c r="K240" s="12" t="str">
        <f aca="false">IF(E240="","",IF(ISNUMBER(E240),IF(E240&lt;1,E240*86400,E240),IFERROR(IF(ISNUMBER(FIND(":",SUBSTITUTE(TRIM(E240),",","."))),VALUE(LEFT(SUBSTITUTE(TRIM(E240),",","."),FIND(":",SUBSTITUTE(TRIM(E240),",","."))-1))*60+_xlfn.NUMBERVALUE(MID(SUBSTITUTE(TRIM(E240),",","."),FIND(":",SUBSTITUTE(TRIM(E240),",","."))+1,99),"."),_xlfn.NUMBERVALUE(SUBSTITUTE(TRIM(E240),",","."),".")),0)))</f>
        <v/>
      </c>
      <c r="L240" s="3" t="str">
        <f aca="false">IF(OR(D240="",N(K240)&lt;=0),"",IFERROR(MATCH(B240&amp;"|"&amp;C240&amp;"|"&amp;D240,Нормативы!$M$2:$M$71,0),""))</f>
        <v/>
      </c>
      <c r="M240" s="3" t="str">
        <f aca="false">IF(L240="","",SUMPRODUCT((INDEX(Нормативы!$D$2:$L$71,L240,0)&lt;K240)*ISNUMBER(INDEX(Нормативы!$D$2:$L$71,L240,0))))</f>
        <v/>
      </c>
    </row>
    <row r="241" customFormat="false" ht="15" hidden="false" customHeight="false" outlineLevel="0" collapsed="false">
      <c r="A241" s="5"/>
      <c r="B241" s="5"/>
      <c r="C241" s="5"/>
      <c r="D241" s="5"/>
      <c r="E241" s="14"/>
      <c r="F241" s="4" t="str">
        <f aca="false">IF(OR(J241="",K241="",N(J241)=0,N(K241)&lt;=0),"",ROUNDDOWN(1000*(J241/K241)^3,0))</f>
        <v/>
      </c>
      <c r="G241" s="4" t="str">
        <f aca="false">IF(M241="","",IF(M241+1&gt;COUNT(INDEX(Нормативы!$D$2:$L$71,L241,0)),"Разряда нет",INDEX(Нормативы!$D$1:$L$1,1,M241+1)))</f>
        <v/>
      </c>
      <c r="H241" s="2" t="str">
        <f aca="false">IF(M241="","",IF(M241=0,"—",INDEX(Нормативы!$D$1:$L$1,1,M241)))</f>
        <v/>
      </c>
      <c r="I241" s="7" t="str">
        <f aca="false">IF(M241="","",IF(M241=0,"",IF(INT(ROUND(INDEX(Нормативы!$D$2:$L$71,L241,M241)*100,0)/6000)&gt;0,INT(ROUND(INDEX(Нормативы!$D$2:$L$71,L241,M241)*100,0)/6000)&amp;":"&amp;RIGHT("0"&amp;INT(MOD(ROUND(INDEX(Нормативы!$D$2:$L$71,L241,M241)*100,0),6000)/100),2),INT(MOD(ROUND(INDEX(Нормативы!$D$2:$L$71,L241,M241)*100,0),6000)/100))&amp;"."&amp;RIGHT("0"&amp;MOD(ROUND(INDEX(Нормативы!$D$2:$L$71,L241,M241)*100,0),100),2)))</f>
        <v/>
      </c>
      <c r="J241" s="12" t="str">
        <f aca="false">IF(D241="","",SUMIFS('Базовые времена'!$D$2:$D$71,'Базовые времена'!$A$2:$A$71,B241,'Базовые времена'!$B$2:$B$71,C241,'Базовые времена'!$C$2:$C$71,D241))</f>
        <v/>
      </c>
      <c r="K241" s="12" t="str">
        <f aca="false">IF(E241="","",IF(ISNUMBER(E241),IF(E241&lt;1,E241*86400,E241),IFERROR(IF(ISNUMBER(FIND(":",SUBSTITUTE(TRIM(E241),",","."))),VALUE(LEFT(SUBSTITUTE(TRIM(E241),",","."),FIND(":",SUBSTITUTE(TRIM(E241),",","."))-1))*60+_xlfn.NUMBERVALUE(MID(SUBSTITUTE(TRIM(E241),",","."),FIND(":",SUBSTITUTE(TRIM(E241),",","."))+1,99),"."),_xlfn.NUMBERVALUE(SUBSTITUTE(TRIM(E241),",","."),".")),0)))</f>
        <v/>
      </c>
      <c r="L241" s="3" t="str">
        <f aca="false">IF(OR(D241="",N(K241)&lt;=0),"",IFERROR(MATCH(B241&amp;"|"&amp;C241&amp;"|"&amp;D241,Нормативы!$M$2:$M$71,0),""))</f>
        <v/>
      </c>
      <c r="M241" s="3" t="str">
        <f aca="false">IF(L241="","",SUMPRODUCT((INDEX(Нормативы!$D$2:$L$71,L241,0)&lt;K241)*ISNUMBER(INDEX(Нормативы!$D$2:$L$71,L241,0))))</f>
        <v/>
      </c>
    </row>
    <row r="242" customFormat="false" ht="15" hidden="false" customHeight="false" outlineLevel="0" collapsed="false">
      <c r="A242" s="5"/>
      <c r="B242" s="5"/>
      <c r="C242" s="5"/>
      <c r="D242" s="5"/>
      <c r="E242" s="14"/>
      <c r="F242" s="4" t="str">
        <f aca="false">IF(OR(J242="",K242="",N(J242)=0,N(K242)&lt;=0),"",ROUNDDOWN(1000*(J242/K242)^3,0))</f>
        <v/>
      </c>
      <c r="G242" s="4" t="str">
        <f aca="false">IF(M242="","",IF(M242+1&gt;COUNT(INDEX(Нормативы!$D$2:$L$71,L242,0)),"Разряда нет",INDEX(Нормативы!$D$1:$L$1,1,M242+1)))</f>
        <v/>
      </c>
      <c r="H242" s="2" t="str">
        <f aca="false">IF(M242="","",IF(M242=0,"—",INDEX(Нормативы!$D$1:$L$1,1,M242)))</f>
        <v/>
      </c>
      <c r="I242" s="7" t="str">
        <f aca="false">IF(M242="","",IF(M242=0,"",IF(INT(ROUND(INDEX(Нормативы!$D$2:$L$71,L242,M242)*100,0)/6000)&gt;0,INT(ROUND(INDEX(Нормативы!$D$2:$L$71,L242,M242)*100,0)/6000)&amp;":"&amp;RIGHT("0"&amp;INT(MOD(ROUND(INDEX(Нормативы!$D$2:$L$71,L242,M242)*100,0),6000)/100),2),INT(MOD(ROUND(INDEX(Нормативы!$D$2:$L$71,L242,M242)*100,0),6000)/100))&amp;"."&amp;RIGHT("0"&amp;MOD(ROUND(INDEX(Нормативы!$D$2:$L$71,L242,M242)*100,0),100),2)))</f>
        <v/>
      </c>
      <c r="J242" s="12" t="str">
        <f aca="false">IF(D242="","",SUMIFS('Базовые времена'!$D$2:$D$71,'Базовые времена'!$A$2:$A$71,B242,'Базовые времена'!$B$2:$B$71,C242,'Базовые времена'!$C$2:$C$71,D242))</f>
        <v/>
      </c>
      <c r="K242" s="12" t="str">
        <f aca="false">IF(E242="","",IF(ISNUMBER(E242),IF(E242&lt;1,E242*86400,E242),IFERROR(IF(ISNUMBER(FIND(":",SUBSTITUTE(TRIM(E242),",","."))),VALUE(LEFT(SUBSTITUTE(TRIM(E242),",","."),FIND(":",SUBSTITUTE(TRIM(E242),",","."))-1))*60+_xlfn.NUMBERVALUE(MID(SUBSTITUTE(TRIM(E242),",","."),FIND(":",SUBSTITUTE(TRIM(E242),",","."))+1,99),"."),_xlfn.NUMBERVALUE(SUBSTITUTE(TRIM(E242),",","."),".")),0)))</f>
        <v/>
      </c>
      <c r="L242" s="3" t="str">
        <f aca="false">IF(OR(D242="",N(K242)&lt;=0),"",IFERROR(MATCH(B242&amp;"|"&amp;C242&amp;"|"&amp;D242,Нормативы!$M$2:$M$71,0),""))</f>
        <v/>
      </c>
      <c r="M242" s="3" t="str">
        <f aca="false">IF(L242="","",SUMPRODUCT((INDEX(Нормативы!$D$2:$L$71,L242,0)&lt;K242)*ISNUMBER(INDEX(Нормативы!$D$2:$L$71,L242,0))))</f>
        <v/>
      </c>
    </row>
    <row r="243" customFormat="false" ht="15" hidden="false" customHeight="false" outlineLevel="0" collapsed="false">
      <c r="A243" s="5"/>
      <c r="B243" s="5"/>
      <c r="C243" s="5"/>
      <c r="D243" s="5"/>
      <c r="E243" s="14"/>
      <c r="F243" s="4" t="str">
        <f aca="false">IF(OR(J243="",K243="",N(J243)=0,N(K243)&lt;=0),"",ROUNDDOWN(1000*(J243/K243)^3,0))</f>
        <v/>
      </c>
      <c r="G243" s="4" t="str">
        <f aca="false">IF(M243="","",IF(M243+1&gt;COUNT(INDEX(Нормативы!$D$2:$L$71,L243,0)),"Разряда нет",INDEX(Нормативы!$D$1:$L$1,1,M243+1)))</f>
        <v/>
      </c>
      <c r="H243" s="2" t="str">
        <f aca="false">IF(M243="","",IF(M243=0,"—",INDEX(Нормативы!$D$1:$L$1,1,M243)))</f>
        <v/>
      </c>
      <c r="I243" s="7" t="str">
        <f aca="false">IF(M243="","",IF(M243=0,"",IF(INT(ROUND(INDEX(Нормативы!$D$2:$L$71,L243,M243)*100,0)/6000)&gt;0,INT(ROUND(INDEX(Нормативы!$D$2:$L$71,L243,M243)*100,0)/6000)&amp;":"&amp;RIGHT("0"&amp;INT(MOD(ROUND(INDEX(Нормативы!$D$2:$L$71,L243,M243)*100,0),6000)/100),2),INT(MOD(ROUND(INDEX(Нормативы!$D$2:$L$71,L243,M243)*100,0),6000)/100))&amp;"."&amp;RIGHT("0"&amp;MOD(ROUND(INDEX(Нормативы!$D$2:$L$71,L243,M243)*100,0),100),2)))</f>
        <v/>
      </c>
      <c r="J243" s="12" t="str">
        <f aca="false">IF(D243="","",SUMIFS('Базовые времена'!$D$2:$D$71,'Базовые времена'!$A$2:$A$71,B243,'Базовые времена'!$B$2:$B$71,C243,'Базовые времена'!$C$2:$C$71,D243))</f>
        <v/>
      </c>
      <c r="K243" s="12" t="str">
        <f aca="false">IF(E243="","",IF(ISNUMBER(E243),IF(E243&lt;1,E243*86400,E243),IFERROR(IF(ISNUMBER(FIND(":",SUBSTITUTE(TRIM(E243),",","."))),VALUE(LEFT(SUBSTITUTE(TRIM(E243),",","."),FIND(":",SUBSTITUTE(TRIM(E243),",","."))-1))*60+_xlfn.NUMBERVALUE(MID(SUBSTITUTE(TRIM(E243),",","."),FIND(":",SUBSTITUTE(TRIM(E243),",","."))+1,99),"."),_xlfn.NUMBERVALUE(SUBSTITUTE(TRIM(E243),",","."),".")),0)))</f>
        <v/>
      </c>
      <c r="L243" s="3" t="str">
        <f aca="false">IF(OR(D243="",N(K243)&lt;=0),"",IFERROR(MATCH(B243&amp;"|"&amp;C243&amp;"|"&amp;D243,Нормативы!$M$2:$M$71,0),""))</f>
        <v/>
      </c>
      <c r="M243" s="3" t="str">
        <f aca="false">IF(L243="","",SUMPRODUCT((INDEX(Нормативы!$D$2:$L$71,L243,0)&lt;K243)*ISNUMBER(INDEX(Нормативы!$D$2:$L$71,L243,0))))</f>
        <v/>
      </c>
    </row>
    <row r="244" customFormat="false" ht="15" hidden="false" customHeight="false" outlineLevel="0" collapsed="false">
      <c r="A244" s="5"/>
      <c r="B244" s="5"/>
      <c r="C244" s="5"/>
      <c r="D244" s="5"/>
      <c r="E244" s="14"/>
      <c r="F244" s="4" t="str">
        <f aca="false">IF(OR(J244="",K244="",N(J244)=0,N(K244)&lt;=0),"",ROUNDDOWN(1000*(J244/K244)^3,0))</f>
        <v/>
      </c>
      <c r="G244" s="4" t="str">
        <f aca="false">IF(M244="","",IF(M244+1&gt;COUNT(INDEX(Нормативы!$D$2:$L$71,L244,0)),"Разряда нет",INDEX(Нормативы!$D$1:$L$1,1,M244+1)))</f>
        <v/>
      </c>
      <c r="H244" s="2" t="str">
        <f aca="false">IF(M244="","",IF(M244=0,"—",INDEX(Нормативы!$D$1:$L$1,1,M244)))</f>
        <v/>
      </c>
      <c r="I244" s="7" t="str">
        <f aca="false">IF(M244="","",IF(M244=0,"",IF(INT(ROUND(INDEX(Нормативы!$D$2:$L$71,L244,M244)*100,0)/6000)&gt;0,INT(ROUND(INDEX(Нормативы!$D$2:$L$71,L244,M244)*100,0)/6000)&amp;":"&amp;RIGHT("0"&amp;INT(MOD(ROUND(INDEX(Нормативы!$D$2:$L$71,L244,M244)*100,0),6000)/100),2),INT(MOD(ROUND(INDEX(Нормативы!$D$2:$L$71,L244,M244)*100,0),6000)/100))&amp;"."&amp;RIGHT("0"&amp;MOD(ROUND(INDEX(Нормативы!$D$2:$L$71,L244,M244)*100,0),100),2)))</f>
        <v/>
      </c>
      <c r="J244" s="12" t="str">
        <f aca="false">IF(D244="","",SUMIFS('Базовые времена'!$D$2:$D$71,'Базовые времена'!$A$2:$A$71,B244,'Базовые времена'!$B$2:$B$71,C244,'Базовые времена'!$C$2:$C$71,D244))</f>
        <v/>
      </c>
      <c r="K244" s="12" t="str">
        <f aca="false">IF(E244="","",IF(ISNUMBER(E244),IF(E244&lt;1,E244*86400,E244),IFERROR(IF(ISNUMBER(FIND(":",SUBSTITUTE(TRIM(E244),",","."))),VALUE(LEFT(SUBSTITUTE(TRIM(E244),",","."),FIND(":",SUBSTITUTE(TRIM(E244),",","."))-1))*60+_xlfn.NUMBERVALUE(MID(SUBSTITUTE(TRIM(E244),",","."),FIND(":",SUBSTITUTE(TRIM(E244),",","."))+1,99),"."),_xlfn.NUMBERVALUE(SUBSTITUTE(TRIM(E244),",","."),".")),0)))</f>
        <v/>
      </c>
      <c r="L244" s="3" t="str">
        <f aca="false">IF(OR(D244="",N(K244)&lt;=0),"",IFERROR(MATCH(B244&amp;"|"&amp;C244&amp;"|"&amp;D244,Нормативы!$M$2:$M$71,0),""))</f>
        <v/>
      </c>
      <c r="M244" s="3" t="str">
        <f aca="false">IF(L244="","",SUMPRODUCT((INDEX(Нормативы!$D$2:$L$71,L244,0)&lt;K244)*ISNUMBER(INDEX(Нормативы!$D$2:$L$71,L244,0))))</f>
        <v/>
      </c>
    </row>
    <row r="245" customFormat="false" ht="15" hidden="false" customHeight="false" outlineLevel="0" collapsed="false">
      <c r="A245" s="5"/>
      <c r="B245" s="5"/>
      <c r="C245" s="5"/>
      <c r="D245" s="5"/>
      <c r="E245" s="14"/>
      <c r="F245" s="4" t="str">
        <f aca="false">IF(OR(J245="",K245="",N(J245)=0,N(K245)&lt;=0),"",ROUNDDOWN(1000*(J245/K245)^3,0))</f>
        <v/>
      </c>
      <c r="G245" s="4" t="str">
        <f aca="false">IF(M245="","",IF(M245+1&gt;COUNT(INDEX(Нормативы!$D$2:$L$71,L245,0)),"Разряда нет",INDEX(Нормативы!$D$1:$L$1,1,M245+1)))</f>
        <v/>
      </c>
      <c r="H245" s="2" t="str">
        <f aca="false">IF(M245="","",IF(M245=0,"—",INDEX(Нормативы!$D$1:$L$1,1,M245)))</f>
        <v/>
      </c>
      <c r="I245" s="7" t="str">
        <f aca="false">IF(M245="","",IF(M245=0,"",IF(INT(ROUND(INDEX(Нормативы!$D$2:$L$71,L245,M245)*100,0)/6000)&gt;0,INT(ROUND(INDEX(Нормативы!$D$2:$L$71,L245,M245)*100,0)/6000)&amp;":"&amp;RIGHT("0"&amp;INT(MOD(ROUND(INDEX(Нормативы!$D$2:$L$71,L245,M245)*100,0),6000)/100),2),INT(MOD(ROUND(INDEX(Нормативы!$D$2:$L$71,L245,M245)*100,0),6000)/100))&amp;"."&amp;RIGHT("0"&amp;MOD(ROUND(INDEX(Нормативы!$D$2:$L$71,L245,M245)*100,0),100),2)))</f>
        <v/>
      </c>
      <c r="J245" s="12" t="str">
        <f aca="false">IF(D245="","",SUMIFS('Базовые времена'!$D$2:$D$71,'Базовые времена'!$A$2:$A$71,B245,'Базовые времена'!$B$2:$B$71,C245,'Базовые времена'!$C$2:$C$71,D245))</f>
        <v/>
      </c>
      <c r="K245" s="12" t="str">
        <f aca="false">IF(E245="","",IF(ISNUMBER(E245),IF(E245&lt;1,E245*86400,E245),IFERROR(IF(ISNUMBER(FIND(":",SUBSTITUTE(TRIM(E245),",","."))),VALUE(LEFT(SUBSTITUTE(TRIM(E245),",","."),FIND(":",SUBSTITUTE(TRIM(E245),",","."))-1))*60+_xlfn.NUMBERVALUE(MID(SUBSTITUTE(TRIM(E245),",","."),FIND(":",SUBSTITUTE(TRIM(E245),",","."))+1,99),"."),_xlfn.NUMBERVALUE(SUBSTITUTE(TRIM(E245),",","."),".")),0)))</f>
        <v/>
      </c>
      <c r="L245" s="3" t="str">
        <f aca="false">IF(OR(D245="",N(K245)&lt;=0),"",IFERROR(MATCH(B245&amp;"|"&amp;C245&amp;"|"&amp;D245,Нормативы!$M$2:$M$71,0),""))</f>
        <v/>
      </c>
      <c r="M245" s="3" t="str">
        <f aca="false">IF(L245="","",SUMPRODUCT((INDEX(Нормативы!$D$2:$L$71,L245,0)&lt;K245)*ISNUMBER(INDEX(Нормативы!$D$2:$L$71,L245,0))))</f>
        <v/>
      </c>
    </row>
    <row r="246" customFormat="false" ht="15" hidden="false" customHeight="false" outlineLevel="0" collapsed="false">
      <c r="A246" s="5"/>
      <c r="B246" s="5"/>
      <c r="C246" s="5"/>
      <c r="D246" s="5"/>
      <c r="E246" s="14"/>
      <c r="F246" s="4" t="str">
        <f aca="false">IF(OR(J246="",K246="",N(J246)=0,N(K246)&lt;=0),"",ROUNDDOWN(1000*(J246/K246)^3,0))</f>
        <v/>
      </c>
      <c r="G246" s="4" t="str">
        <f aca="false">IF(M246="","",IF(M246+1&gt;COUNT(INDEX(Нормативы!$D$2:$L$71,L246,0)),"Разряда нет",INDEX(Нормативы!$D$1:$L$1,1,M246+1)))</f>
        <v/>
      </c>
      <c r="H246" s="2" t="str">
        <f aca="false">IF(M246="","",IF(M246=0,"—",INDEX(Нормативы!$D$1:$L$1,1,M246)))</f>
        <v/>
      </c>
      <c r="I246" s="7" t="str">
        <f aca="false">IF(M246="","",IF(M246=0,"",IF(INT(ROUND(INDEX(Нормативы!$D$2:$L$71,L246,M246)*100,0)/6000)&gt;0,INT(ROUND(INDEX(Нормативы!$D$2:$L$71,L246,M246)*100,0)/6000)&amp;":"&amp;RIGHT("0"&amp;INT(MOD(ROUND(INDEX(Нормативы!$D$2:$L$71,L246,M246)*100,0),6000)/100),2),INT(MOD(ROUND(INDEX(Нормативы!$D$2:$L$71,L246,M246)*100,0),6000)/100))&amp;"."&amp;RIGHT("0"&amp;MOD(ROUND(INDEX(Нормативы!$D$2:$L$71,L246,M246)*100,0),100),2)))</f>
        <v/>
      </c>
      <c r="J246" s="12" t="str">
        <f aca="false">IF(D246="","",SUMIFS('Базовые времена'!$D$2:$D$71,'Базовые времена'!$A$2:$A$71,B246,'Базовые времена'!$B$2:$B$71,C246,'Базовые времена'!$C$2:$C$71,D246))</f>
        <v/>
      </c>
      <c r="K246" s="12" t="str">
        <f aca="false">IF(E246="","",IF(ISNUMBER(E246),IF(E246&lt;1,E246*86400,E246),IFERROR(IF(ISNUMBER(FIND(":",SUBSTITUTE(TRIM(E246),",","."))),VALUE(LEFT(SUBSTITUTE(TRIM(E246),",","."),FIND(":",SUBSTITUTE(TRIM(E246),",","."))-1))*60+_xlfn.NUMBERVALUE(MID(SUBSTITUTE(TRIM(E246),",","."),FIND(":",SUBSTITUTE(TRIM(E246),",","."))+1,99),"."),_xlfn.NUMBERVALUE(SUBSTITUTE(TRIM(E246),",","."),".")),0)))</f>
        <v/>
      </c>
      <c r="L246" s="3" t="str">
        <f aca="false">IF(OR(D246="",N(K246)&lt;=0),"",IFERROR(MATCH(B246&amp;"|"&amp;C246&amp;"|"&amp;D246,Нормативы!$M$2:$M$71,0),""))</f>
        <v/>
      </c>
      <c r="M246" s="3" t="str">
        <f aca="false">IF(L246="","",SUMPRODUCT((INDEX(Нормативы!$D$2:$L$71,L246,0)&lt;K246)*ISNUMBER(INDEX(Нормативы!$D$2:$L$71,L246,0))))</f>
        <v/>
      </c>
    </row>
    <row r="247" customFormat="false" ht="15" hidden="false" customHeight="false" outlineLevel="0" collapsed="false">
      <c r="A247" s="5"/>
      <c r="B247" s="5"/>
      <c r="C247" s="5"/>
      <c r="D247" s="5"/>
      <c r="E247" s="14"/>
      <c r="F247" s="4" t="str">
        <f aca="false">IF(OR(J247="",K247="",N(J247)=0,N(K247)&lt;=0),"",ROUNDDOWN(1000*(J247/K247)^3,0))</f>
        <v/>
      </c>
      <c r="G247" s="4" t="str">
        <f aca="false">IF(M247="","",IF(M247+1&gt;COUNT(INDEX(Нормативы!$D$2:$L$71,L247,0)),"Разряда нет",INDEX(Нормативы!$D$1:$L$1,1,M247+1)))</f>
        <v/>
      </c>
      <c r="H247" s="2" t="str">
        <f aca="false">IF(M247="","",IF(M247=0,"—",INDEX(Нормативы!$D$1:$L$1,1,M247)))</f>
        <v/>
      </c>
      <c r="I247" s="7" t="str">
        <f aca="false">IF(M247="","",IF(M247=0,"",IF(INT(ROUND(INDEX(Нормативы!$D$2:$L$71,L247,M247)*100,0)/6000)&gt;0,INT(ROUND(INDEX(Нормативы!$D$2:$L$71,L247,M247)*100,0)/6000)&amp;":"&amp;RIGHT("0"&amp;INT(MOD(ROUND(INDEX(Нормативы!$D$2:$L$71,L247,M247)*100,0),6000)/100),2),INT(MOD(ROUND(INDEX(Нормативы!$D$2:$L$71,L247,M247)*100,0),6000)/100))&amp;"."&amp;RIGHT("0"&amp;MOD(ROUND(INDEX(Нормативы!$D$2:$L$71,L247,M247)*100,0),100),2)))</f>
        <v/>
      </c>
      <c r="J247" s="12" t="str">
        <f aca="false">IF(D247="","",SUMIFS('Базовые времена'!$D$2:$D$71,'Базовые времена'!$A$2:$A$71,B247,'Базовые времена'!$B$2:$B$71,C247,'Базовые времена'!$C$2:$C$71,D247))</f>
        <v/>
      </c>
      <c r="K247" s="12" t="str">
        <f aca="false">IF(E247="","",IF(ISNUMBER(E247),IF(E247&lt;1,E247*86400,E247),IFERROR(IF(ISNUMBER(FIND(":",SUBSTITUTE(TRIM(E247),",","."))),VALUE(LEFT(SUBSTITUTE(TRIM(E247),",","."),FIND(":",SUBSTITUTE(TRIM(E247),",","."))-1))*60+_xlfn.NUMBERVALUE(MID(SUBSTITUTE(TRIM(E247),",","."),FIND(":",SUBSTITUTE(TRIM(E247),",","."))+1,99),"."),_xlfn.NUMBERVALUE(SUBSTITUTE(TRIM(E247),",","."),".")),0)))</f>
        <v/>
      </c>
      <c r="L247" s="3" t="str">
        <f aca="false">IF(OR(D247="",N(K247)&lt;=0),"",IFERROR(MATCH(B247&amp;"|"&amp;C247&amp;"|"&amp;D247,Нормативы!$M$2:$M$71,0),""))</f>
        <v/>
      </c>
      <c r="M247" s="3" t="str">
        <f aca="false">IF(L247="","",SUMPRODUCT((INDEX(Нормативы!$D$2:$L$71,L247,0)&lt;K247)*ISNUMBER(INDEX(Нормативы!$D$2:$L$71,L247,0))))</f>
        <v/>
      </c>
    </row>
    <row r="248" customFormat="false" ht="15" hidden="false" customHeight="false" outlineLevel="0" collapsed="false">
      <c r="A248" s="5"/>
      <c r="B248" s="5"/>
      <c r="C248" s="5"/>
      <c r="D248" s="5"/>
      <c r="E248" s="14"/>
      <c r="F248" s="4" t="str">
        <f aca="false">IF(OR(J248="",K248="",N(J248)=0,N(K248)&lt;=0),"",ROUNDDOWN(1000*(J248/K248)^3,0))</f>
        <v/>
      </c>
      <c r="G248" s="4" t="str">
        <f aca="false">IF(M248="","",IF(M248+1&gt;COUNT(INDEX(Нормативы!$D$2:$L$71,L248,0)),"Разряда нет",INDEX(Нормативы!$D$1:$L$1,1,M248+1)))</f>
        <v/>
      </c>
      <c r="H248" s="2" t="str">
        <f aca="false">IF(M248="","",IF(M248=0,"—",INDEX(Нормативы!$D$1:$L$1,1,M248)))</f>
        <v/>
      </c>
      <c r="I248" s="7" t="str">
        <f aca="false">IF(M248="","",IF(M248=0,"",IF(INT(ROUND(INDEX(Нормативы!$D$2:$L$71,L248,M248)*100,0)/6000)&gt;0,INT(ROUND(INDEX(Нормативы!$D$2:$L$71,L248,M248)*100,0)/6000)&amp;":"&amp;RIGHT("0"&amp;INT(MOD(ROUND(INDEX(Нормативы!$D$2:$L$71,L248,M248)*100,0),6000)/100),2),INT(MOD(ROUND(INDEX(Нормативы!$D$2:$L$71,L248,M248)*100,0),6000)/100))&amp;"."&amp;RIGHT("0"&amp;MOD(ROUND(INDEX(Нормативы!$D$2:$L$71,L248,M248)*100,0),100),2)))</f>
        <v/>
      </c>
      <c r="J248" s="12" t="str">
        <f aca="false">IF(D248="","",SUMIFS('Базовые времена'!$D$2:$D$71,'Базовые времена'!$A$2:$A$71,B248,'Базовые времена'!$B$2:$B$71,C248,'Базовые времена'!$C$2:$C$71,D248))</f>
        <v/>
      </c>
      <c r="K248" s="12" t="str">
        <f aca="false">IF(E248="","",IF(ISNUMBER(E248),IF(E248&lt;1,E248*86400,E248),IFERROR(IF(ISNUMBER(FIND(":",SUBSTITUTE(TRIM(E248),",","."))),VALUE(LEFT(SUBSTITUTE(TRIM(E248),",","."),FIND(":",SUBSTITUTE(TRIM(E248),",","."))-1))*60+_xlfn.NUMBERVALUE(MID(SUBSTITUTE(TRIM(E248),",","."),FIND(":",SUBSTITUTE(TRIM(E248),",","."))+1,99),"."),_xlfn.NUMBERVALUE(SUBSTITUTE(TRIM(E248),",","."),".")),0)))</f>
        <v/>
      </c>
      <c r="L248" s="3" t="str">
        <f aca="false">IF(OR(D248="",N(K248)&lt;=0),"",IFERROR(MATCH(B248&amp;"|"&amp;C248&amp;"|"&amp;D248,Нормативы!$M$2:$M$71,0),""))</f>
        <v/>
      </c>
      <c r="M248" s="3" t="str">
        <f aca="false">IF(L248="","",SUMPRODUCT((INDEX(Нормативы!$D$2:$L$71,L248,0)&lt;K248)*ISNUMBER(INDEX(Нормативы!$D$2:$L$71,L248,0))))</f>
        <v/>
      </c>
    </row>
    <row r="249" customFormat="false" ht="15" hidden="false" customHeight="false" outlineLevel="0" collapsed="false">
      <c r="A249" s="5"/>
      <c r="B249" s="5"/>
      <c r="C249" s="5"/>
      <c r="D249" s="5"/>
      <c r="E249" s="14"/>
      <c r="F249" s="4" t="str">
        <f aca="false">IF(OR(J249="",K249="",N(J249)=0,N(K249)&lt;=0),"",ROUNDDOWN(1000*(J249/K249)^3,0))</f>
        <v/>
      </c>
      <c r="G249" s="4" t="str">
        <f aca="false">IF(M249="","",IF(M249+1&gt;COUNT(INDEX(Нормативы!$D$2:$L$71,L249,0)),"Разряда нет",INDEX(Нормативы!$D$1:$L$1,1,M249+1)))</f>
        <v/>
      </c>
      <c r="H249" s="2" t="str">
        <f aca="false">IF(M249="","",IF(M249=0,"—",INDEX(Нормативы!$D$1:$L$1,1,M249)))</f>
        <v/>
      </c>
      <c r="I249" s="7" t="str">
        <f aca="false">IF(M249="","",IF(M249=0,"",IF(INT(ROUND(INDEX(Нормативы!$D$2:$L$71,L249,M249)*100,0)/6000)&gt;0,INT(ROUND(INDEX(Нормативы!$D$2:$L$71,L249,M249)*100,0)/6000)&amp;":"&amp;RIGHT("0"&amp;INT(MOD(ROUND(INDEX(Нормативы!$D$2:$L$71,L249,M249)*100,0),6000)/100),2),INT(MOD(ROUND(INDEX(Нормативы!$D$2:$L$71,L249,M249)*100,0),6000)/100))&amp;"."&amp;RIGHT("0"&amp;MOD(ROUND(INDEX(Нормативы!$D$2:$L$71,L249,M249)*100,0),100),2)))</f>
        <v/>
      </c>
      <c r="J249" s="12" t="str">
        <f aca="false">IF(D249="","",SUMIFS('Базовые времена'!$D$2:$D$71,'Базовые времена'!$A$2:$A$71,B249,'Базовые времена'!$B$2:$B$71,C249,'Базовые времена'!$C$2:$C$71,D249))</f>
        <v/>
      </c>
      <c r="K249" s="12" t="str">
        <f aca="false">IF(E249="","",IF(ISNUMBER(E249),IF(E249&lt;1,E249*86400,E249),IFERROR(IF(ISNUMBER(FIND(":",SUBSTITUTE(TRIM(E249),",","."))),VALUE(LEFT(SUBSTITUTE(TRIM(E249),",","."),FIND(":",SUBSTITUTE(TRIM(E249),",","."))-1))*60+_xlfn.NUMBERVALUE(MID(SUBSTITUTE(TRIM(E249),",","."),FIND(":",SUBSTITUTE(TRIM(E249),",","."))+1,99),"."),_xlfn.NUMBERVALUE(SUBSTITUTE(TRIM(E249),",","."),".")),0)))</f>
        <v/>
      </c>
      <c r="L249" s="3" t="str">
        <f aca="false">IF(OR(D249="",N(K249)&lt;=0),"",IFERROR(MATCH(B249&amp;"|"&amp;C249&amp;"|"&amp;D249,Нормативы!$M$2:$M$71,0),""))</f>
        <v/>
      </c>
      <c r="M249" s="3" t="str">
        <f aca="false">IF(L249="","",SUMPRODUCT((INDEX(Нормативы!$D$2:$L$71,L249,0)&lt;K249)*ISNUMBER(INDEX(Нормативы!$D$2:$L$71,L249,0))))</f>
        <v/>
      </c>
    </row>
    <row r="250" customFormat="false" ht="15" hidden="false" customHeight="false" outlineLevel="0" collapsed="false">
      <c r="A250" s="5"/>
      <c r="B250" s="5"/>
      <c r="C250" s="5"/>
      <c r="D250" s="5"/>
      <c r="E250" s="14"/>
      <c r="F250" s="4" t="str">
        <f aca="false">IF(OR(J250="",K250="",N(J250)=0,N(K250)&lt;=0),"",ROUNDDOWN(1000*(J250/K250)^3,0))</f>
        <v/>
      </c>
      <c r="G250" s="4" t="str">
        <f aca="false">IF(M250="","",IF(M250+1&gt;COUNT(INDEX(Нормативы!$D$2:$L$71,L250,0)),"Разряда нет",INDEX(Нормативы!$D$1:$L$1,1,M250+1)))</f>
        <v/>
      </c>
      <c r="H250" s="2" t="str">
        <f aca="false">IF(M250="","",IF(M250=0,"—",INDEX(Нормативы!$D$1:$L$1,1,M250)))</f>
        <v/>
      </c>
      <c r="I250" s="7" t="str">
        <f aca="false">IF(M250="","",IF(M250=0,"",IF(INT(ROUND(INDEX(Нормативы!$D$2:$L$71,L250,M250)*100,0)/6000)&gt;0,INT(ROUND(INDEX(Нормативы!$D$2:$L$71,L250,M250)*100,0)/6000)&amp;":"&amp;RIGHT("0"&amp;INT(MOD(ROUND(INDEX(Нормативы!$D$2:$L$71,L250,M250)*100,0),6000)/100),2),INT(MOD(ROUND(INDEX(Нормативы!$D$2:$L$71,L250,M250)*100,0),6000)/100))&amp;"."&amp;RIGHT("0"&amp;MOD(ROUND(INDEX(Нормативы!$D$2:$L$71,L250,M250)*100,0),100),2)))</f>
        <v/>
      </c>
      <c r="J250" s="12" t="str">
        <f aca="false">IF(D250="","",SUMIFS('Базовые времена'!$D$2:$D$71,'Базовые времена'!$A$2:$A$71,B250,'Базовые времена'!$B$2:$B$71,C250,'Базовые времена'!$C$2:$C$71,D250))</f>
        <v/>
      </c>
      <c r="K250" s="12" t="str">
        <f aca="false">IF(E250="","",IF(ISNUMBER(E250),IF(E250&lt;1,E250*86400,E250),IFERROR(IF(ISNUMBER(FIND(":",SUBSTITUTE(TRIM(E250),",","."))),VALUE(LEFT(SUBSTITUTE(TRIM(E250),",","."),FIND(":",SUBSTITUTE(TRIM(E250),",","."))-1))*60+_xlfn.NUMBERVALUE(MID(SUBSTITUTE(TRIM(E250),",","."),FIND(":",SUBSTITUTE(TRIM(E250),",","."))+1,99),"."),_xlfn.NUMBERVALUE(SUBSTITUTE(TRIM(E250),",","."),".")),0)))</f>
        <v/>
      </c>
      <c r="L250" s="3" t="str">
        <f aca="false">IF(OR(D250="",N(K250)&lt;=0),"",IFERROR(MATCH(B250&amp;"|"&amp;C250&amp;"|"&amp;D250,Нормативы!$M$2:$M$71,0),""))</f>
        <v/>
      </c>
      <c r="M250" s="3" t="str">
        <f aca="false">IF(L250="","",SUMPRODUCT((INDEX(Нормативы!$D$2:$L$71,L250,0)&lt;K250)*ISNUMBER(INDEX(Нормативы!$D$2:$L$71,L250,0))))</f>
        <v/>
      </c>
    </row>
    <row r="251" customFormat="false" ht="15" hidden="false" customHeight="false" outlineLevel="0" collapsed="false">
      <c r="A251" s="5"/>
      <c r="B251" s="5"/>
      <c r="C251" s="5"/>
      <c r="D251" s="5"/>
      <c r="E251" s="14"/>
      <c r="F251" s="4" t="str">
        <f aca="false">IF(OR(J251="",K251="",N(J251)=0,N(K251)&lt;=0),"",ROUNDDOWN(1000*(J251/K251)^3,0))</f>
        <v/>
      </c>
      <c r="G251" s="4" t="str">
        <f aca="false">IF(M251="","",IF(M251+1&gt;COUNT(INDEX(Нормативы!$D$2:$L$71,L251,0)),"Разряда нет",INDEX(Нормативы!$D$1:$L$1,1,M251+1)))</f>
        <v/>
      </c>
      <c r="H251" s="2" t="str">
        <f aca="false">IF(M251="","",IF(M251=0,"—",INDEX(Нормативы!$D$1:$L$1,1,M251)))</f>
        <v/>
      </c>
      <c r="I251" s="7" t="str">
        <f aca="false">IF(M251="","",IF(M251=0,"",IF(INT(ROUND(INDEX(Нормативы!$D$2:$L$71,L251,M251)*100,0)/6000)&gt;0,INT(ROUND(INDEX(Нормативы!$D$2:$L$71,L251,M251)*100,0)/6000)&amp;":"&amp;RIGHT("0"&amp;INT(MOD(ROUND(INDEX(Нормативы!$D$2:$L$71,L251,M251)*100,0),6000)/100),2),INT(MOD(ROUND(INDEX(Нормативы!$D$2:$L$71,L251,M251)*100,0),6000)/100))&amp;"."&amp;RIGHT("0"&amp;MOD(ROUND(INDEX(Нормативы!$D$2:$L$71,L251,M251)*100,0),100),2)))</f>
        <v/>
      </c>
      <c r="J251" s="12" t="str">
        <f aca="false">IF(D251="","",SUMIFS('Базовые времена'!$D$2:$D$71,'Базовые времена'!$A$2:$A$71,B251,'Базовые времена'!$B$2:$B$71,C251,'Базовые времена'!$C$2:$C$71,D251))</f>
        <v/>
      </c>
      <c r="K251" s="12" t="str">
        <f aca="false">IF(E251="","",IF(ISNUMBER(E251),IF(E251&lt;1,E251*86400,E251),IFERROR(IF(ISNUMBER(FIND(":",SUBSTITUTE(TRIM(E251),",","."))),VALUE(LEFT(SUBSTITUTE(TRIM(E251),",","."),FIND(":",SUBSTITUTE(TRIM(E251),",","."))-1))*60+_xlfn.NUMBERVALUE(MID(SUBSTITUTE(TRIM(E251),",","."),FIND(":",SUBSTITUTE(TRIM(E251),",","."))+1,99),"."),_xlfn.NUMBERVALUE(SUBSTITUTE(TRIM(E251),",","."),".")),0)))</f>
        <v/>
      </c>
      <c r="L251" s="3" t="str">
        <f aca="false">IF(OR(D251="",N(K251)&lt;=0),"",IFERROR(MATCH(B251&amp;"|"&amp;C251&amp;"|"&amp;D251,Нормативы!$M$2:$M$71,0),""))</f>
        <v/>
      </c>
      <c r="M251" s="3" t="str">
        <f aca="false">IF(L251="","",SUMPRODUCT((INDEX(Нормативы!$D$2:$L$71,L251,0)&lt;K251)*ISNUMBER(INDEX(Нормативы!$D$2:$L$71,L251,0))))</f>
        <v/>
      </c>
    </row>
    <row r="252" customFormat="false" ht="15" hidden="false" customHeight="false" outlineLevel="0" collapsed="false">
      <c r="A252" s="5"/>
      <c r="B252" s="5"/>
      <c r="C252" s="5"/>
      <c r="D252" s="5"/>
      <c r="E252" s="14"/>
      <c r="F252" s="4" t="str">
        <f aca="false">IF(OR(J252="",K252="",N(J252)=0,N(K252)&lt;=0),"",ROUNDDOWN(1000*(J252/K252)^3,0))</f>
        <v/>
      </c>
      <c r="G252" s="4" t="str">
        <f aca="false">IF(M252="","",IF(M252+1&gt;COUNT(INDEX(Нормативы!$D$2:$L$71,L252,0)),"Разряда нет",INDEX(Нормативы!$D$1:$L$1,1,M252+1)))</f>
        <v/>
      </c>
      <c r="H252" s="2" t="str">
        <f aca="false">IF(M252="","",IF(M252=0,"—",INDEX(Нормативы!$D$1:$L$1,1,M252)))</f>
        <v/>
      </c>
      <c r="I252" s="7" t="str">
        <f aca="false">IF(M252="","",IF(M252=0,"",IF(INT(ROUND(INDEX(Нормативы!$D$2:$L$71,L252,M252)*100,0)/6000)&gt;0,INT(ROUND(INDEX(Нормативы!$D$2:$L$71,L252,M252)*100,0)/6000)&amp;":"&amp;RIGHT("0"&amp;INT(MOD(ROUND(INDEX(Нормативы!$D$2:$L$71,L252,M252)*100,0),6000)/100),2),INT(MOD(ROUND(INDEX(Нормативы!$D$2:$L$71,L252,M252)*100,0),6000)/100))&amp;"."&amp;RIGHT("0"&amp;MOD(ROUND(INDEX(Нормативы!$D$2:$L$71,L252,M252)*100,0),100),2)))</f>
        <v/>
      </c>
      <c r="J252" s="12" t="str">
        <f aca="false">IF(D252="","",SUMIFS('Базовые времена'!$D$2:$D$71,'Базовые времена'!$A$2:$A$71,B252,'Базовые времена'!$B$2:$B$71,C252,'Базовые времена'!$C$2:$C$71,D252))</f>
        <v/>
      </c>
      <c r="K252" s="12" t="str">
        <f aca="false">IF(E252="","",IF(ISNUMBER(E252),IF(E252&lt;1,E252*86400,E252),IFERROR(IF(ISNUMBER(FIND(":",SUBSTITUTE(TRIM(E252),",","."))),VALUE(LEFT(SUBSTITUTE(TRIM(E252),",","."),FIND(":",SUBSTITUTE(TRIM(E252),",","."))-1))*60+_xlfn.NUMBERVALUE(MID(SUBSTITUTE(TRIM(E252),",","."),FIND(":",SUBSTITUTE(TRIM(E252),",","."))+1,99),"."),_xlfn.NUMBERVALUE(SUBSTITUTE(TRIM(E252),",","."),".")),0)))</f>
        <v/>
      </c>
      <c r="L252" s="3" t="str">
        <f aca="false">IF(OR(D252="",N(K252)&lt;=0),"",IFERROR(MATCH(B252&amp;"|"&amp;C252&amp;"|"&amp;D252,Нормативы!$M$2:$M$71,0),""))</f>
        <v/>
      </c>
      <c r="M252" s="3" t="str">
        <f aca="false">IF(L252="","",SUMPRODUCT((INDEX(Нормативы!$D$2:$L$71,L252,0)&lt;K252)*ISNUMBER(INDEX(Нормативы!$D$2:$L$71,L252,0))))</f>
        <v/>
      </c>
    </row>
    <row r="253" customFormat="false" ht="15" hidden="false" customHeight="false" outlineLevel="0" collapsed="false">
      <c r="A253" s="5"/>
      <c r="B253" s="5"/>
      <c r="C253" s="5"/>
      <c r="D253" s="5"/>
      <c r="E253" s="14"/>
      <c r="F253" s="4" t="str">
        <f aca="false">IF(OR(J253="",K253="",N(J253)=0,N(K253)&lt;=0),"",ROUNDDOWN(1000*(J253/K253)^3,0))</f>
        <v/>
      </c>
      <c r="G253" s="4" t="str">
        <f aca="false">IF(M253="","",IF(M253+1&gt;COUNT(INDEX(Нормативы!$D$2:$L$71,L253,0)),"Разряда нет",INDEX(Нормативы!$D$1:$L$1,1,M253+1)))</f>
        <v/>
      </c>
      <c r="H253" s="2" t="str">
        <f aca="false">IF(M253="","",IF(M253=0,"—",INDEX(Нормативы!$D$1:$L$1,1,M253)))</f>
        <v/>
      </c>
      <c r="I253" s="7" t="str">
        <f aca="false">IF(M253="","",IF(M253=0,"",IF(INT(ROUND(INDEX(Нормативы!$D$2:$L$71,L253,M253)*100,0)/6000)&gt;0,INT(ROUND(INDEX(Нормативы!$D$2:$L$71,L253,M253)*100,0)/6000)&amp;":"&amp;RIGHT("0"&amp;INT(MOD(ROUND(INDEX(Нормативы!$D$2:$L$71,L253,M253)*100,0),6000)/100),2),INT(MOD(ROUND(INDEX(Нормативы!$D$2:$L$71,L253,M253)*100,0),6000)/100))&amp;"."&amp;RIGHT("0"&amp;MOD(ROUND(INDEX(Нормативы!$D$2:$L$71,L253,M253)*100,0),100),2)))</f>
        <v/>
      </c>
      <c r="J253" s="12" t="str">
        <f aca="false">IF(D253="","",SUMIFS('Базовые времена'!$D$2:$D$71,'Базовые времена'!$A$2:$A$71,B253,'Базовые времена'!$B$2:$B$71,C253,'Базовые времена'!$C$2:$C$71,D253))</f>
        <v/>
      </c>
      <c r="K253" s="12" t="str">
        <f aca="false">IF(E253="","",IF(ISNUMBER(E253),IF(E253&lt;1,E253*86400,E253),IFERROR(IF(ISNUMBER(FIND(":",SUBSTITUTE(TRIM(E253),",","."))),VALUE(LEFT(SUBSTITUTE(TRIM(E253),",","."),FIND(":",SUBSTITUTE(TRIM(E253),",","."))-1))*60+_xlfn.NUMBERVALUE(MID(SUBSTITUTE(TRIM(E253),",","."),FIND(":",SUBSTITUTE(TRIM(E253),",","."))+1,99),"."),_xlfn.NUMBERVALUE(SUBSTITUTE(TRIM(E253),",","."),".")),0)))</f>
        <v/>
      </c>
      <c r="L253" s="3" t="str">
        <f aca="false">IF(OR(D253="",N(K253)&lt;=0),"",IFERROR(MATCH(B253&amp;"|"&amp;C253&amp;"|"&amp;D253,Нормативы!$M$2:$M$71,0),""))</f>
        <v/>
      </c>
      <c r="M253" s="3" t="str">
        <f aca="false">IF(L253="","",SUMPRODUCT((INDEX(Нормативы!$D$2:$L$71,L253,0)&lt;K253)*ISNUMBER(INDEX(Нормативы!$D$2:$L$71,L253,0))))</f>
        <v/>
      </c>
    </row>
    <row r="254" customFormat="false" ht="15" hidden="false" customHeight="false" outlineLevel="0" collapsed="false">
      <c r="A254" s="5"/>
      <c r="B254" s="5"/>
      <c r="C254" s="5"/>
      <c r="D254" s="5"/>
      <c r="E254" s="14"/>
      <c r="F254" s="4" t="str">
        <f aca="false">IF(OR(J254="",K254="",N(J254)=0,N(K254)&lt;=0),"",ROUNDDOWN(1000*(J254/K254)^3,0))</f>
        <v/>
      </c>
      <c r="G254" s="4" t="str">
        <f aca="false">IF(M254="","",IF(M254+1&gt;COUNT(INDEX(Нормативы!$D$2:$L$71,L254,0)),"Разряда нет",INDEX(Нормативы!$D$1:$L$1,1,M254+1)))</f>
        <v/>
      </c>
      <c r="H254" s="2" t="str">
        <f aca="false">IF(M254="","",IF(M254=0,"—",INDEX(Нормативы!$D$1:$L$1,1,M254)))</f>
        <v/>
      </c>
      <c r="I254" s="7" t="str">
        <f aca="false">IF(M254="","",IF(M254=0,"",IF(INT(ROUND(INDEX(Нормативы!$D$2:$L$71,L254,M254)*100,0)/6000)&gt;0,INT(ROUND(INDEX(Нормативы!$D$2:$L$71,L254,M254)*100,0)/6000)&amp;":"&amp;RIGHT("0"&amp;INT(MOD(ROUND(INDEX(Нормативы!$D$2:$L$71,L254,M254)*100,0),6000)/100),2),INT(MOD(ROUND(INDEX(Нормативы!$D$2:$L$71,L254,M254)*100,0),6000)/100))&amp;"."&amp;RIGHT("0"&amp;MOD(ROUND(INDEX(Нормативы!$D$2:$L$71,L254,M254)*100,0),100),2)))</f>
        <v/>
      </c>
      <c r="J254" s="12" t="str">
        <f aca="false">IF(D254="","",SUMIFS('Базовые времена'!$D$2:$D$71,'Базовые времена'!$A$2:$A$71,B254,'Базовые времена'!$B$2:$B$71,C254,'Базовые времена'!$C$2:$C$71,D254))</f>
        <v/>
      </c>
      <c r="K254" s="12" t="str">
        <f aca="false">IF(E254="","",IF(ISNUMBER(E254),IF(E254&lt;1,E254*86400,E254),IFERROR(IF(ISNUMBER(FIND(":",SUBSTITUTE(TRIM(E254),",","."))),VALUE(LEFT(SUBSTITUTE(TRIM(E254),",","."),FIND(":",SUBSTITUTE(TRIM(E254),",","."))-1))*60+_xlfn.NUMBERVALUE(MID(SUBSTITUTE(TRIM(E254),",","."),FIND(":",SUBSTITUTE(TRIM(E254),",","."))+1,99),"."),_xlfn.NUMBERVALUE(SUBSTITUTE(TRIM(E254),",","."),".")),0)))</f>
        <v/>
      </c>
      <c r="L254" s="3" t="str">
        <f aca="false">IF(OR(D254="",N(K254)&lt;=0),"",IFERROR(MATCH(B254&amp;"|"&amp;C254&amp;"|"&amp;D254,Нормативы!$M$2:$M$71,0),""))</f>
        <v/>
      </c>
      <c r="M254" s="3" t="str">
        <f aca="false">IF(L254="","",SUMPRODUCT((INDEX(Нормативы!$D$2:$L$71,L254,0)&lt;K254)*ISNUMBER(INDEX(Нормативы!$D$2:$L$71,L254,0))))</f>
        <v/>
      </c>
    </row>
    <row r="255" customFormat="false" ht="15" hidden="false" customHeight="false" outlineLevel="0" collapsed="false">
      <c r="A255" s="5"/>
      <c r="B255" s="5"/>
      <c r="C255" s="5"/>
      <c r="D255" s="5"/>
      <c r="E255" s="14"/>
      <c r="F255" s="4" t="str">
        <f aca="false">IF(OR(J255="",K255="",N(J255)=0,N(K255)&lt;=0),"",ROUNDDOWN(1000*(J255/K255)^3,0))</f>
        <v/>
      </c>
      <c r="G255" s="4" t="str">
        <f aca="false">IF(M255="","",IF(M255+1&gt;COUNT(INDEX(Нормативы!$D$2:$L$71,L255,0)),"Разряда нет",INDEX(Нормативы!$D$1:$L$1,1,M255+1)))</f>
        <v/>
      </c>
      <c r="H255" s="2" t="str">
        <f aca="false">IF(M255="","",IF(M255=0,"—",INDEX(Нормативы!$D$1:$L$1,1,M255)))</f>
        <v/>
      </c>
      <c r="I255" s="7" t="str">
        <f aca="false">IF(M255="","",IF(M255=0,"",IF(INT(ROUND(INDEX(Нормативы!$D$2:$L$71,L255,M255)*100,0)/6000)&gt;0,INT(ROUND(INDEX(Нормативы!$D$2:$L$71,L255,M255)*100,0)/6000)&amp;":"&amp;RIGHT("0"&amp;INT(MOD(ROUND(INDEX(Нормативы!$D$2:$L$71,L255,M255)*100,0),6000)/100),2),INT(MOD(ROUND(INDEX(Нормативы!$D$2:$L$71,L255,M255)*100,0),6000)/100))&amp;"."&amp;RIGHT("0"&amp;MOD(ROUND(INDEX(Нормативы!$D$2:$L$71,L255,M255)*100,0),100),2)))</f>
        <v/>
      </c>
      <c r="J255" s="12" t="str">
        <f aca="false">IF(D255="","",SUMIFS('Базовые времена'!$D$2:$D$71,'Базовые времена'!$A$2:$A$71,B255,'Базовые времена'!$B$2:$B$71,C255,'Базовые времена'!$C$2:$C$71,D255))</f>
        <v/>
      </c>
      <c r="K255" s="12" t="str">
        <f aca="false">IF(E255="","",IF(ISNUMBER(E255),IF(E255&lt;1,E255*86400,E255),IFERROR(IF(ISNUMBER(FIND(":",SUBSTITUTE(TRIM(E255),",","."))),VALUE(LEFT(SUBSTITUTE(TRIM(E255),",","."),FIND(":",SUBSTITUTE(TRIM(E255),",","."))-1))*60+_xlfn.NUMBERVALUE(MID(SUBSTITUTE(TRIM(E255),",","."),FIND(":",SUBSTITUTE(TRIM(E255),",","."))+1,99),"."),_xlfn.NUMBERVALUE(SUBSTITUTE(TRIM(E255),",","."),".")),0)))</f>
        <v/>
      </c>
      <c r="L255" s="3" t="str">
        <f aca="false">IF(OR(D255="",N(K255)&lt;=0),"",IFERROR(MATCH(B255&amp;"|"&amp;C255&amp;"|"&amp;D255,Нормативы!$M$2:$M$71,0),""))</f>
        <v/>
      </c>
      <c r="M255" s="3" t="str">
        <f aca="false">IF(L255="","",SUMPRODUCT((INDEX(Нормативы!$D$2:$L$71,L255,0)&lt;K255)*ISNUMBER(INDEX(Нормативы!$D$2:$L$71,L255,0))))</f>
        <v/>
      </c>
    </row>
    <row r="256" customFormat="false" ht="15" hidden="false" customHeight="false" outlineLevel="0" collapsed="false">
      <c r="A256" s="5"/>
      <c r="B256" s="5"/>
      <c r="C256" s="5"/>
      <c r="D256" s="5"/>
      <c r="E256" s="14"/>
      <c r="F256" s="4" t="str">
        <f aca="false">IF(OR(J256="",K256="",N(J256)=0,N(K256)&lt;=0),"",ROUNDDOWN(1000*(J256/K256)^3,0))</f>
        <v/>
      </c>
      <c r="G256" s="4" t="str">
        <f aca="false">IF(M256="","",IF(M256+1&gt;COUNT(INDEX(Нормативы!$D$2:$L$71,L256,0)),"Разряда нет",INDEX(Нормативы!$D$1:$L$1,1,M256+1)))</f>
        <v/>
      </c>
      <c r="H256" s="2" t="str">
        <f aca="false">IF(M256="","",IF(M256=0,"—",INDEX(Нормативы!$D$1:$L$1,1,M256)))</f>
        <v/>
      </c>
      <c r="I256" s="7" t="str">
        <f aca="false">IF(M256="","",IF(M256=0,"",IF(INT(ROUND(INDEX(Нормативы!$D$2:$L$71,L256,M256)*100,0)/6000)&gt;0,INT(ROUND(INDEX(Нормативы!$D$2:$L$71,L256,M256)*100,0)/6000)&amp;":"&amp;RIGHT("0"&amp;INT(MOD(ROUND(INDEX(Нормативы!$D$2:$L$71,L256,M256)*100,0),6000)/100),2),INT(MOD(ROUND(INDEX(Нормативы!$D$2:$L$71,L256,M256)*100,0),6000)/100))&amp;"."&amp;RIGHT("0"&amp;MOD(ROUND(INDEX(Нормативы!$D$2:$L$71,L256,M256)*100,0),100),2)))</f>
        <v/>
      </c>
      <c r="J256" s="12" t="str">
        <f aca="false">IF(D256="","",SUMIFS('Базовые времена'!$D$2:$D$71,'Базовые времена'!$A$2:$A$71,B256,'Базовые времена'!$B$2:$B$71,C256,'Базовые времена'!$C$2:$C$71,D256))</f>
        <v/>
      </c>
      <c r="K256" s="12" t="str">
        <f aca="false">IF(E256="","",IF(ISNUMBER(E256),IF(E256&lt;1,E256*86400,E256),IFERROR(IF(ISNUMBER(FIND(":",SUBSTITUTE(TRIM(E256),",","."))),VALUE(LEFT(SUBSTITUTE(TRIM(E256),",","."),FIND(":",SUBSTITUTE(TRIM(E256),",","."))-1))*60+_xlfn.NUMBERVALUE(MID(SUBSTITUTE(TRIM(E256),",","."),FIND(":",SUBSTITUTE(TRIM(E256),",","."))+1,99),"."),_xlfn.NUMBERVALUE(SUBSTITUTE(TRIM(E256),",","."),".")),0)))</f>
        <v/>
      </c>
      <c r="L256" s="3" t="str">
        <f aca="false">IF(OR(D256="",N(K256)&lt;=0),"",IFERROR(MATCH(B256&amp;"|"&amp;C256&amp;"|"&amp;D256,Нормативы!$M$2:$M$71,0),""))</f>
        <v/>
      </c>
      <c r="M256" s="3" t="str">
        <f aca="false">IF(L256="","",SUMPRODUCT((INDEX(Нормативы!$D$2:$L$71,L256,0)&lt;K256)*ISNUMBER(INDEX(Нормативы!$D$2:$L$71,L256,0))))</f>
        <v/>
      </c>
    </row>
    <row r="257" customFormat="false" ht="15" hidden="false" customHeight="false" outlineLevel="0" collapsed="false">
      <c r="A257" s="5"/>
      <c r="B257" s="5"/>
      <c r="C257" s="5"/>
      <c r="D257" s="5"/>
      <c r="E257" s="14"/>
      <c r="F257" s="4" t="str">
        <f aca="false">IF(OR(J257="",K257="",N(J257)=0,N(K257)&lt;=0),"",ROUNDDOWN(1000*(J257/K257)^3,0))</f>
        <v/>
      </c>
      <c r="G257" s="4" t="str">
        <f aca="false">IF(M257="","",IF(M257+1&gt;COUNT(INDEX(Нормативы!$D$2:$L$71,L257,0)),"Разряда нет",INDEX(Нормативы!$D$1:$L$1,1,M257+1)))</f>
        <v/>
      </c>
      <c r="H257" s="2" t="str">
        <f aca="false">IF(M257="","",IF(M257=0,"—",INDEX(Нормативы!$D$1:$L$1,1,M257)))</f>
        <v/>
      </c>
      <c r="I257" s="7" t="str">
        <f aca="false">IF(M257="","",IF(M257=0,"",IF(INT(ROUND(INDEX(Нормативы!$D$2:$L$71,L257,M257)*100,0)/6000)&gt;0,INT(ROUND(INDEX(Нормативы!$D$2:$L$71,L257,M257)*100,0)/6000)&amp;":"&amp;RIGHT("0"&amp;INT(MOD(ROUND(INDEX(Нормативы!$D$2:$L$71,L257,M257)*100,0),6000)/100),2),INT(MOD(ROUND(INDEX(Нормативы!$D$2:$L$71,L257,M257)*100,0),6000)/100))&amp;"."&amp;RIGHT("0"&amp;MOD(ROUND(INDEX(Нормативы!$D$2:$L$71,L257,M257)*100,0),100),2)))</f>
        <v/>
      </c>
      <c r="J257" s="12" t="str">
        <f aca="false">IF(D257="","",SUMIFS('Базовые времена'!$D$2:$D$71,'Базовые времена'!$A$2:$A$71,B257,'Базовые времена'!$B$2:$B$71,C257,'Базовые времена'!$C$2:$C$71,D257))</f>
        <v/>
      </c>
      <c r="K257" s="12" t="str">
        <f aca="false">IF(E257="","",IF(ISNUMBER(E257),IF(E257&lt;1,E257*86400,E257),IFERROR(IF(ISNUMBER(FIND(":",SUBSTITUTE(TRIM(E257),",","."))),VALUE(LEFT(SUBSTITUTE(TRIM(E257),",","."),FIND(":",SUBSTITUTE(TRIM(E257),",","."))-1))*60+_xlfn.NUMBERVALUE(MID(SUBSTITUTE(TRIM(E257),",","."),FIND(":",SUBSTITUTE(TRIM(E257),",","."))+1,99),"."),_xlfn.NUMBERVALUE(SUBSTITUTE(TRIM(E257),",","."),".")),0)))</f>
        <v/>
      </c>
      <c r="L257" s="3" t="str">
        <f aca="false">IF(OR(D257="",N(K257)&lt;=0),"",IFERROR(MATCH(B257&amp;"|"&amp;C257&amp;"|"&amp;D257,Нормативы!$M$2:$M$71,0),""))</f>
        <v/>
      </c>
      <c r="M257" s="3" t="str">
        <f aca="false">IF(L257="","",SUMPRODUCT((INDEX(Нормативы!$D$2:$L$71,L257,0)&lt;K257)*ISNUMBER(INDEX(Нормативы!$D$2:$L$71,L257,0))))</f>
        <v/>
      </c>
    </row>
    <row r="258" customFormat="false" ht="15" hidden="false" customHeight="false" outlineLevel="0" collapsed="false">
      <c r="A258" s="5"/>
      <c r="B258" s="5"/>
      <c r="C258" s="5"/>
      <c r="D258" s="5"/>
      <c r="E258" s="14"/>
      <c r="F258" s="4" t="str">
        <f aca="false">IF(OR(J258="",K258="",N(J258)=0,N(K258)&lt;=0),"",ROUNDDOWN(1000*(J258/K258)^3,0))</f>
        <v/>
      </c>
      <c r="G258" s="4" t="str">
        <f aca="false">IF(M258="","",IF(M258+1&gt;COUNT(INDEX(Нормативы!$D$2:$L$71,L258,0)),"Разряда нет",INDEX(Нормативы!$D$1:$L$1,1,M258+1)))</f>
        <v/>
      </c>
      <c r="H258" s="2" t="str">
        <f aca="false">IF(M258="","",IF(M258=0,"—",INDEX(Нормативы!$D$1:$L$1,1,M258)))</f>
        <v/>
      </c>
      <c r="I258" s="7" t="str">
        <f aca="false">IF(M258="","",IF(M258=0,"",IF(INT(ROUND(INDEX(Нормативы!$D$2:$L$71,L258,M258)*100,0)/6000)&gt;0,INT(ROUND(INDEX(Нормативы!$D$2:$L$71,L258,M258)*100,0)/6000)&amp;":"&amp;RIGHT("0"&amp;INT(MOD(ROUND(INDEX(Нормативы!$D$2:$L$71,L258,M258)*100,0),6000)/100),2),INT(MOD(ROUND(INDEX(Нормативы!$D$2:$L$71,L258,M258)*100,0),6000)/100))&amp;"."&amp;RIGHT("0"&amp;MOD(ROUND(INDEX(Нормативы!$D$2:$L$71,L258,M258)*100,0),100),2)))</f>
        <v/>
      </c>
      <c r="J258" s="12" t="str">
        <f aca="false">IF(D258="","",SUMIFS('Базовые времена'!$D$2:$D$71,'Базовые времена'!$A$2:$A$71,B258,'Базовые времена'!$B$2:$B$71,C258,'Базовые времена'!$C$2:$C$71,D258))</f>
        <v/>
      </c>
      <c r="K258" s="12" t="str">
        <f aca="false">IF(E258="","",IF(ISNUMBER(E258),IF(E258&lt;1,E258*86400,E258),IFERROR(IF(ISNUMBER(FIND(":",SUBSTITUTE(TRIM(E258),",","."))),VALUE(LEFT(SUBSTITUTE(TRIM(E258),",","."),FIND(":",SUBSTITUTE(TRIM(E258),",","."))-1))*60+_xlfn.NUMBERVALUE(MID(SUBSTITUTE(TRIM(E258),",","."),FIND(":",SUBSTITUTE(TRIM(E258),",","."))+1,99),"."),_xlfn.NUMBERVALUE(SUBSTITUTE(TRIM(E258),",","."),".")),0)))</f>
        <v/>
      </c>
      <c r="L258" s="3" t="str">
        <f aca="false">IF(OR(D258="",N(K258)&lt;=0),"",IFERROR(MATCH(B258&amp;"|"&amp;C258&amp;"|"&amp;D258,Нормативы!$M$2:$M$71,0),""))</f>
        <v/>
      </c>
      <c r="M258" s="3" t="str">
        <f aca="false">IF(L258="","",SUMPRODUCT((INDEX(Нормативы!$D$2:$L$71,L258,0)&lt;K258)*ISNUMBER(INDEX(Нормативы!$D$2:$L$71,L258,0))))</f>
        <v/>
      </c>
    </row>
    <row r="259" customFormat="false" ht="15" hidden="false" customHeight="false" outlineLevel="0" collapsed="false">
      <c r="A259" s="5"/>
      <c r="B259" s="5"/>
      <c r="C259" s="5"/>
      <c r="D259" s="5"/>
      <c r="E259" s="14"/>
      <c r="F259" s="4" t="str">
        <f aca="false">IF(OR(J259="",K259="",N(J259)=0,N(K259)&lt;=0),"",ROUNDDOWN(1000*(J259/K259)^3,0))</f>
        <v/>
      </c>
      <c r="G259" s="4" t="str">
        <f aca="false">IF(M259="","",IF(M259+1&gt;COUNT(INDEX(Нормативы!$D$2:$L$71,L259,0)),"Разряда нет",INDEX(Нормативы!$D$1:$L$1,1,M259+1)))</f>
        <v/>
      </c>
      <c r="H259" s="2" t="str">
        <f aca="false">IF(M259="","",IF(M259=0,"—",INDEX(Нормативы!$D$1:$L$1,1,M259)))</f>
        <v/>
      </c>
      <c r="I259" s="7" t="str">
        <f aca="false">IF(M259="","",IF(M259=0,"",IF(INT(ROUND(INDEX(Нормативы!$D$2:$L$71,L259,M259)*100,0)/6000)&gt;0,INT(ROUND(INDEX(Нормативы!$D$2:$L$71,L259,M259)*100,0)/6000)&amp;":"&amp;RIGHT("0"&amp;INT(MOD(ROUND(INDEX(Нормативы!$D$2:$L$71,L259,M259)*100,0),6000)/100),2),INT(MOD(ROUND(INDEX(Нормативы!$D$2:$L$71,L259,M259)*100,0),6000)/100))&amp;"."&amp;RIGHT("0"&amp;MOD(ROUND(INDEX(Нормативы!$D$2:$L$71,L259,M259)*100,0),100),2)))</f>
        <v/>
      </c>
      <c r="J259" s="12" t="str">
        <f aca="false">IF(D259="","",SUMIFS('Базовые времена'!$D$2:$D$71,'Базовые времена'!$A$2:$A$71,B259,'Базовые времена'!$B$2:$B$71,C259,'Базовые времена'!$C$2:$C$71,D259))</f>
        <v/>
      </c>
      <c r="K259" s="12" t="str">
        <f aca="false">IF(E259="","",IF(ISNUMBER(E259),IF(E259&lt;1,E259*86400,E259),IFERROR(IF(ISNUMBER(FIND(":",SUBSTITUTE(TRIM(E259),",","."))),VALUE(LEFT(SUBSTITUTE(TRIM(E259),",","."),FIND(":",SUBSTITUTE(TRIM(E259),",","."))-1))*60+_xlfn.NUMBERVALUE(MID(SUBSTITUTE(TRIM(E259),",","."),FIND(":",SUBSTITUTE(TRIM(E259),",","."))+1,99),"."),_xlfn.NUMBERVALUE(SUBSTITUTE(TRIM(E259),",","."),".")),0)))</f>
        <v/>
      </c>
      <c r="L259" s="3" t="str">
        <f aca="false">IF(OR(D259="",N(K259)&lt;=0),"",IFERROR(MATCH(B259&amp;"|"&amp;C259&amp;"|"&amp;D259,Нормативы!$M$2:$M$71,0),""))</f>
        <v/>
      </c>
      <c r="M259" s="3" t="str">
        <f aca="false">IF(L259="","",SUMPRODUCT((INDEX(Нормативы!$D$2:$L$71,L259,0)&lt;K259)*ISNUMBER(INDEX(Нормативы!$D$2:$L$71,L259,0))))</f>
        <v/>
      </c>
    </row>
    <row r="260" customFormat="false" ht="15" hidden="false" customHeight="false" outlineLevel="0" collapsed="false">
      <c r="A260" s="5"/>
      <c r="B260" s="5"/>
      <c r="C260" s="5"/>
      <c r="D260" s="5"/>
      <c r="E260" s="14"/>
      <c r="F260" s="4" t="str">
        <f aca="false">IF(OR(J260="",K260="",N(J260)=0,N(K260)&lt;=0),"",ROUNDDOWN(1000*(J260/K260)^3,0))</f>
        <v/>
      </c>
      <c r="G260" s="4" t="str">
        <f aca="false">IF(M260="","",IF(M260+1&gt;COUNT(INDEX(Нормативы!$D$2:$L$71,L260,0)),"Разряда нет",INDEX(Нормативы!$D$1:$L$1,1,M260+1)))</f>
        <v/>
      </c>
      <c r="H260" s="2" t="str">
        <f aca="false">IF(M260="","",IF(M260=0,"—",INDEX(Нормативы!$D$1:$L$1,1,M260)))</f>
        <v/>
      </c>
      <c r="I260" s="7" t="str">
        <f aca="false">IF(M260="","",IF(M260=0,"",IF(INT(ROUND(INDEX(Нормативы!$D$2:$L$71,L260,M260)*100,0)/6000)&gt;0,INT(ROUND(INDEX(Нормативы!$D$2:$L$71,L260,M260)*100,0)/6000)&amp;":"&amp;RIGHT("0"&amp;INT(MOD(ROUND(INDEX(Нормативы!$D$2:$L$71,L260,M260)*100,0),6000)/100),2),INT(MOD(ROUND(INDEX(Нормативы!$D$2:$L$71,L260,M260)*100,0),6000)/100))&amp;"."&amp;RIGHT("0"&amp;MOD(ROUND(INDEX(Нормативы!$D$2:$L$71,L260,M260)*100,0),100),2)))</f>
        <v/>
      </c>
      <c r="J260" s="12" t="str">
        <f aca="false">IF(D260="","",SUMIFS('Базовые времена'!$D$2:$D$71,'Базовые времена'!$A$2:$A$71,B260,'Базовые времена'!$B$2:$B$71,C260,'Базовые времена'!$C$2:$C$71,D260))</f>
        <v/>
      </c>
      <c r="K260" s="12" t="str">
        <f aca="false">IF(E260="","",IF(ISNUMBER(E260),IF(E260&lt;1,E260*86400,E260),IFERROR(IF(ISNUMBER(FIND(":",SUBSTITUTE(TRIM(E260),",","."))),VALUE(LEFT(SUBSTITUTE(TRIM(E260),",","."),FIND(":",SUBSTITUTE(TRIM(E260),",","."))-1))*60+_xlfn.NUMBERVALUE(MID(SUBSTITUTE(TRIM(E260),",","."),FIND(":",SUBSTITUTE(TRIM(E260),",","."))+1,99),"."),_xlfn.NUMBERVALUE(SUBSTITUTE(TRIM(E260),",","."),".")),0)))</f>
        <v/>
      </c>
      <c r="L260" s="3" t="str">
        <f aca="false">IF(OR(D260="",N(K260)&lt;=0),"",IFERROR(MATCH(B260&amp;"|"&amp;C260&amp;"|"&amp;D260,Нормативы!$M$2:$M$71,0),""))</f>
        <v/>
      </c>
      <c r="M260" s="3" t="str">
        <f aca="false">IF(L260="","",SUMPRODUCT((INDEX(Нормативы!$D$2:$L$71,L260,0)&lt;K260)*ISNUMBER(INDEX(Нормативы!$D$2:$L$71,L260,0))))</f>
        <v/>
      </c>
    </row>
    <row r="261" customFormat="false" ht="15" hidden="false" customHeight="false" outlineLevel="0" collapsed="false">
      <c r="A261" s="5"/>
      <c r="B261" s="5"/>
      <c r="C261" s="5"/>
      <c r="D261" s="5"/>
      <c r="E261" s="14"/>
      <c r="F261" s="4" t="str">
        <f aca="false">IF(OR(J261="",K261="",N(J261)=0,N(K261)&lt;=0),"",ROUNDDOWN(1000*(J261/K261)^3,0))</f>
        <v/>
      </c>
      <c r="G261" s="4" t="str">
        <f aca="false">IF(M261="","",IF(M261+1&gt;COUNT(INDEX(Нормативы!$D$2:$L$71,L261,0)),"Разряда нет",INDEX(Нормативы!$D$1:$L$1,1,M261+1)))</f>
        <v/>
      </c>
      <c r="H261" s="2" t="str">
        <f aca="false">IF(M261="","",IF(M261=0,"—",INDEX(Нормативы!$D$1:$L$1,1,M261)))</f>
        <v/>
      </c>
      <c r="I261" s="7" t="str">
        <f aca="false">IF(M261="","",IF(M261=0,"",IF(INT(ROUND(INDEX(Нормативы!$D$2:$L$71,L261,M261)*100,0)/6000)&gt;0,INT(ROUND(INDEX(Нормативы!$D$2:$L$71,L261,M261)*100,0)/6000)&amp;":"&amp;RIGHT("0"&amp;INT(MOD(ROUND(INDEX(Нормативы!$D$2:$L$71,L261,M261)*100,0),6000)/100),2),INT(MOD(ROUND(INDEX(Нормативы!$D$2:$L$71,L261,M261)*100,0),6000)/100))&amp;"."&amp;RIGHT("0"&amp;MOD(ROUND(INDEX(Нормативы!$D$2:$L$71,L261,M261)*100,0),100),2)))</f>
        <v/>
      </c>
      <c r="J261" s="12" t="str">
        <f aca="false">IF(D261="","",SUMIFS('Базовые времена'!$D$2:$D$71,'Базовые времена'!$A$2:$A$71,B261,'Базовые времена'!$B$2:$B$71,C261,'Базовые времена'!$C$2:$C$71,D261))</f>
        <v/>
      </c>
      <c r="K261" s="12" t="str">
        <f aca="false">IF(E261="","",IF(ISNUMBER(E261),IF(E261&lt;1,E261*86400,E261),IFERROR(IF(ISNUMBER(FIND(":",SUBSTITUTE(TRIM(E261),",","."))),VALUE(LEFT(SUBSTITUTE(TRIM(E261),",","."),FIND(":",SUBSTITUTE(TRIM(E261),",","."))-1))*60+_xlfn.NUMBERVALUE(MID(SUBSTITUTE(TRIM(E261),",","."),FIND(":",SUBSTITUTE(TRIM(E261),",","."))+1,99),"."),_xlfn.NUMBERVALUE(SUBSTITUTE(TRIM(E261),",","."),".")),0)))</f>
        <v/>
      </c>
      <c r="L261" s="3" t="str">
        <f aca="false">IF(OR(D261="",N(K261)&lt;=0),"",IFERROR(MATCH(B261&amp;"|"&amp;C261&amp;"|"&amp;D261,Нормативы!$M$2:$M$71,0),""))</f>
        <v/>
      </c>
      <c r="M261" s="3" t="str">
        <f aca="false">IF(L261="","",SUMPRODUCT((INDEX(Нормативы!$D$2:$L$71,L261,0)&lt;K261)*ISNUMBER(INDEX(Нормативы!$D$2:$L$71,L261,0))))</f>
        <v/>
      </c>
    </row>
    <row r="262" customFormat="false" ht="15" hidden="false" customHeight="false" outlineLevel="0" collapsed="false">
      <c r="A262" s="5"/>
      <c r="B262" s="5"/>
      <c r="C262" s="5"/>
      <c r="D262" s="5"/>
      <c r="E262" s="14"/>
      <c r="F262" s="4" t="str">
        <f aca="false">IF(OR(J262="",K262="",N(J262)=0,N(K262)&lt;=0),"",ROUNDDOWN(1000*(J262/K262)^3,0))</f>
        <v/>
      </c>
      <c r="G262" s="4" t="str">
        <f aca="false">IF(M262="","",IF(M262+1&gt;COUNT(INDEX(Нормативы!$D$2:$L$71,L262,0)),"Разряда нет",INDEX(Нормативы!$D$1:$L$1,1,M262+1)))</f>
        <v/>
      </c>
      <c r="H262" s="2" t="str">
        <f aca="false">IF(M262="","",IF(M262=0,"—",INDEX(Нормативы!$D$1:$L$1,1,M262)))</f>
        <v/>
      </c>
      <c r="I262" s="7" t="str">
        <f aca="false">IF(M262="","",IF(M262=0,"",IF(INT(ROUND(INDEX(Нормативы!$D$2:$L$71,L262,M262)*100,0)/6000)&gt;0,INT(ROUND(INDEX(Нормативы!$D$2:$L$71,L262,M262)*100,0)/6000)&amp;":"&amp;RIGHT("0"&amp;INT(MOD(ROUND(INDEX(Нормативы!$D$2:$L$71,L262,M262)*100,0),6000)/100),2),INT(MOD(ROUND(INDEX(Нормативы!$D$2:$L$71,L262,M262)*100,0),6000)/100))&amp;"."&amp;RIGHT("0"&amp;MOD(ROUND(INDEX(Нормативы!$D$2:$L$71,L262,M262)*100,0),100),2)))</f>
        <v/>
      </c>
      <c r="J262" s="12" t="str">
        <f aca="false">IF(D262="","",SUMIFS('Базовые времена'!$D$2:$D$71,'Базовые времена'!$A$2:$A$71,B262,'Базовые времена'!$B$2:$B$71,C262,'Базовые времена'!$C$2:$C$71,D262))</f>
        <v/>
      </c>
      <c r="K262" s="12" t="str">
        <f aca="false">IF(E262="","",IF(ISNUMBER(E262),IF(E262&lt;1,E262*86400,E262),IFERROR(IF(ISNUMBER(FIND(":",SUBSTITUTE(TRIM(E262),",","."))),VALUE(LEFT(SUBSTITUTE(TRIM(E262),",","."),FIND(":",SUBSTITUTE(TRIM(E262),",","."))-1))*60+_xlfn.NUMBERVALUE(MID(SUBSTITUTE(TRIM(E262),",","."),FIND(":",SUBSTITUTE(TRIM(E262),",","."))+1,99),"."),_xlfn.NUMBERVALUE(SUBSTITUTE(TRIM(E262),",","."),".")),0)))</f>
        <v/>
      </c>
      <c r="L262" s="3" t="str">
        <f aca="false">IF(OR(D262="",N(K262)&lt;=0),"",IFERROR(MATCH(B262&amp;"|"&amp;C262&amp;"|"&amp;D262,Нормативы!$M$2:$M$71,0),""))</f>
        <v/>
      </c>
      <c r="M262" s="3" t="str">
        <f aca="false">IF(L262="","",SUMPRODUCT((INDEX(Нормативы!$D$2:$L$71,L262,0)&lt;K262)*ISNUMBER(INDEX(Нормативы!$D$2:$L$71,L262,0))))</f>
        <v/>
      </c>
    </row>
    <row r="263" customFormat="false" ht="15" hidden="false" customHeight="false" outlineLevel="0" collapsed="false">
      <c r="A263" s="5"/>
      <c r="B263" s="5"/>
      <c r="C263" s="5"/>
      <c r="D263" s="5"/>
      <c r="E263" s="14"/>
      <c r="F263" s="4" t="str">
        <f aca="false">IF(OR(J263="",K263="",N(J263)=0,N(K263)&lt;=0),"",ROUNDDOWN(1000*(J263/K263)^3,0))</f>
        <v/>
      </c>
      <c r="G263" s="4" t="str">
        <f aca="false">IF(M263="","",IF(M263+1&gt;COUNT(INDEX(Нормативы!$D$2:$L$71,L263,0)),"Разряда нет",INDEX(Нормативы!$D$1:$L$1,1,M263+1)))</f>
        <v/>
      </c>
      <c r="H263" s="2" t="str">
        <f aca="false">IF(M263="","",IF(M263=0,"—",INDEX(Нормативы!$D$1:$L$1,1,M263)))</f>
        <v/>
      </c>
      <c r="I263" s="7" t="str">
        <f aca="false">IF(M263="","",IF(M263=0,"",IF(INT(ROUND(INDEX(Нормативы!$D$2:$L$71,L263,M263)*100,0)/6000)&gt;0,INT(ROUND(INDEX(Нормативы!$D$2:$L$71,L263,M263)*100,0)/6000)&amp;":"&amp;RIGHT("0"&amp;INT(MOD(ROUND(INDEX(Нормативы!$D$2:$L$71,L263,M263)*100,0),6000)/100),2),INT(MOD(ROUND(INDEX(Нормативы!$D$2:$L$71,L263,M263)*100,0),6000)/100))&amp;"."&amp;RIGHT("0"&amp;MOD(ROUND(INDEX(Нормативы!$D$2:$L$71,L263,M263)*100,0),100),2)))</f>
        <v/>
      </c>
      <c r="J263" s="12" t="str">
        <f aca="false">IF(D263="","",SUMIFS('Базовые времена'!$D$2:$D$71,'Базовые времена'!$A$2:$A$71,B263,'Базовые времена'!$B$2:$B$71,C263,'Базовые времена'!$C$2:$C$71,D263))</f>
        <v/>
      </c>
      <c r="K263" s="12" t="str">
        <f aca="false">IF(E263="","",IF(ISNUMBER(E263),IF(E263&lt;1,E263*86400,E263),IFERROR(IF(ISNUMBER(FIND(":",SUBSTITUTE(TRIM(E263),",","."))),VALUE(LEFT(SUBSTITUTE(TRIM(E263),",","."),FIND(":",SUBSTITUTE(TRIM(E263),",","."))-1))*60+_xlfn.NUMBERVALUE(MID(SUBSTITUTE(TRIM(E263),",","."),FIND(":",SUBSTITUTE(TRIM(E263),",","."))+1,99),"."),_xlfn.NUMBERVALUE(SUBSTITUTE(TRIM(E263),",","."),".")),0)))</f>
        <v/>
      </c>
      <c r="L263" s="3" t="str">
        <f aca="false">IF(OR(D263="",N(K263)&lt;=0),"",IFERROR(MATCH(B263&amp;"|"&amp;C263&amp;"|"&amp;D263,Нормативы!$M$2:$M$71,0),""))</f>
        <v/>
      </c>
      <c r="M263" s="3" t="str">
        <f aca="false">IF(L263="","",SUMPRODUCT((INDEX(Нормативы!$D$2:$L$71,L263,0)&lt;K263)*ISNUMBER(INDEX(Нормативы!$D$2:$L$71,L263,0))))</f>
        <v/>
      </c>
    </row>
    <row r="264" customFormat="false" ht="15" hidden="false" customHeight="false" outlineLevel="0" collapsed="false">
      <c r="A264" s="5"/>
      <c r="B264" s="5"/>
      <c r="C264" s="5"/>
      <c r="D264" s="5"/>
      <c r="E264" s="14"/>
      <c r="F264" s="4" t="str">
        <f aca="false">IF(OR(J264="",K264="",N(J264)=0,N(K264)&lt;=0),"",ROUNDDOWN(1000*(J264/K264)^3,0))</f>
        <v/>
      </c>
      <c r="G264" s="4" t="str">
        <f aca="false">IF(M264="","",IF(M264+1&gt;COUNT(INDEX(Нормативы!$D$2:$L$71,L264,0)),"Разряда нет",INDEX(Нормативы!$D$1:$L$1,1,M264+1)))</f>
        <v/>
      </c>
      <c r="H264" s="2" t="str">
        <f aca="false">IF(M264="","",IF(M264=0,"—",INDEX(Нормативы!$D$1:$L$1,1,M264)))</f>
        <v/>
      </c>
      <c r="I264" s="7" t="str">
        <f aca="false">IF(M264="","",IF(M264=0,"",IF(INT(ROUND(INDEX(Нормативы!$D$2:$L$71,L264,M264)*100,0)/6000)&gt;0,INT(ROUND(INDEX(Нормативы!$D$2:$L$71,L264,M264)*100,0)/6000)&amp;":"&amp;RIGHT("0"&amp;INT(MOD(ROUND(INDEX(Нормативы!$D$2:$L$71,L264,M264)*100,0),6000)/100),2),INT(MOD(ROUND(INDEX(Нормативы!$D$2:$L$71,L264,M264)*100,0),6000)/100))&amp;"."&amp;RIGHT("0"&amp;MOD(ROUND(INDEX(Нормативы!$D$2:$L$71,L264,M264)*100,0),100),2)))</f>
        <v/>
      </c>
      <c r="J264" s="12" t="str">
        <f aca="false">IF(D264="","",SUMIFS('Базовые времена'!$D$2:$D$71,'Базовые времена'!$A$2:$A$71,B264,'Базовые времена'!$B$2:$B$71,C264,'Базовые времена'!$C$2:$C$71,D264))</f>
        <v/>
      </c>
      <c r="K264" s="12" t="str">
        <f aca="false">IF(E264="","",IF(ISNUMBER(E264),IF(E264&lt;1,E264*86400,E264),IFERROR(IF(ISNUMBER(FIND(":",SUBSTITUTE(TRIM(E264),",","."))),VALUE(LEFT(SUBSTITUTE(TRIM(E264),",","."),FIND(":",SUBSTITUTE(TRIM(E264),",","."))-1))*60+_xlfn.NUMBERVALUE(MID(SUBSTITUTE(TRIM(E264),",","."),FIND(":",SUBSTITUTE(TRIM(E264),",","."))+1,99),"."),_xlfn.NUMBERVALUE(SUBSTITUTE(TRIM(E264),",","."),".")),0)))</f>
        <v/>
      </c>
      <c r="L264" s="3" t="str">
        <f aca="false">IF(OR(D264="",N(K264)&lt;=0),"",IFERROR(MATCH(B264&amp;"|"&amp;C264&amp;"|"&amp;D264,Нормативы!$M$2:$M$71,0),""))</f>
        <v/>
      </c>
      <c r="M264" s="3" t="str">
        <f aca="false">IF(L264="","",SUMPRODUCT((INDEX(Нормативы!$D$2:$L$71,L264,0)&lt;K264)*ISNUMBER(INDEX(Нормативы!$D$2:$L$71,L264,0))))</f>
        <v/>
      </c>
    </row>
    <row r="265" customFormat="false" ht="15" hidden="false" customHeight="false" outlineLevel="0" collapsed="false">
      <c r="A265" s="5"/>
      <c r="B265" s="5"/>
      <c r="C265" s="5"/>
      <c r="D265" s="5"/>
      <c r="E265" s="14"/>
      <c r="F265" s="4" t="str">
        <f aca="false">IF(OR(J265="",K265="",N(J265)=0,N(K265)&lt;=0),"",ROUNDDOWN(1000*(J265/K265)^3,0))</f>
        <v/>
      </c>
      <c r="G265" s="4" t="str">
        <f aca="false">IF(M265="","",IF(M265+1&gt;COUNT(INDEX(Нормативы!$D$2:$L$71,L265,0)),"Разряда нет",INDEX(Нормативы!$D$1:$L$1,1,M265+1)))</f>
        <v/>
      </c>
      <c r="H265" s="2" t="str">
        <f aca="false">IF(M265="","",IF(M265=0,"—",INDEX(Нормативы!$D$1:$L$1,1,M265)))</f>
        <v/>
      </c>
      <c r="I265" s="7" t="str">
        <f aca="false">IF(M265="","",IF(M265=0,"",IF(INT(ROUND(INDEX(Нормативы!$D$2:$L$71,L265,M265)*100,0)/6000)&gt;0,INT(ROUND(INDEX(Нормативы!$D$2:$L$71,L265,M265)*100,0)/6000)&amp;":"&amp;RIGHT("0"&amp;INT(MOD(ROUND(INDEX(Нормативы!$D$2:$L$71,L265,M265)*100,0),6000)/100),2),INT(MOD(ROUND(INDEX(Нормативы!$D$2:$L$71,L265,M265)*100,0),6000)/100))&amp;"."&amp;RIGHT("0"&amp;MOD(ROUND(INDEX(Нормативы!$D$2:$L$71,L265,M265)*100,0),100),2)))</f>
        <v/>
      </c>
      <c r="J265" s="12" t="str">
        <f aca="false">IF(D265="","",SUMIFS('Базовые времена'!$D$2:$D$71,'Базовые времена'!$A$2:$A$71,B265,'Базовые времена'!$B$2:$B$71,C265,'Базовые времена'!$C$2:$C$71,D265))</f>
        <v/>
      </c>
      <c r="K265" s="12" t="str">
        <f aca="false">IF(E265="","",IF(ISNUMBER(E265),IF(E265&lt;1,E265*86400,E265),IFERROR(IF(ISNUMBER(FIND(":",SUBSTITUTE(TRIM(E265),",","."))),VALUE(LEFT(SUBSTITUTE(TRIM(E265),",","."),FIND(":",SUBSTITUTE(TRIM(E265),",","."))-1))*60+_xlfn.NUMBERVALUE(MID(SUBSTITUTE(TRIM(E265),",","."),FIND(":",SUBSTITUTE(TRIM(E265),",","."))+1,99),"."),_xlfn.NUMBERVALUE(SUBSTITUTE(TRIM(E265),",","."),".")),0)))</f>
        <v/>
      </c>
      <c r="L265" s="3" t="str">
        <f aca="false">IF(OR(D265="",N(K265)&lt;=0),"",IFERROR(MATCH(B265&amp;"|"&amp;C265&amp;"|"&amp;D265,Нормативы!$M$2:$M$71,0),""))</f>
        <v/>
      </c>
      <c r="M265" s="3" t="str">
        <f aca="false">IF(L265="","",SUMPRODUCT((INDEX(Нормативы!$D$2:$L$71,L265,0)&lt;K265)*ISNUMBER(INDEX(Нормативы!$D$2:$L$71,L265,0))))</f>
        <v/>
      </c>
    </row>
    <row r="266" customFormat="false" ht="15" hidden="false" customHeight="false" outlineLevel="0" collapsed="false">
      <c r="A266" s="5"/>
      <c r="B266" s="5"/>
      <c r="C266" s="5"/>
      <c r="D266" s="5"/>
      <c r="E266" s="14"/>
      <c r="F266" s="4" t="str">
        <f aca="false">IF(OR(J266="",K266="",N(J266)=0,N(K266)&lt;=0),"",ROUNDDOWN(1000*(J266/K266)^3,0))</f>
        <v/>
      </c>
      <c r="G266" s="4" t="str">
        <f aca="false">IF(M266="","",IF(M266+1&gt;COUNT(INDEX(Нормативы!$D$2:$L$71,L266,0)),"Разряда нет",INDEX(Нормативы!$D$1:$L$1,1,M266+1)))</f>
        <v/>
      </c>
      <c r="H266" s="2" t="str">
        <f aca="false">IF(M266="","",IF(M266=0,"—",INDEX(Нормативы!$D$1:$L$1,1,M266)))</f>
        <v/>
      </c>
      <c r="I266" s="7" t="str">
        <f aca="false">IF(M266="","",IF(M266=0,"",IF(INT(ROUND(INDEX(Нормативы!$D$2:$L$71,L266,M266)*100,0)/6000)&gt;0,INT(ROUND(INDEX(Нормативы!$D$2:$L$71,L266,M266)*100,0)/6000)&amp;":"&amp;RIGHT("0"&amp;INT(MOD(ROUND(INDEX(Нормативы!$D$2:$L$71,L266,M266)*100,0),6000)/100),2),INT(MOD(ROUND(INDEX(Нормативы!$D$2:$L$71,L266,M266)*100,0),6000)/100))&amp;"."&amp;RIGHT("0"&amp;MOD(ROUND(INDEX(Нормативы!$D$2:$L$71,L266,M266)*100,0),100),2)))</f>
        <v/>
      </c>
      <c r="J266" s="12" t="str">
        <f aca="false">IF(D266="","",SUMIFS('Базовые времена'!$D$2:$D$71,'Базовые времена'!$A$2:$A$71,B266,'Базовые времена'!$B$2:$B$71,C266,'Базовые времена'!$C$2:$C$71,D266))</f>
        <v/>
      </c>
      <c r="K266" s="12" t="str">
        <f aca="false">IF(E266="","",IF(ISNUMBER(E266),IF(E266&lt;1,E266*86400,E266),IFERROR(IF(ISNUMBER(FIND(":",SUBSTITUTE(TRIM(E266),",","."))),VALUE(LEFT(SUBSTITUTE(TRIM(E266),",","."),FIND(":",SUBSTITUTE(TRIM(E266),",","."))-1))*60+_xlfn.NUMBERVALUE(MID(SUBSTITUTE(TRIM(E266),",","."),FIND(":",SUBSTITUTE(TRIM(E266),",","."))+1,99),"."),_xlfn.NUMBERVALUE(SUBSTITUTE(TRIM(E266),",","."),".")),0)))</f>
        <v/>
      </c>
      <c r="L266" s="3" t="str">
        <f aca="false">IF(OR(D266="",N(K266)&lt;=0),"",IFERROR(MATCH(B266&amp;"|"&amp;C266&amp;"|"&amp;D266,Нормативы!$M$2:$M$71,0),""))</f>
        <v/>
      </c>
      <c r="M266" s="3" t="str">
        <f aca="false">IF(L266="","",SUMPRODUCT((INDEX(Нормативы!$D$2:$L$71,L266,0)&lt;K266)*ISNUMBER(INDEX(Нормативы!$D$2:$L$71,L266,0))))</f>
        <v/>
      </c>
    </row>
    <row r="267" customFormat="false" ht="15" hidden="false" customHeight="false" outlineLevel="0" collapsed="false">
      <c r="A267" s="5"/>
      <c r="B267" s="5"/>
      <c r="C267" s="5"/>
      <c r="D267" s="5"/>
      <c r="E267" s="14"/>
      <c r="F267" s="4" t="str">
        <f aca="false">IF(OR(J267="",K267="",N(J267)=0,N(K267)&lt;=0),"",ROUNDDOWN(1000*(J267/K267)^3,0))</f>
        <v/>
      </c>
      <c r="G267" s="4" t="str">
        <f aca="false">IF(M267="","",IF(M267+1&gt;COUNT(INDEX(Нормативы!$D$2:$L$71,L267,0)),"Разряда нет",INDEX(Нормативы!$D$1:$L$1,1,M267+1)))</f>
        <v/>
      </c>
      <c r="H267" s="2" t="str">
        <f aca="false">IF(M267="","",IF(M267=0,"—",INDEX(Нормативы!$D$1:$L$1,1,M267)))</f>
        <v/>
      </c>
      <c r="I267" s="7" t="str">
        <f aca="false">IF(M267="","",IF(M267=0,"",IF(INT(ROUND(INDEX(Нормативы!$D$2:$L$71,L267,M267)*100,0)/6000)&gt;0,INT(ROUND(INDEX(Нормативы!$D$2:$L$71,L267,M267)*100,0)/6000)&amp;":"&amp;RIGHT("0"&amp;INT(MOD(ROUND(INDEX(Нормативы!$D$2:$L$71,L267,M267)*100,0),6000)/100),2),INT(MOD(ROUND(INDEX(Нормативы!$D$2:$L$71,L267,M267)*100,0),6000)/100))&amp;"."&amp;RIGHT("0"&amp;MOD(ROUND(INDEX(Нормативы!$D$2:$L$71,L267,M267)*100,0),100),2)))</f>
        <v/>
      </c>
      <c r="J267" s="12" t="str">
        <f aca="false">IF(D267="","",SUMIFS('Базовые времена'!$D$2:$D$71,'Базовые времена'!$A$2:$A$71,B267,'Базовые времена'!$B$2:$B$71,C267,'Базовые времена'!$C$2:$C$71,D267))</f>
        <v/>
      </c>
      <c r="K267" s="12" t="str">
        <f aca="false">IF(E267="","",IF(ISNUMBER(E267),IF(E267&lt;1,E267*86400,E267),IFERROR(IF(ISNUMBER(FIND(":",SUBSTITUTE(TRIM(E267),",","."))),VALUE(LEFT(SUBSTITUTE(TRIM(E267),",","."),FIND(":",SUBSTITUTE(TRIM(E267),",","."))-1))*60+_xlfn.NUMBERVALUE(MID(SUBSTITUTE(TRIM(E267),",","."),FIND(":",SUBSTITUTE(TRIM(E267),",","."))+1,99),"."),_xlfn.NUMBERVALUE(SUBSTITUTE(TRIM(E267),",","."),".")),0)))</f>
        <v/>
      </c>
      <c r="L267" s="3" t="str">
        <f aca="false">IF(OR(D267="",N(K267)&lt;=0),"",IFERROR(MATCH(B267&amp;"|"&amp;C267&amp;"|"&amp;D267,Нормативы!$M$2:$M$71,0),""))</f>
        <v/>
      </c>
      <c r="M267" s="3" t="str">
        <f aca="false">IF(L267="","",SUMPRODUCT((INDEX(Нормативы!$D$2:$L$71,L267,0)&lt;K267)*ISNUMBER(INDEX(Нормативы!$D$2:$L$71,L267,0))))</f>
        <v/>
      </c>
    </row>
    <row r="268" customFormat="false" ht="15" hidden="false" customHeight="false" outlineLevel="0" collapsed="false">
      <c r="A268" s="5"/>
      <c r="B268" s="5"/>
      <c r="C268" s="5"/>
      <c r="D268" s="5"/>
      <c r="E268" s="14"/>
      <c r="F268" s="4" t="str">
        <f aca="false">IF(OR(J268="",K268="",N(J268)=0,N(K268)&lt;=0),"",ROUNDDOWN(1000*(J268/K268)^3,0))</f>
        <v/>
      </c>
      <c r="G268" s="4" t="str">
        <f aca="false">IF(M268="","",IF(M268+1&gt;COUNT(INDEX(Нормативы!$D$2:$L$71,L268,0)),"Разряда нет",INDEX(Нормативы!$D$1:$L$1,1,M268+1)))</f>
        <v/>
      </c>
      <c r="H268" s="2" t="str">
        <f aca="false">IF(M268="","",IF(M268=0,"—",INDEX(Нормативы!$D$1:$L$1,1,M268)))</f>
        <v/>
      </c>
      <c r="I268" s="7" t="str">
        <f aca="false">IF(M268="","",IF(M268=0,"",IF(INT(ROUND(INDEX(Нормативы!$D$2:$L$71,L268,M268)*100,0)/6000)&gt;0,INT(ROUND(INDEX(Нормативы!$D$2:$L$71,L268,M268)*100,0)/6000)&amp;":"&amp;RIGHT("0"&amp;INT(MOD(ROUND(INDEX(Нормативы!$D$2:$L$71,L268,M268)*100,0),6000)/100),2),INT(MOD(ROUND(INDEX(Нормативы!$D$2:$L$71,L268,M268)*100,0),6000)/100))&amp;"."&amp;RIGHT("0"&amp;MOD(ROUND(INDEX(Нормативы!$D$2:$L$71,L268,M268)*100,0),100),2)))</f>
        <v/>
      </c>
      <c r="J268" s="12" t="str">
        <f aca="false">IF(D268="","",SUMIFS('Базовые времена'!$D$2:$D$71,'Базовые времена'!$A$2:$A$71,B268,'Базовые времена'!$B$2:$B$71,C268,'Базовые времена'!$C$2:$C$71,D268))</f>
        <v/>
      </c>
      <c r="K268" s="12" t="str">
        <f aca="false">IF(E268="","",IF(ISNUMBER(E268),IF(E268&lt;1,E268*86400,E268),IFERROR(IF(ISNUMBER(FIND(":",SUBSTITUTE(TRIM(E268),",","."))),VALUE(LEFT(SUBSTITUTE(TRIM(E268),",","."),FIND(":",SUBSTITUTE(TRIM(E268),",","."))-1))*60+_xlfn.NUMBERVALUE(MID(SUBSTITUTE(TRIM(E268),",","."),FIND(":",SUBSTITUTE(TRIM(E268),",","."))+1,99),"."),_xlfn.NUMBERVALUE(SUBSTITUTE(TRIM(E268),",","."),".")),0)))</f>
        <v/>
      </c>
      <c r="L268" s="3" t="str">
        <f aca="false">IF(OR(D268="",N(K268)&lt;=0),"",IFERROR(MATCH(B268&amp;"|"&amp;C268&amp;"|"&amp;D268,Нормативы!$M$2:$M$71,0),""))</f>
        <v/>
      </c>
      <c r="M268" s="3" t="str">
        <f aca="false">IF(L268="","",SUMPRODUCT((INDEX(Нормативы!$D$2:$L$71,L268,0)&lt;K268)*ISNUMBER(INDEX(Нормативы!$D$2:$L$71,L268,0))))</f>
        <v/>
      </c>
    </row>
    <row r="269" customFormat="false" ht="15" hidden="false" customHeight="false" outlineLevel="0" collapsed="false">
      <c r="A269" s="5"/>
      <c r="B269" s="5"/>
      <c r="C269" s="5"/>
      <c r="D269" s="5"/>
      <c r="E269" s="14"/>
      <c r="F269" s="4" t="str">
        <f aca="false">IF(OR(J269="",K269="",N(J269)=0,N(K269)&lt;=0),"",ROUNDDOWN(1000*(J269/K269)^3,0))</f>
        <v/>
      </c>
      <c r="G269" s="4" t="str">
        <f aca="false">IF(M269="","",IF(M269+1&gt;COUNT(INDEX(Нормативы!$D$2:$L$71,L269,0)),"Разряда нет",INDEX(Нормативы!$D$1:$L$1,1,M269+1)))</f>
        <v/>
      </c>
      <c r="H269" s="2" t="str">
        <f aca="false">IF(M269="","",IF(M269=0,"—",INDEX(Нормативы!$D$1:$L$1,1,M269)))</f>
        <v/>
      </c>
      <c r="I269" s="7" t="str">
        <f aca="false">IF(M269="","",IF(M269=0,"",IF(INT(ROUND(INDEX(Нормативы!$D$2:$L$71,L269,M269)*100,0)/6000)&gt;0,INT(ROUND(INDEX(Нормативы!$D$2:$L$71,L269,M269)*100,0)/6000)&amp;":"&amp;RIGHT("0"&amp;INT(MOD(ROUND(INDEX(Нормативы!$D$2:$L$71,L269,M269)*100,0),6000)/100),2),INT(MOD(ROUND(INDEX(Нормативы!$D$2:$L$71,L269,M269)*100,0),6000)/100))&amp;"."&amp;RIGHT("0"&amp;MOD(ROUND(INDEX(Нормативы!$D$2:$L$71,L269,M269)*100,0),100),2)))</f>
        <v/>
      </c>
      <c r="J269" s="12" t="str">
        <f aca="false">IF(D269="","",SUMIFS('Базовые времена'!$D$2:$D$71,'Базовые времена'!$A$2:$A$71,B269,'Базовые времена'!$B$2:$B$71,C269,'Базовые времена'!$C$2:$C$71,D269))</f>
        <v/>
      </c>
      <c r="K269" s="12" t="str">
        <f aca="false">IF(E269="","",IF(ISNUMBER(E269),IF(E269&lt;1,E269*86400,E269),IFERROR(IF(ISNUMBER(FIND(":",SUBSTITUTE(TRIM(E269),",","."))),VALUE(LEFT(SUBSTITUTE(TRIM(E269),",","."),FIND(":",SUBSTITUTE(TRIM(E269),",","."))-1))*60+_xlfn.NUMBERVALUE(MID(SUBSTITUTE(TRIM(E269),",","."),FIND(":",SUBSTITUTE(TRIM(E269),",","."))+1,99),"."),_xlfn.NUMBERVALUE(SUBSTITUTE(TRIM(E269),",","."),".")),0)))</f>
        <v/>
      </c>
      <c r="L269" s="3" t="str">
        <f aca="false">IF(OR(D269="",N(K269)&lt;=0),"",IFERROR(MATCH(B269&amp;"|"&amp;C269&amp;"|"&amp;D269,Нормативы!$M$2:$M$71,0),""))</f>
        <v/>
      </c>
      <c r="M269" s="3" t="str">
        <f aca="false">IF(L269="","",SUMPRODUCT((INDEX(Нормативы!$D$2:$L$71,L269,0)&lt;K269)*ISNUMBER(INDEX(Нормативы!$D$2:$L$71,L269,0))))</f>
        <v/>
      </c>
    </row>
    <row r="270" customFormat="false" ht="15" hidden="false" customHeight="false" outlineLevel="0" collapsed="false">
      <c r="A270" s="5"/>
      <c r="B270" s="5"/>
      <c r="C270" s="5"/>
      <c r="D270" s="5"/>
      <c r="E270" s="14"/>
      <c r="F270" s="4" t="str">
        <f aca="false">IF(OR(J270="",K270="",N(J270)=0,N(K270)&lt;=0),"",ROUNDDOWN(1000*(J270/K270)^3,0))</f>
        <v/>
      </c>
      <c r="G270" s="4" t="str">
        <f aca="false">IF(M270="","",IF(M270+1&gt;COUNT(INDEX(Нормативы!$D$2:$L$71,L270,0)),"Разряда нет",INDEX(Нормативы!$D$1:$L$1,1,M270+1)))</f>
        <v/>
      </c>
      <c r="H270" s="2" t="str">
        <f aca="false">IF(M270="","",IF(M270=0,"—",INDEX(Нормативы!$D$1:$L$1,1,M270)))</f>
        <v/>
      </c>
      <c r="I270" s="7" t="str">
        <f aca="false">IF(M270="","",IF(M270=0,"",IF(INT(ROUND(INDEX(Нормативы!$D$2:$L$71,L270,M270)*100,0)/6000)&gt;0,INT(ROUND(INDEX(Нормативы!$D$2:$L$71,L270,M270)*100,0)/6000)&amp;":"&amp;RIGHT("0"&amp;INT(MOD(ROUND(INDEX(Нормативы!$D$2:$L$71,L270,M270)*100,0),6000)/100),2),INT(MOD(ROUND(INDEX(Нормативы!$D$2:$L$71,L270,M270)*100,0),6000)/100))&amp;"."&amp;RIGHT("0"&amp;MOD(ROUND(INDEX(Нормативы!$D$2:$L$71,L270,M270)*100,0),100),2)))</f>
        <v/>
      </c>
      <c r="J270" s="12" t="str">
        <f aca="false">IF(D270="","",SUMIFS('Базовые времена'!$D$2:$D$71,'Базовые времена'!$A$2:$A$71,B270,'Базовые времена'!$B$2:$B$71,C270,'Базовые времена'!$C$2:$C$71,D270))</f>
        <v/>
      </c>
      <c r="K270" s="12" t="str">
        <f aca="false">IF(E270="","",IF(ISNUMBER(E270),IF(E270&lt;1,E270*86400,E270),IFERROR(IF(ISNUMBER(FIND(":",SUBSTITUTE(TRIM(E270),",","."))),VALUE(LEFT(SUBSTITUTE(TRIM(E270),",","."),FIND(":",SUBSTITUTE(TRIM(E270),",","."))-1))*60+_xlfn.NUMBERVALUE(MID(SUBSTITUTE(TRIM(E270),",","."),FIND(":",SUBSTITUTE(TRIM(E270),",","."))+1,99),"."),_xlfn.NUMBERVALUE(SUBSTITUTE(TRIM(E270),",","."),".")),0)))</f>
        <v/>
      </c>
      <c r="L270" s="3" t="str">
        <f aca="false">IF(OR(D270="",N(K270)&lt;=0),"",IFERROR(MATCH(B270&amp;"|"&amp;C270&amp;"|"&amp;D270,Нормативы!$M$2:$M$71,0),""))</f>
        <v/>
      </c>
      <c r="M270" s="3" t="str">
        <f aca="false">IF(L270="","",SUMPRODUCT((INDEX(Нормативы!$D$2:$L$71,L270,0)&lt;K270)*ISNUMBER(INDEX(Нормативы!$D$2:$L$71,L270,0))))</f>
        <v/>
      </c>
    </row>
    <row r="271" customFormat="false" ht="15" hidden="false" customHeight="false" outlineLevel="0" collapsed="false">
      <c r="A271" s="5"/>
      <c r="B271" s="5"/>
      <c r="C271" s="5"/>
      <c r="D271" s="5"/>
      <c r="E271" s="14"/>
      <c r="F271" s="4" t="str">
        <f aca="false">IF(OR(J271="",K271="",N(J271)=0,N(K271)&lt;=0),"",ROUNDDOWN(1000*(J271/K271)^3,0))</f>
        <v/>
      </c>
      <c r="G271" s="4" t="str">
        <f aca="false">IF(M271="","",IF(M271+1&gt;COUNT(INDEX(Нормативы!$D$2:$L$71,L271,0)),"Разряда нет",INDEX(Нормативы!$D$1:$L$1,1,M271+1)))</f>
        <v/>
      </c>
      <c r="H271" s="2" t="str">
        <f aca="false">IF(M271="","",IF(M271=0,"—",INDEX(Нормативы!$D$1:$L$1,1,M271)))</f>
        <v/>
      </c>
      <c r="I271" s="7" t="str">
        <f aca="false">IF(M271="","",IF(M271=0,"",IF(INT(ROUND(INDEX(Нормативы!$D$2:$L$71,L271,M271)*100,0)/6000)&gt;0,INT(ROUND(INDEX(Нормативы!$D$2:$L$71,L271,M271)*100,0)/6000)&amp;":"&amp;RIGHT("0"&amp;INT(MOD(ROUND(INDEX(Нормативы!$D$2:$L$71,L271,M271)*100,0),6000)/100),2),INT(MOD(ROUND(INDEX(Нормативы!$D$2:$L$71,L271,M271)*100,0),6000)/100))&amp;"."&amp;RIGHT("0"&amp;MOD(ROUND(INDEX(Нормативы!$D$2:$L$71,L271,M271)*100,0),100),2)))</f>
        <v/>
      </c>
      <c r="J271" s="12" t="str">
        <f aca="false">IF(D271="","",SUMIFS('Базовые времена'!$D$2:$D$71,'Базовые времена'!$A$2:$A$71,B271,'Базовые времена'!$B$2:$B$71,C271,'Базовые времена'!$C$2:$C$71,D271))</f>
        <v/>
      </c>
      <c r="K271" s="12" t="str">
        <f aca="false">IF(E271="","",IF(ISNUMBER(E271),IF(E271&lt;1,E271*86400,E271),IFERROR(IF(ISNUMBER(FIND(":",SUBSTITUTE(TRIM(E271),",","."))),VALUE(LEFT(SUBSTITUTE(TRIM(E271),",","."),FIND(":",SUBSTITUTE(TRIM(E271),",","."))-1))*60+_xlfn.NUMBERVALUE(MID(SUBSTITUTE(TRIM(E271),",","."),FIND(":",SUBSTITUTE(TRIM(E271),",","."))+1,99),"."),_xlfn.NUMBERVALUE(SUBSTITUTE(TRIM(E271),",","."),".")),0)))</f>
        <v/>
      </c>
      <c r="L271" s="3" t="str">
        <f aca="false">IF(OR(D271="",N(K271)&lt;=0),"",IFERROR(MATCH(B271&amp;"|"&amp;C271&amp;"|"&amp;D271,Нормативы!$M$2:$M$71,0),""))</f>
        <v/>
      </c>
      <c r="M271" s="3" t="str">
        <f aca="false">IF(L271="","",SUMPRODUCT((INDEX(Нормативы!$D$2:$L$71,L271,0)&lt;K271)*ISNUMBER(INDEX(Нормативы!$D$2:$L$71,L271,0))))</f>
        <v/>
      </c>
    </row>
    <row r="272" customFormat="false" ht="15" hidden="false" customHeight="false" outlineLevel="0" collapsed="false">
      <c r="A272" s="5"/>
      <c r="B272" s="5"/>
      <c r="C272" s="5"/>
      <c r="D272" s="5"/>
      <c r="E272" s="14"/>
      <c r="F272" s="4" t="str">
        <f aca="false">IF(OR(J272="",K272="",N(J272)=0,N(K272)&lt;=0),"",ROUNDDOWN(1000*(J272/K272)^3,0))</f>
        <v/>
      </c>
      <c r="G272" s="4" t="str">
        <f aca="false">IF(M272="","",IF(M272+1&gt;COUNT(INDEX(Нормативы!$D$2:$L$71,L272,0)),"Разряда нет",INDEX(Нормативы!$D$1:$L$1,1,M272+1)))</f>
        <v/>
      </c>
      <c r="H272" s="2" t="str">
        <f aca="false">IF(M272="","",IF(M272=0,"—",INDEX(Нормативы!$D$1:$L$1,1,M272)))</f>
        <v/>
      </c>
      <c r="I272" s="7" t="str">
        <f aca="false">IF(M272="","",IF(M272=0,"",IF(INT(ROUND(INDEX(Нормативы!$D$2:$L$71,L272,M272)*100,0)/6000)&gt;0,INT(ROUND(INDEX(Нормативы!$D$2:$L$71,L272,M272)*100,0)/6000)&amp;":"&amp;RIGHT("0"&amp;INT(MOD(ROUND(INDEX(Нормативы!$D$2:$L$71,L272,M272)*100,0),6000)/100),2),INT(MOD(ROUND(INDEX(Нормативы!$D$2:$L$71,L272,M272)*100,0),6000)/100))&amp;"."&amp;RIGHT("0"&amp;MOD(ROUND(INDEX(Нормативы!$D$2:$L$71,L272,M272)*100,0),100),2)))</f>
        <v/>
      </c>
      <c r="J272" s="12" t="str">
        <f aca="false">IF(D272="","",SUMIFS('Базовые времена'!$D$2:$D$71,'Базовые времена'!$A$2:$A$71,B272,'Базовые времена'!$B$2:$B$71,C272,'Базовые времена'!$C$2:$C$71,D272))</f>
        <v/>
      </c>
      <c r="K272" s="12" t="str">
        <f aca="false">IF(E272="","",IF(ISNUMBER(E272),IF(E272&lt;1,E272*86400,E272),IFERROR(IF(ISNUMBER(FIND(":",SUBSTITUTE(TRIM(E272),",","."))),VALUE(LEFT(SUBSTITUTE(TRIM(E272),",","."),FIND(":",SUBSTITUTE(TRIM(E272),",","."))-1))*60+_xlfn.NUMBERVALUE(MID(SUBSTITUTE(TRIM(E272),",","."),FIND(":",SUBSTITUTE(TRIM(E272),",","."))+1,99),"."),_xlfn.NUMBERVALUE(SUBSTITUTE(TRIM(E272),",","."),".")),0)))</f>
        <v/>
      </c>
      <c r="L272" s="3" t="str">
        <f aca="false">IF(OR(D272="",N(K272)&lt;=0),"",IFERROR(MATCH(B272&amp;"|"&amp;C272&amp;"|"&amp;D272,Нормативы!$M$2:$M$71,0),""))</f>
        <v/>
      </c>
      <c r="M272" s="3" t="str">
        <f aca="false">IF(L272="","",SUMPRODUCT((INDEX(Нормативы!$D$2:$L$71,L272,0)&lt;K272)*ISNUMBER(INDEX(Нормативы!$D$2:$L$71,L272,0))))</f>
        <v/>
      </c>
    </row>
    <row r="273" customFormat="false" ht="15" hidden="false" customHeight="false" outlineLevel="0" collapsed="false">
      <c r="A273" s="5"/>
      <c r="B273" s="5"/>
      <c r="C273" s="5"/>
      <c r="D273" s="5"/>
      <c r="E273" s="14"/>
      <c r="F273" s="4" t="str">
        <f aca="false">IF(OR(J273="",K273="",N(J273)=0,N(K273)&lt;=0),"",ROUNDDOWN(1000*(J273/K273)^3,0))</f>
        <v/>
      </c>
      <c r="G273" s="4" t="str">
        <f aca="false">IF(M273="","",IF(M273+1&gt;COUNT(INDEX(Нормативы!$D$2:$L$71,L273,0)),"Разряда нет",INDEX(Нормативы!$D$1:$L$1,1,M273+1)))</f>
        <v/>
      </c>
      <c r="H273" s="2" t="str">
        <f aca="false">IF(M273="","",IF(M273=0,"—",INDEX(Нормативы!$D$1:$L$1,1,M273)))</f>
        <v/>
      </c>
      <c r="I273" s="7" t="str">
        <f aca="false">IF(M273="","",IF(M273=0,"",IF(INT(ROUND(INDEX(Нормативы!$D$2:$L$71,L273,M273)*100,0)/6000)&gt;0,INT(ROUND(INDEX(Нормативы!$D$2:$L$71,L273,M273)*100,0)/6000)&amp;":"&amp;RIGHT("0"&amp;INT(MOD(ROUND(INDEX(Нормативы!$D$2:$L$71,L273,M273)*100,0),6000)/100),2),INT(MOD(ROUND(INDEX(Нормативы!$D$2:$L$71,L273,M273)*100,0),6000)/100))&amp;"."&amp;RIGHT("0"&amp;MOD(ROUND(INDEX(Нормативы!$D$2:$L$71,L273,M273)*100,0),100),2)))</f>
        <v/>
      </c>
      <c r="J273" s="12" t="str">
        <f aca="false">IF(D273="","",SUMIFS('Базовые времена'!$D$2:$D$71,'Базовые времена'!$A$2:$A$71,B273,'Базовые времена'!$B$2:$B$71,C273,'Базовые времена'!$C$2:$C$71,D273))</f>
        <v/>
      </c>
      <c r="K273" s="12" t="str">
        <f aca="false">IF(E273="","",IF(ISNUMBER(E273),IF(E273&lt;1,E273*86400,E273),IFERROR(IF(ISNUMBER(FIND(":",SUBSTITUTE(TRIM(E273),",","."))),VALUE(LEFT(SUBSTITUTE(TRIM(E273),",","."),FIND(":",SUBSTITUTE(TRIM(E273),",","."))-1))*60+_xlfn.NUMBERVALUE(MID(SUBSTITUTE(TRIM(E273),",","."),FIND(":",SUBSTITUTE(TRIM(E273),",","."))+1,99),"."),_xlfn.NUMBERVALUE(SUBSTITUTE(TRIM(E273),",","."),".")),0)))</f>
        <v/>
      </c>
      <c r="L273" s="3" t="str">
        <f aca="false">IF(OR(D273="",N(K273)&lt;=0),"",IFERROR(MATCH(B273&amp;"|"&amp;C273&amp;"|"&amp;D273,Нормативы!$M$2:$M$71,0),""))</f>
        <v/>
      </c>
      <c r="M273" s="3" t="str">
        <f aca="false">IF(L273="","",SUMPRODUCT((INDEX(Нормативы!$D$2:$L$71,L273,0)&lt;K273)*ISNUMBER(INDEX(Нормативы!$D$2:$L$71,L273,0))))</f>
        <v/>
      </c>
    </row>
    <row r="274" customFormat="false" ht="15" hidden="false" customHeight="false" outlineLevel="0" collapsed="false">
      <c r="A274" s="5"/>
      <c r="B274" s="5"/>
      <c r="C274" s="5"/>
      <c r="D274" s="5"/>
      <c r="E274" s="14"/>
      <c r="F274" s="4" t="str">
        <f aca="false">IF(OR(J274="",K274="",N(J274)=0,N(K274)&lt;=0),"",ROUNDDOWN(1000*(J274/K274)^3,0))</f>
        <v/>
      </c>
      <c r="G274" s="4" t="str">
        <f aca="false">IF(M274="","",IF(M274+1&gt;COUNT(INDEX(Нормативы!$D$2:$L$71,L274,0)),"Разряда нет",INDEX(Нормативы!$D$1:$L$1,1,M274+1)))</f>
        <v/>
      </c>
      <c r="H274" s="2" t="str">
        <f aca="false">IF(M274="","",IF(M274=0,"—",INDEX(Нормативы!$D$1:$L$1,1,M274)))</f>
        <v/>
      </c>
      <c r="I274" s="7" t="str">
        <f aca="false">IF(M274="","",IF(M274=0,"",IF(INT(ROUND(INDEX(Нормативы!$D$2:$L$71,L274,M274)*100,0)/6000)&gt;0,INT(ROUND(INDEX(Нормативы!$D$2:$L$71,L274,M274)*100,0)/6000)&amp;":"&amp;RIGHT("0"&amp;INT(MOD(ROUND(INDEX(Нормативы!$D$2:$L$71,L274,M274)*100,0),6000)/100),2),INT(MOD(ROUND(INDEX(Нормативы!$D$2:$L$71,L274,M274)*100,0),6000)/100))&amp;"."&amp;RIGHT("0"&amp;MOD(ROUND(INDEX(Нормативы!$D$2:$L$71,L274,M274)*100,0),100),2)))</f>
        <v/>
      </c>
      <c r="J274" s="12" t="str">
        <f aca="false">IF(D274="","",SUMIFS('Базовые времена'!$D$2:$D$71,'Базовые времена'!$A$2:$A$71,B274,'Базовые времена'!$B$2:$B$71,C274,'Базовые времена'!$C$2:$C$71,D274))</f>
        <v/>
      </c>
      <c r="K274" s="12" t="str">
        <f aca="false">IF(E274="","",IF(ISNUMBER(E274),IF(E274&lt;1,E274*86400,E274),IFERROR(IF(ISNUMBER(FIND(":",SUBSTITUTE(TRIM(E274),",","."))),VALUE(LEFT(SUBSTITUTE(TRIM(E274),",","."),FIND(":",SUBSTITUTE(TRIM(E274),",","."))-1))*60+_xlfn.NUMBERVALUE(MID(SUBSTITUTE(TRIM(E274),",","."),FIND(":",SUBSTITUTE(TRIM(E274),",","."))+1,99),"."),_xlfn.NUMBERVALUE(SUBSTITUTE(TRIM(E274),",","."),".")),0)))</f>
        <v/>
      </c>
      <c r="L274" s="3" t="str">
        <f aca="false">IF(OR(D274="",N(K274)&lt;=0),"",IFERROR(MATCH(B274&amp;"|"&amp;C274&amp;"|"&amp;D274,Нормативы!$M$2:$M$71,0),""))</f>
        <v/>
      </c>
      <c r="M274" s="3" t="str">
        <f aca="false">IF(L274="","",SUMPRODUCT((INDEX(Нормативы!$D$2:$L$71,L274,0)&lt;K274)*ISNUMBER(INDEX(Нормативы!$D$2:$L$71,L274,0))))</f>
        <v/>
      </c>
    </row>
    <row r="275" customFormat="false" ht="15" hidden="false" customHeight="false" outlineLevel="0" collapsed="false">
      <c r="A275" s="5"/>
      <c r="B275" s="5"/>
      <c r="C275" s="5"/>
      <c r="D275" s="5"/>
      <c r="E275" s="14"/>
      <c r="F275" s="4" t="str">
        <f aca="false">IF(OR(J275="",K275="",N(J275)=0,N(K275)&lt;=0),"",ROUNDDOWN(1000*(J275/K275)^3,0))</f>
        <v/>
      </c>
      <c r="G275" s="4" t="str">
        <f aca="false">IF(M275="","",IF(M275+1&gt;COUNT(INDEX(Нормативы!$D$2:$L$71,L275,0)),"Разряда нет",INDEX(Нормативы!$D$1:$L$1,1,M275+1)))</f>
        <v/>
      </c>
      <c r="H275" s="2" t="str">
        <f aca="false">IF(M275="","",IF(M275=0,"—",INDEX(Нормативы!$D$1:$L$1,1,M275)))</f>
        <v/>
      </c>
      <c r="I275" s="7" t="str">
        <f aca="false">IF(M275="","",IF(M275=0,"",IF(INT(ROUND(INDEX(Нормативы!$D$2:$L$71,L275,M275)*100,0)/6000)&gt;0,INT(ROUND(INDEX(Нормативы!$D$2:$L$71,L275,M275)*100,0)/6000)&amp;":"&amp;RIGHT("0"&amp;INT(MOD(ROUND(INDEX(Нормативы!$D$2:$L$71,L275,M275)*100,0),6000)/100),2),INT(MOD(ROUND(INDEX(Нормативы!$D$2:$L$71,L275,M275)*100,0),6000)/100))&amp;"."&amp;RIGHT("0"&amp;MOD(ROUND(INDEX(Нормативы!$D$2:$L$71,L275,M275)*100,0),100),2)))</f>
        <v/>
      </c>
      <c r="J275" s="12" t="str">
        <f aca="false">IF(D275="","",SUMIFS('Базовые времена'!$D$2:$D$71,'Базовые времена'!$A$2:$A$71,B275,'Базовые времена'!$B$2:$B$71,C275,'Базовые времена'!$C$2:$C$71,D275))</f>
        <v/>
      </c>
      <c r="K275" s="12" t="str">
        <f aca="false">IF(E275="","",IF(ISNUMBER(E275),IF(E275&lt;1,E275*86400,E275),IFERROR(IF(ISNUMBER(FIND(":",SUBSTITUTE(TRIM(E275),",","."))),VALUE(LEFT(SUBSTITUTE(TRIM(E275),",","."),FIND(":",SUBSTITUTE(TRIM(E275),",","."))-1))*60+_xlfn.NUMBERVALUE(MID(SUBSTITUTE(TRIM(E275),",","."),FIND(":",SUBSTITUTE(TRIM(E275),",","."))+1,99),"."),_xlfn.NUMBERVALUE(SUBSTITUTE(TRIM(E275),",","."),".")),0)))</f>
        <v/>
      </c>
      <c r="L275" s="3" t="str">
        <f aca="false">IF(OR(D275="",N(K275)&lt;=0),"",IFERROR(MATCH(B275&amp;"|"&amp;C275&amp;"|"&amp;D275,Нормативы!$M$2:$M$71,0),""))</f>
        <v/>
      </c>
      <c r="M275" s="3" t="str">
        <f aca="false">IF(L275="","",SUMPRODUCT((INDEX(Нормативы!$D$2:$L$71,L275,0)&lt;K275)*ISNUMBER(INDEX(Нормативы!$D$2:$L$71,L275,0))))</f>
        <v/>
      </c>
    </row>
    <row r="276" customFormat="false" ht="15" hidden="false" customHeight="false" outlineLevel="0" collapsed="false">
      <c r="A276" s="5"/>
      <c r="B276" s="5"/>
      <c r="C276" s="5"/>
      <c r="D276" s="5"/>
      <c r="E276" s="14"/>
      <c r="F276" s="4" t="str">
        <f aca="false">IF(OR(J276="",K276="",N(J276)=0,N(K276)&lt;=0),"",ROUNDDOWN(1000*(J276/K276)^3,0))</f>
        <v/>
      </c>
      <c r="G276" s="4" t="str">
        <f aca="false">IF(M276="","",IF(M276+1&gt;COUNT(INDEX(Нормативы!$D$2:$L$71,L276,0)),"Разряда нет",INDEX(Нормативы!$D$1:$L$1,1,M276+1)))</f>
        <v/>
      </c>
      <c r="H276" s="2" t="str">
        <f aca="false">IF(M276="","",IF(M276=0,"—",INDEX(Нормативы!$D$1:$L$1,1,M276)))</f>
        <v/>
      </c>
      <c r="I276" s="7" t="str">
        <f aca="false">IF(M276="","",IF(M276=0,"",IF(INT(ROUND(INDEX(Нормативы!$D$2:$L$71,L276,M276)*100,0)/6000)&gt;0,INT(ROUND(INDEX(Нормативы!$D$2:$L$71,L276,M276)*100,0)/6000)&amp;":"&amp;RIGHT("0"&amp;INT(MOD(ROUND(INDEX(Нормативы!$D$2:$L$71,L276,M276)*100,0),6000)/100),2),INT(MOD(ROUND(INDEX(Нормативы!$D$2:$L$71,L276,M276)*100,0),6000)/100))&amp;"."&amp;RIGHT("0"&amp;MOD(ROUND(INDEX(Нормативы!$D$2:$L$71,L276,M276)*100,0),100),2)))</f>
        <v/>
      </c>
      <c r="J276" s="12" t="str">
        <f aca="false">IF(D276="","",SUMIFS('Базовые времена'!$D$2:$D$71,'Базовые времена'!$A$2:$A$71,B276,'Базовые времена'!$B$2:$B$71,C276,'Базовые времена'!$C$2:$C$71,D276))</f>
        <v/>
      </c>
      <c r="K276" s="12" t="str">
        <f aca="false">IF(E276="","",IF(ISNUMBER(E276),IF(E276&lt;1,E276*86400,E276),IFERROR(IF(ISNUMBER(FIND(":",SUBSTITUTE(TRIM(E276),",","."))),VALUE(LEFT(SUBSTITUTE(TRIM(E276),",","."),FIND(":",SUBSTITUTE(TRIM(E276),",","."))-1))*60+_xlfn.NUMBERVALUE(MID(SUBSTITUTE(TRIM(E276),",","."),FIND(":",SUBSTITUTE(TRIM(E276),",","."))+1,99),"."),_xlfn.NUMBERVALUE(SUBSTITUTE(TRIM(E276),",","."),".")),0)))</f>
        <v/>
      </c>
      <c r="L276" s="3" t="str">
        <f aca="false">IF(OR(D276="",N(K276)&lt;=0),"",IFERROR(MATCH(B276&amp;"|"&amp;C276&amp;"|"&amp;D276,Нормативы!$M$2:$M$71,0),""))</f>
        <v/>
      </c>
      <c r="M276" s="3" t="str">
        <f aca="false">IF(L276="","",SUMPRODUCT((INDEX(Нормативы!$D$2:$L$71,L276,0)&lt;K276)*ISNUMBER(INDEX(Нормативы!$D$2:$L$71,L276,0))))</f>
        <v/>
      </c>
    </row>
    <row r="277" customFormat="false" ht="15" hidden="false" customHeight="false" outlineLevel="0" collapsed="false">
      <c r="A277" s="5"/>
      <c r="B277" s="5"/>
      <c r="C277" s="5"/>
      <c r="D277" s="5"/>
      <c r="E277" s="14"/>
      <c r="F277" s="4" t="str">
        <f aca="false">IF(OR(J277="",K277="",N(J277)=0,N(K277)&lt;=0),"",ROUNDDOWN(1000*(J277/K277)^3,0))</f>
        <v/>
      </c>
      <c r="G277" s="4" t="str">
        <f aca="false">IF(M277="","",IF(M277+1&gt;COUNT(INDEX(Нормативы!$D$2:$L$71,L277,0)),"Разряда нет",INDEX(Нормативы!$D$1:$L$1,1,M277+1)))</f>
        <v/>
      </c>
      <c r="H277" s="2" t="str">
        <f aca="false">IF(M277="","",IF(M277=0,"—",INDEX(Нормативы!$D$1:$L$1,1,M277)))</f>
        <v/>
      </c>
      <c r="I277" s="7" t="str">
        <f aca="false">IF(M277="","",IF(M277=0,"",IF(INT(ROUND(INDEX(Нормативы!$D$2:$L$71,L277,M277)*100,0)/6000)&gt;0,INT(ROUND(INDEX(Нормативы!$D$2:$L$71,L277,M277)*100,0)/6000)&amp;":"&amp;RIGHT("0"&amp;INT(MOD(ROUND(INDEX(Нормативы!$D$2:$L$71,L277,M277)*100,0),6000)/100),2),INT(MOD(ROUND(INDEX(Нормативы!$D$2:$L$71,L277,M277)*100,0),6000)/100))&amp;"."&amp;RIGHT("0"&amp;MOD(ROUND(INDEX(Нормативы!$D$2:$L$71,L277,M277)*100,0),100),2)))</f>
        <v/>
      </c>
      <c r="J277" s="12" t="str">
        <f aca="false">IF(D277="","",SUMIFS('Базовые времена'!$D$2:$D$71,'Базовые времена'!$A$2:$A$71,B277,'Базовые времена'!$B$2:$B$71,C277,'Базовые времена'!$C$2:$C$71,D277))</f>
        <v/>
      </c>
      <c r="K277" s="12" t="str">
        <f aca="false">IF(E277="","",IF(ISNUMBER(E277),IF(E277&lt;1,E277*86400,E277),IFERROR(IF(ISNUMBER(FIND(":",SUBSTITUTE(TRIM(E277),",","."))),VALUE(LEFT(SUBSTITUTE(TRIM(E277),",","."),FIND(":",SUBSTITUTE(TRIM(E277),",","."))-1))*60+_xlfn.NUMBERVALUE(MID(SUBSTITUTE(TRIM(E277),",","."),FIND(":",SUBSTITUTE(TRIM(E277),",","."))+1,99),"."),_xlfn.NUMBERVALUE(SUBSTITUTE(TRIM(E277),",","."),".")),0)))</f>
        <v/>
      </c>
      <c r="L277" s="3" t="str">
        <f aca="false">IF(OR(D277="",N(K277)&lt;=0),"",IFERROR(MATCH(B277&amp;"|"&amp;C277&amp;"|"&amp;D277,Нормативы!$M$2:$M$71,0),""))</f>
        <v/>
      </c>
      <c r="M277" s="3" t="str">
        <f aca="false">IF(L277="","",SUMPRODUCT((INDEX(Нормативы!$D$2:$L$71,L277,0)&lt;K277)*ISNUMBER(INDEX(Нормативы!$D$2:$L$71,L277,0))))</f>
        <v/>
      </c>
    </row>
    <row r="278" customFormat="false" ht="15" hidden="false" customHeight="false" outlineLevel="0" collapsed="false">
      <c r="A278" s="5"/>
      <c r="B278" s="5"/>
      <c r="C278" s="5"/>
      <c r="D278" s="5"/>
      <c r="E278" s="14"/>
      <c r="F278" s="4" t="str">
        <f aca="false">IF(OR(J278="",K278="",N(J278)=0,N(K278)&lt;=0),"",ROUNDDOWN(1000*(J278/K278)^3,0))</f>
        <v/>
      </c>
      <c r="G278" s="4" t="str">
        <f aca="false">IF(M278="","",IF(M278+1&gt;COUNT(INDEX(Нормативы!$D$2:$L$71,L278,0)),"Разряда нет",INDEX(Нормативы!$D$1:$L$1,1,M278+1)))</f>
        <v/>
      </c>
      <c r="H278" s="2" t="str">
        <f aca="false">IF(M278="","",IF(M278=0,"—",INDEX(Нормативы!$D$1:$L$1,1,M278)))</f>
        <v/>
      </c>
      <c r="I278" s="7" t="str">
        <f aca="false">IF(M278="","",IF(M278=0,"",IF(INT(ROUND(INDEX(Нормативы!$D$2:$L$71,L278,M278)*100,0)/6000)&gt;0,INT(ROUND(INDEX(Нормативы!$D$2:$L$71,L278,M278)*100,0)/6000)&amp;":"&amp;RIGHT("0"&amp;INT(MOD(ROUND(INDEX(Нормативы!$D$2:$L$71,L278,M278)*100,0),6000)/100),2),INT(MOD(ROUND(INDEX(Нормативы!$D$2:$L$71,L278,M278)*100,0),6000)/100))&amp;"."&amp;RIGHT("0"&amp;MOD(ROUND(INDEX(Нормативы!$D$2:$L$71,L278,M278)*100,0),100),2)))</f>
        <v/>
      </c>
      <c r="J278" s="12" t="str">
        <f aca="false">IF(D278="","",SUMIFS('Базовые времена'!$D$2:$D$71,'Базовые времена'!$A$2:$A$71,B278,'Базовые времена'!$B$2:$B$71,C278,'Базовые времена'!$C$2:$C$71,D278))</f>
        <v/>
      </c>
      <c r="K278" s="12" t="str">
        <f aca="false">IF(E278="","",IF(ISNUMBER(E278),IF(E278&lt;1,E278*86400,E278),IFERROR(IF(ISNUMBER(FIND(":",SUBSTITUTE(TRIM(E278),",","."))),VALUE(LEFT(SUBSTITUTE(TRIM(E278),",","."),FIND(":",SUBSTITUTE(TRIM(E278),",","."))-1))*60+_xlfn.NUMBERVALUE(MID(SUBSTITUTE(TRIM(E278),",","."),FIND(":",SUBSTITUTE(TRIM(E278),",","."))+1,99),"."),_xlfn.NUMBERVALUE(SUBSTITUTE(TRIM(E278),",","."),".")),0)))</f>
        <v/>
      </c>
      <c r="L278" s="3" t="str">
        <f aca="false">IF(OR(D278="",N(K278)&lt;=0),"",IFERROR(MATCH(B278&amp;"|"&amp;C278&amp;"|"&amp;D278,Нормативы!$M$2:$M$71,0),""))</f>
        <v/>
      </c>
      <c r="M278" s="3" t="str">
        <f aca="false">IF(L278="","",SUMPRODUCT((INDEX(Нормативы!$D$2:$L$71,L278,0)&lt;K278)*ISNUMBER(INDEX(Нормативы!$D$2:$L$71,L278,0))))</f>
        <v/>
      </c>
    </row>
    <row r="279" customFormat="false" ht="15" hidden="false" customHeight="false" outlineLevel="0" collapsed="false">
      <c r="A279" s="5"/>
      <c r="B279" s="5"/>
      <c r="C279" s="5"/>
      <c r="D279" s="5"/>
      <c r="E279" s="14"/>
      <c r="F279" s="4" t="str">
        <f aca="false">IF(OR(J279="",K279="",N(J279)=0,N(K279)&lt;=0),"",ROUNDDOWN(1000*(J279/K279)^3,0))</f>
        <v/>
      </c>
      <c r="G279" s="4" t="str">
        <f aca="false">IF(M279="","",IF(M279+1&gt;COUNT(INDEX(Нормативы!$D$2:$L$71,L279,0)),"Разряда нет",INDEX(Нормативы!$D$1:$L$1,1,M279+1)))</f>
        <v/>
      </c>
      <c r="H279" s="2" t="str">
        <f aca="false">IF(M279="","",IF(M279=0,"—",INDEX(Нормативы!$D$1:$L$1,1,M279)))</f>
        <v/>
      </c>
      <c r="I279" s="7" t="str">
        <f aca="false">IF(M279="","",IF(M279=0,"",IF(INT(ROUND(INDEX(Нормативы!$D$2:$L$71,L279,M279)*100,0)/6000)&gt;0,INT(ROUND(INDEX(Нормативы!$D$2:$L$71,L279,M279)*100,0)/6000)&amp;":"&amp;RIGHT("0"&amp;INT(MOD(ROUND(INDEX(Нормативы!$D$2:$L$71,L279,M279)*100,0),6000)/100),2),INT(MOD(ROUND(INDEX(Нормативы!$D$2:$L$71,L279,M279)*100,0),6000)/100))&amp;"."&amp;RIGHT("0"&amp;MOD(ROUND(INDEX(Нормативы!$D$2:$L$71,L279,M279)*100,0),100),2)))</f>
        <v/>
      </c>
      <c r="J279" s="12" t="str">
        <f aca="false">IF(D279="","",SUMIFS('Базовые времена'!$D$2:$D$71,'Базовые времена'!$A$2:$A$71,B279,'Базовые времена'!$B$2:$B$71,C279,'Базовые времена'!$C$2:$C$71,D279))</f>
        <v/>
      </c>
      <c r="K279" s="12" t="str">
        <f aca="false">IF(E279="","",IF(ISNUMBER(E279),IF(E279&lt;1,E279*86400,E279),IFERROR(IF(ISNUMBER(FIND(":",SUBSTITUTE(TRIM(E279),",","."))),VALUE(LEFT(SUBSTITUTE(TRIM(E279),",","."),FIND(":",SUBSTITUTE(TRIM(E279),",","."))-1))*60+_xlfn.NUMBERVALUE(MID(SUBSTITUTE(TRIM(E279),",","."),FIND(":",SUBSTITUTE(TRIM(E279),",","."))+1,99),"."),_xlfn.NUMBERVALUE(SUBSTITUTE(TRIM(E279),",","."),".")),0)))</f>
        <v/>
      </c>
      <c r="L279" s="3" t="str">
        <f aca="false">IF(OR(D279="",N(K279)&lt;=0),"",IFERROR(MATCH(B279&amp;"|"&amp;C279&amp;"|"&amp;D279,Нормативы!$M$2:$M$71,0),""))</f>
        <v/>
      </c>
      <c r="M279" s="3" t="str">
        <f aca="false">IF(L279="","",SUMPRODUCT((INDEX(Нормативы!$D$2:$L$71,L279,0)&lt;K279)*ISNUMBER(INDEX(Нормативы!$D$2:$L$71,L279,0))))</f>
        <v/>
      </c>
    </row>
    <row r="280" customFormat="false" ht="15" hidden="false" customHeight="false" outlineLevel="0" collapsed="false">
      <c r="A280" s="5"/>
      <c r="B280" s="5"/>
      <c r="C280" s="5"/>
      <c r="D280" s="5"/>
      <c r="E280" s="14"/>
      <c r="F280" s="4" t="str">
        <f aca="false">IF(OR(J280="",K280="",N(J280)=0,N(K280)&lt;=0),"",ROUNDDOWN(1000*(J280/K280)^3,0))</f>
        <v/>
      </c>
      <c r="G280" s="4" t="str">
        <f aca="false">IF(M280="","",IF(M280+1&gt;COUNT(INDEX(Нормативы!$D$2:$L$71,L280,0)),"Разряда нет",INDEX(Нормативы!$D$1:$L$1,1,M280+1)))</f>
        <v/>
      </c>
      <c r="H280" s="2" t="str">
        <f aca="false">IF(M280="","",IF(M280=0,"—",INDEX(Нормативы!$D$1:$L$1,1,M280)))</f>
        <v/>
      </c>
      <c r="I280" s="7" t="str">
        <f aca="false">IF(M280="","",IF(M280=0,"",IF(INT(ROUND(INDEX(Нормативы!$D$2:$L$71,L280,M280)*100,0)/6000)&gt;0,INT(ROUND(INDEX(Нормативы!$D$2:$L$71,L280,M280)*100,0)/6000)&amp;":"&amp;RIGHT("0"&amp;INT(MOD(ROUND(INDEX(Нормативы!$D$2:$L$71,L280,M280)*100,0),6000)/100),2),INT(MOD(ROUND(INDEX(Нормативы!$D$2:$L$71,L280,M280)*100,0),6000)/100))&amp;"."&amp;RIGHT("0"&amp;MOD(ROUND(INDEX(Нормативы!$D$2:$L$71,L280,M280)*100,0),100),2)))</f>
        <v/>
      </c>
      <c r="J280" s="12" t="str">
        <f aca="false">IF(D280="","",SUMIFS('Базовые времена'!$D$2:$D$71,'Базовые времена'!$A$2:$A$71,B280,'Базовые времена'!$B$2:$B$71,C280,'Базовые времена'!$C$2:$C$71,D280))</f>
        <v/>
      </c>
      <c r="K280" s="12" t="str">
        <f aca="false">IF(E280="","",IF(ISNUMBER(E280),IF(E280&lt;1,E280*86400,E280),IFERROR(IF(ISNUMBER(FIND(":",SUBSTITUTE(TRIM(E280),",","."))),VALUE(LEFT(SUBSTITUTE(TRIM(E280),",","."),FIND(":",SUBSTITUTE(TRIM(E280),",","."))-1))*60+_xlfn.NUMBERVALUE(MID(SUBSTITUTE(TRIM(E280),",","."),FIND(":",SUBSTITUTE(TRIM(E280),",","."))+1,99),"."),_xlfn.NUMBERVALUE(SUBSTITUTE(TRIM(E280),",","."),".")),0)))</f>
        <v/>
      </c>
      <c r="L280" s="3" t="str">
        <f aca="false">IF(OR(D280="",N(K280)&lt;=0),"",IFERROR(MATCH(B280&amp;"|"&amp;C280&amp;"|"&amp;D280,Нормативы!$M$2:$M$71,0),""))</f>
        <v/>
      </c>
      <c r="M280" s="3" t="str">
        <f aca="false">IF(L280="","",SUMPRODUCT((INDEX(Нормативы!$D$2:$L$71,L280,0)&lt;K280)*ISNUMBER(INDEX(Нормативы!$D$2:$L$71,L280,0))))</f>
        <v/>
      </c>
    </row>
    <row r="281" customFormat="false" ht="15" hidden="false" customHeight="false" outlineLevel="0" collapsed="false">
      <c r="A281" s="5"/>
      <c r="B281" s="5"/>
      <c r="C281" s="5"/>
      <c r="D281" s="5"/>
      <c r="E281" s="14"/>
      <c r="F281" s="4" t="str">
        <f aca="false">IF(OR(J281="",K281="",N(J281)=0,N(K281)&lt;=0),"",ROUNDDOWN(1000*(J281/K281)^3,0))</f>
        <v/>
      </c>
      <c r="G281" s="4" t="str">
        <f aca="false">IF(M281="","",IF(M281+1&gt;COUNT(INDEX(Нормативы!$D$2:$L$71,L281,0)),"Разряда нет",INDEX(Нормативы!$D$1:$L$1,1,M281+1)))</f>
        <v/>
      </c>
      <c r="H281" s="2" t="str">
        <f aca="false">IF(M281="","",IF(M281=0,"—",INDEX(Нормативы!$D$1:$L$1,1,M281)))</f>
        <v/>
      </c>
      <c r="I281" s="7" t="str">
        <f aca="false">IF(M281="","",IF(M281=0,"",IF(INT(ROUND(INDEX(Нормативы!$D$2:$L$71,L281,M281)*100,0)/6000)&gt;0,INT(ROUND(INDEX(Нормативы!$D$2:$L$71,L281,M281)*100,0)/6000)&amp;":"&amp;RIGHT("0"&amp;INT(MOD(ROUND(INDEX(Нормативы!$D$2:$L$71,L281,M281)*100,0),6000)/100),2),INT(MOD(ROUND(INDEX(Нормативы!$D$2:$L$71,L281,M281)*100,0),6000)/100))&amp;"."&amp;RIGHT("0"&amp;MOD(ROUND(INDEX(Нормативы!$D$2:$L$71,L281,M281)*100,0),100),2)))</f>
        <v/>
      </c>
      <c r="J281" s="12" t="str">
        <f aca="false">IF(D281="","",SUMIFS('Базовые времена'!$D$2:$D$71,'Базовые времена'!$A$2:$A$71,B281,'Базовые времена'!$B$2:$B$71,C281,'Базовые времена'!$C$2:$C$71,D281))</f>
        <v/>
      </c>
      <c r="K281" s="12" t="str">
        <f aca="false">IF(E281="","",IF(ISNUMBER(E281),IF(E281&lt;1,E281*86400,E281),IFERROR(IF(ISNUMBER(FIND(":",SUBSTITUTE(TRIM(E281),",","."))),VALUE(LEFT(SUBSTITUTE(TRIM(E281),",","."),FIND(":",SUBSTITUTE(TRIM(E281),",","."))-1))*60+_xlfn.NUMBERVALUE(MID(SUBSTITUTE(TRIM(E281),",","."),FIND(":",SUBSTITUTE(TRIM(E281),",","."))+1,99),"."),_xlfn.NUMBERVALUE(SUBSTITUTE(TRIM(E281),",","."),".")),0)))</f>
        <v/>
      </c>
      <c r="L281" s="3" t="str">
        <f aca="false">IF(OR(D281="",N(K281)&lt;=0),"",IFERROR(MATCH(B281&amp;"|"&amp;C281&amp;"|"&amp;D281,Нормативы!$M$2:$M$71,0),""))</f>
        <v/>
      </c>
      <c r="M281" s="3" t="str">
        <f aca="false">IF(L281="","",SUMPRODUCT((INDEX(Нормативы!$D$2:$L$71,L281,0)&lt;K281)*ISNUMBER(INDEX(Нормативы!$D$2:$L$71,L281,0))))</f>
        <v/>
      </c>
    </row>
    <row r="282" customFormat="false" ht="15" hidden="false" customHeight="false" outlineLevel="0" collapsed="false">
      <c r="A282" s="5"/>
      <c r="B282" s="5"/>
      <c r="C282" s="5"/>
      <c r="D282" s="5"/>
      <c r="E282" s="14"/>
      <c r="F282" s="4" t="str">
        <f aca="false">IF(OR(J282="",K282="",N(J282)=0,N(K282)&lt;=0),"",ROUNDDOWN(1000*(J282/K282)^3,0))</f>
        <v/>
      </c>
      <c r="G282" s="4" t="str">
        <f aca="false">IF(M282="","",IF(M282+1&gt;COUNT(INDEX(Нормативы!$D$2:$L$71,L282,0)),"Разряда нет",INDEX(Нормативы!$D$1:$L$1,1,M282+1)))</f>
        <v/>
      </c>
      <c r="H282" s="2" t="str">
        <f aca="false">IF(M282="","",IF(M282=0,"—",INDEX(Нормативы!$D$1:$L$1,1,M282)))</f>
        <v/>
      </c>
      <c r="I282" s="7" t="str">
        <f aca="false">IF(M282="","",IF(M282=0,"",IF(INT(ROUND(INDEX(Нормативы!$D$2:$L$71,L282,M282)*100,0)/6000)&gt;0,INT(ROUND(INDEX(Нормативы!$D$2:$L$71,L282,M282)*100,0)/6000)&amp;":"&amp;RIGHT("0"&amp;INT(MOD(ROUND(INDEX(Нормативы!$D$2:$L$71,L282,M282)*100,0),6000)/100),2),INT(MOD(ROUND(INDEX(Нормативы!$D$2:$L$71,L282,M282)*100,0),6000)/100))&amp;"."&amp;RIGHT("0"&amp;MOD(ROUND(INDEX(Нормативы!$D$2:$L$71,L282,M282)*100,0),100),2)))</f>
        <v/>
      </c>
      <c r="J282" s="12" t="str">
        <f aca="false">IF(D282="","",SUMIFS('Базовые времена'!$D$2:$D$71,'Базовые времена'!$A$2:$A$71,B282,'Базовые времена'!$B$2:$B$71,C282,'Базовые времена'!$C$2:$C$71,D282))</f>
        <v/>
      </c>
      <c r="K282" s="12" t="str">
        <f aca="false">IF(E282="","",IF(ISNUMBER(E282),IF(E282&lt;1,E282*86400,E282),IFERROR(IF(ISNUMBER(FIND(":",SUBSTITUTE(TRIM(E282),",","."))),VALUE(LEFT(SUBSTITUTE(TRIM(E282),",","."),FIND(":",SUBSTITUTE(TRIM(E282),",","."))-1))*60+_xlfn.NUMBERVALUE(MID(SUBSTITUTE(TRIM(E282),",","."),FIND(":",SUBSTITUTE(TRIM(E282),",","."))+1,99),"."),_xlfn.NUMBERVALUE(SUBSTITUTE(TRIM(E282),",","."),".")),0)))</f>
        <v/>
      </c>
      <c r="L282" s="3" t="str">
        <f aca="false">IF(OR(D282="",N(K282)&lt;=0),"",IFERROR(MATCH(B282&amp;"|"&amp;C282&amp;"|"&amp;D282,Нормативы!$M$2:$M$71,0),""))</f>
        <v/>
      </c>
      <c r="M282" s="3" t="str">
        <f aca="false">IF(L282="","",SUMPRODUCT((INDEX(Нормативы!$D$2:$L$71,L282,0)&lt;K282)*ISNUMBER(INDEX(Нормативы!$D$2:$L$71,L282,0))))</f>
        <v/>
      </c>
    </row>
    <row r="283" customFormat="false" ht="15" hidden="false" customHeight="false" outlineLevel="0" collapsed="false">
      <c r="A283" s="5"/>
      <c r="B283" s="5"/>
      <c r="C283" s="5"/>
      <c r="D283" s="5"/>
      <c r="E283" s="14"/>
      <c r="F283" s="4" t="str">
        <f aca="false">IF(OR(J283="",K283="",N(J283)=0,N(K283)&lt;=0),"",ROUNDDOWN(1000*(J283/K283)^3,0))</f>
        <v/>
      </c>
      <c r="G283" s="4" t="str">
        <f aca="false">IF(M283="","",IF(M283+1&gt;COUNT(INDEX(Нормативы!$D$2:$L$71,L283,0)),"Разряда нет",INDEX(Нормативы!$D$1:$L$1,1,M283+1)))</f>
        <v/>
      </c>
      <c r="H283" s="2" t="str">
        <f aca="false">IF(M283="","",IF(M283=0,"—",INDEX(Нормативы!$D$1:$L$1,1,M283)))</f>
        <v/>
      </c>
      <c r="I283" s="7" t="str">
        <f aca="false">IF(M283="","",IF(M283=0,"",IF(INT(ROUND(INDEX(Нормативы!$D$2:$L$71,L283,M283)*100,0)/6000)&gt;0,INT(ROUND(INDEX(Нормативы!$D$2:$L$71,L283,M283)*100,0)/6000)&amp;":"&amp;RIGHT("0"&amp;INT(MOD(ROUND(INDEX(Нормативы!$D$2:$L$71,L283,M283)*100,0),6000)/100),2),INT(MOD(ROUND(INDEX(Нормативы!$D$2:$L$71,L283,M283)*100,0),6000)/100))&amp;"."&amp;RIGHT("0"&amp;MOD(ROUND(INDEX(Нормативы!$D$2:$L$71,L283,M283)*100,0),100),2)))</f>
        <v/>
      </c>
      <c r="J283" s="12" t="str">
        <f aca="false">IF(D283="","",SUMIFS('Базовые времена'!$D$2:$D$71,'Базовые времена'!$A$2:$A$71,B283,'Базовые времена'!$B$2:$B$71,C283,'Базовые времена'!$C$2:$C$71,D283))</f>
        <v/>
      </c>
      <c r="K283" s="12" t="str">
        <f aca="false">IF(E283="","",IF(ISNUMBER(E283),IF(E283&lt;1,E283*86400,E283),IFERROR(IF(ISNUMBER(FIND(":",SUBSTITUTE(TRIM(E283),",","."))),VALUE(LEFT(SUBSTITUTE(TRIM(E283),",","."),FIND(":",SUBSTITUTE(TRIM(E283),",","."))-1))*60+_xlfn.NUMBERVALUE(MID(SUBSTITUTE(TRIM(E283),",","."),FIND(":",SUBSTITUTE(TRIM(E283),",","."))+1,99),"."),_xlfn.NUMBERVALUE(SUBSTITUTE(TRIM(E283),",","."),".")),0)))</f>
        <v/>
      </c>
      <c r="L283" s="3" t="str">
        <f aca="false">IF(OR(D283="",N(K283)&lt;=0),"",IFERROR(MATCH(B283&amp;"|"&amp;C283&amp;"|"&amp;D283,Нормативы!$M$2:$M$71,0),""))</f>
        <v/>
      </c>
      <c r="M283" s="3" t="str">
        <f aca="false">IF(L283="","",SUMPRODUCT((INDEX(Нормативы!$D$2:$L$71,L283,0)&lt;K283)*ISNUMBER(INDEX(Нормативы!$D$2:$L$71,L283,0))))</f>
        <v/>
      </c>
    </row>
    <row r="284" customFormat="false" ht="15" hidden="false" customHeight="false" outlineLevel="0" collapsed="false">
      <c r="A284" s="5"/>
      <c r="B284" s="5"/>
      <c r="C284" s="5"/>
      <c r="D284" s="5"/>
      <c r="E284" s="14"/>
      <c r="F284" s="4" t="str">
        <f aca="false">IF(OR(J284="",K284="",N(J284)=0,N(K284)&lt;=0),"",ROUNDDOWN(1000*(J284/K284)^3,0))</f>
        <v/>
      </c>
      <c r="G284" s="4" t="str">
        <f aca="false">IF(M284="","",IF(M284+1&gt;COUNT(INDEX(Нормативы!$D$2:$L$71,L284,0)),"Разряда нет",INDEX(Нормативы!$D$1:$L$1,1,M284+1)))</f>
        <v/>
      </c>
      <c r="H284" s="2" t="str">
        <f aca="false">IF(M284="","",IF(M284=0,"—",INDEX(Нормативы!$D$1:$L$1,1,M284)))</f>
        <v/>
      </c>
      <c r="I284" s="7" t="str">
        <f aca="false">IF(M284="","",IF(M284=0,"",IF(INT(ROUND(INDEX(Нормативы!$D$2:$L$71,L284,M284)*100,0)/6000)&gt;0,INT(ROUND(INDEX(Нормативы!$D$2:$L$71,L284,M284)*100,0)/6000)&amp;":"&amp;RIGHT("0"&amp;INT(MOD(ROUND(INDEX(Нормативы!$D$2:$L$71,L284,M284)*100,0),6000)/100),2),INT(MOD(ROUND(INDEX(Нормативы!$D$2:$L$71,L284,M284)*100,0),6000)/100))&amp;"."&amp;RIGHT("0"&amp;MOD(ROUND(INDEX(Нормативы!$D$2:$L$71,L284,M284)*100,0),100),2)))</f>
        <v/>
      </c>
      <c r="J284" s="12" t="str">
        <f aca="false">IF(D284="","",SUMIFS('Базовые времена'!$D$2:$D$71,'Базовые времена'!$A$2:$A$71,B284,'Базовые времена'!$B$2:$B$71,C284,'Базовые времена'!$C$2:$C$71,D284))</f>
        <v/>
      </c>
      <c r="K284" s="12" t="str">
        <f aca="false">IF(E284="","",IF(ISNUMBER(E284),IF(E284&lt;1,E284*86400,E284),IFERROR(IF(ISNUMBER(FIND(":",SUBSTITUTE(TRIM(E284),",","."))),VALUE(LEFT(SUBSTITUTE(TRIM(E284),",","."),FIND(":",SUBSTITUTE(TRIM(E284),",","."))-1))*60+_xlfn.NUMBERVALUE(MID(SUBSTITUTE(TRIM(E284),",","."),FIND(":",SUBSTITUTE(TRIM(E284),",","."))+1,99),"."),_xlfn.NUMBERVALUE(SUBSTITUTE(TRIM(E284),",","."),".")),0)))</f>
        <v/>
      </c>
      <c r="L284" s="3" t="str">
        <f aca="false">IF(OR(D284="",N(K284)&lt;=0),"",IFERROR(MATCH(B284&amp;"|"&amp;C284&amp;"|"&amp;D284,Нормативы!$M$2:$M$71,0),""))</f>
        <v/>
      </c>
      <c r="M284" s="3" t="str">
        <f aca="false">IF(L284="","",SUMPRODUCT((INDEX(Нормативы!$D$2:$L$71,L284,0)&lt;K284)*ISNUMBER(INDEX(Нормативы!$D$2:$L$71,L284,0))))</f>
        <v/>
      </c>
    </row>
    <row r="285" customFormat="false" ht="15" hidden="false" customHeight="false" outlineLevel="0" collapsed="false">
      <c r="A285" s="5"/>
      <c r="B285" s="5"/>
      <c r="C285" s="5"/>
      <c r="D285" s="5"/>
      <c r="E285" s="14"/>
      <c r="F285" s="4" t="str">
        <f aca="false">IF(OR(J285="",K285="",N(J285)=0,N(K285)&lt;=0),"",ROUNDDOWN(1000*(J285/K285)^3,0))</f>
        <v/>
      </c>
      <c r="G285" s="4" t="str">
        <f aca="false">IF(M285="","",IF(M285+1&gt;COUNT(INDEX(Нормативы!$D$2:$L$71,L285,0)),"Разряда нет",INDEX(Нормативы!$D$1:$L$1,1,M285+1)))</f>
        <v/>
      </c>
      <c r="H285" s="2" t="str">
        <f aca="false">IF(M285="","",IF(M285=0,"—",INDEX(Нормативы!$D$1:$L$1,1,M285)))</f>
        <v/>
      </c>
      <c r="I285" s="7" t="str">
        <f aca="false">IF(M285="","",IF(M285=0,"",IF(INT(ROUND(INDEX(Нормативы!$D$2:$L$71,L285,M285)*100,0)/6000)&gt;0,INT(ROUND(INDEX(Нормативы!$D$2:$L$71,L285,M285)*100,0)/6000)&amp;":"&amp;RIGHT("0"&amp;INT(MOD(ROUND(INDEX(Нормативы!$D$2:$L$71,L285,M285)*100,0),6000)/100),2),INT(MOD(ROUND(INDEX(Нормативы!$D$2:$L$71,L285,M285)*100,0),6000)/100))&amp;"."&amp;RIGHT("0"&amp;MOD(ROUND(INDEX(Нормативы!$D$2:$L$71,L285,M285)*100,0),100),2)))</f>
        <v/>
      </c>
      <c r="J285" s="12" t="str">
        <f aca="false">IF(D285="","",SUMIFS('Базовые времена'!$D$2:$D$71,'Базовые времена'!$A$2:$A$71,B285,'Базовые времена'!$B$2:$B$71,C285,'Базовые времена'!$C$2:$C$71,D285))</f>
        <v/>
      </c>
      <c r="K285" s="12" t="str">
        <f aca="false">IF(E285="","",IF(ISNUMBER(E285),IF(E285&lt;1,E285*86400,E285),IFERROR(IF(ISNUMBER(FIND(":",SUBSTITUTE(TRIM(E285),",","."))),VALUE(LEFT(SUBSTITUTE(TRIM(E285),",","."),FIND(":",SUBSTITUTE(TRIM(E285),",","."))-1))*60+_xlfn.NUMBERVALUE(MID(SUBSTITUTE(TRIM(E285),",","."),FIND(":",SUBSTITUTE(TRIM(E285),",","."))+1,99),"."),_xlfn.NUMBERVALUE(SUBSTITUTE(TRIM(E285),",","."),".")),0)))</f>
        <v/>
      </c>
      <c r="L285" s="3" t="str">
        <f aca="false">IF(OR(D285="",N(K285)&lt;=0),"",IFERROR(MATCH(B285&amp;"|"&amp;C285&amp;"|"&amp;D285,Нормативы!$M$2:$M$71,0),""))</f>
        <v/>
      </c>
      <c r="M285" s="3" t="str">
        <f aca="false">IF(L285="","",SUMPRODUCT((INDEX(Нормативы!$D$2:$L$71,L285,0)&lt;K285)*ISNUMBER(INDEX(Нормативы!$D$2:$L$71,L285,0))))</f>
        <v/>
      </c>
    </row>
    <row r="286" customFormat="false" ht="15" hidden="false" customHeight="false" outlineLevel="0" collapsed="false">
      <c r="A286" s="5"/>
      <c r="B286" s="5"/>
      <c r="C286" s="5"/>
      <c r="D286" s="5"/>
      <c r="E286" s="14"/>
      <c r="F286" s="4" t="str">
        <f aca="false">IF(OR(J286="",K286="",N(J286)=0,N(K286)&lt;=0),"",ROUNDDOWN(1000*(J286/K286)^3,0))</f>
        <v/>
      </c>
      <c r="G286" s="4" t="str">
        <f aca="false">IF(M286="","",IF(M286+1&gt;COUNT(INDEX(Нормативы!$D$2:$L$71,L286,0)),"Разряда нет",INDEX(Нормативы!$D$1:$L$1,1,M286+1)))</f>
        <v/>
      </c>
      <c r="H286" s="2" t="str">
        <f aca="false">IF(M286="","",IF(M286=0,"—",INDEX(Нормативы!$D$1:$L$1,1,M286)))</f>
        <v/>
      </c>
      <c r="I286" s="7" t="str">
        <f aca="false">IF(M286="","",IF(M286=0,"",IF(INT(ROUND(INDEX(Нормативы!$D$2:$L$71,L286,M286)*100,0)/6000)&gt;0,INT(ROUND(INDEX(Нормативы!$D$2:$L$71,L286,M286)*100,0)/6000)&amp;":"&amp;RIGHT("0"&amp;INT(MOD(ROUND(INDEX(Нормативы!$D$2:$L$71,L286,M286)*100,0),6000)/100),2),INT(MOD(ROUND(INDEX(Нормативы!$D$2:$L$71,L286,M286)*100,0),6000)/100))&amp;"."&amp;RIGHT("0"&amp;MOD(ROUND(INDEX(Нормативы!$D$2:$L$71,L286,M286)*100,0),100),2)))</f>
        <v/>
      </c>
      <c r="J286" s="12" t="str">
        <f aca="false">IF(D286="","",SUMIFS('Базовые времена'!$D$2:$D$71,'Базовые времена'!$A$2:$A$71,B286,'Базовые времена'!$B$2:$B$71,C286,'Базовые времена'!$C$2:$C$71,D286))</f>
        <v/>
      </c>
      <c r="K286" s="12" t="str">
        <f aca="false">IF(E286="","",IF(ISNUMBER(E286),IF(E286&lt;1,E286*86400,E286),IFERROR(IF(ISNUMBER(FIND(":",SUBSTITUTE(TRIM(E286),",","."))),VALUE(LEFT(SUBSTITUTE(TRIM(E286),",","."),FIND(":",SUBSTITUTE(TRIM(E286),",","."))-1))*60+_xlfn.NUMBERVALUE(MID(SUBSTITUTE(TRIM(E286),",","."),FIND(":",SUBSTITUTE(TRIM(E286),",","."))+1,99),"."),_xlfn.NUMBERVALUE(SUBSTITUTE(TRIM(E286),",","."),".")),0)))</f>
        <v/>
      </c>
      <c r="L286" s="3" t="str">
        <f aca="false">IF(OR(D286="",N(K286)&lt;=0),"",IFERROR(MATCH(B286&amp;"|"&amp;C286&amp;"|"&amp;D286,Нормативы!$M$2:$M$71,0),""))</f>
        <v/>
      </c>
      <c r="M286" s="3" t="str">
        <f aca="false">IF(L286="","",SUMPRODUCT((INDEX(Нормативы!$D$2:$L$71,L286,0)&lt;K286)*ISNUMBER(INDEX(Нормативы!$D$2:$L$71,L286,0))))</f>
        <v/>
      </c>
    </row>
    <row r="287" customFormat="false" ht="15" hidden="false" customHeight="false" outlineLevel="0" collapsed="false">
      <c r="A287" s="5"/>
      <c r="B287" s="5"/>
      <c r="C287" s="5"/>
      <c r="D287" s="5"/>
      <c r="E287" s="14"/>
      <c r="F287" s="4" t="str">
        <f aca="false">IF(OR(J287="",K287="",N(J287)=0,N(K287)&lt;=0),"",ROUNDDOWN(1000*(J287/K287)^3,0))</f>
        <v/>
      </c>
      <c r="G287" s="4" t="str">
        <f aca="false">IF(M287="","",IF(M287+1&gt;COUNT(INDEX(Нормативы!$D$2:$L$71,L287,0)),"Разряда нет",INDEX(Нормативы!$D$1:$L$1,1,M287+1)))</f>
        <v/>
      </c>
      <c r="H287" s="2" t="str">
        <f aca="false">IF(M287="","",IF(M287=0,"—",INDEX(Нормативы!$D$1:$L$1,1,M287)))</f>
        <v/>
      </c>
      <c r="I287" s="7" t="str">
        <f aca="false">IF(M287="","",IF(M287=0,"",IF(INT(ROUND(INDEX(Нормативы!$D$2:$L$71,L287,M287)*100,0)/6000)&gt;0,INT(ROUND(INDEX(Нормативы!$D$2:$L$71,L287,M287)*100,0)/6000)&amp;":"&amp;RIGHT("0"&amp;INT(MOD(ROUND(INDEX(Нормативы!$D$2:$L$71,L287,M287)*100,0),6000)/100),2),INT(MOD(ROUND(INDEX(Нормативы!$D$2:$L$71,L287,M287)*100,0),6000)/100))&amp;"."&amp;RIGHT("0"&amp;MOD(ROUND(INDEX(Нормативы!$D$2:$L$71,L287,M287)*100,0),100),2)))</f>
        <v/>
      </c>
      <c r="J287" s="12" t="str">
        <f aca="false">IF(D287="","",SUMIFS('Базовые времена'!$D$2:$D$71,'Базовые времена'!$A$2:$A$71,B287,'Базовые времена'!$B$2:$B$71,C287,'Базовые времена'!$C$2:$C$71,D287))</f>
        <v/>
      </c>
      <c r="K287" s="12" t="str">
        <f aca="false">IF(E287="","",IF(ISNUMBER(E287),IF(E287&lt;1,E287*86400,E287),IFERROR(IF(ISNUMBER(FIND(":",SUBSTITUTE(TRIM(E287),",","."))),VALUE(LEFT(SUBSTITUTE(TRIM(E287),",","."),FIND(":",SUBSTITUTE(TRIM(E287),",","."))-1))*60+_xlfn.NUMBERVALUE(MID(SUBSTITUTE(TRIM(E287),",","."),FIND(":",SUBSTITUTE(TRIM(E287),",","."))+1,99),"."),_xlfn.NUMBERVALUE(SUBSTITUTE(TRIM(E287),",","."),".")),0)))</f>
        <v/>
      </c>
      <c r="L287" s="3" t="str">
        <f aca="false">IF(OR(D287="",N(K287)&lt;=0),"",IFERROR(MATCH(B287&amp;"|"&amp;C287&amp;"|"&amp;D287,Нормативы!$M$2:$M$71,0),""))</f>
        <v/>
      </c>
      <c r="M287" s="3" t="str">
        <f aca="false">IF(L287="","",SUMPRODUCT((INDEX(Нормативы!$D$2:$L$71,L287,0)&lt;K287)*ISNUMBER(INDEX(Нормативы!$D$2:$L$71,L287,0))))</f>
        <v/>
      </c>
    </row>
    <row r="288" customFormat="false" ht="15" hidden="false" customHeight="false" outlineLevel="0" collapsed="false">
      <c r="A288" s="5"/>
      <c r="B288" s="5"/>
      <c r="C288" s="5"/>
      <c r="D288" s="5"/>
      <c r="E288" s="14"/>
      <c r="F288" s="4" t="str">
        <f aca="false">IF(OR(J288="",K288="",N(J288)=0,N(K288)&lt;=0),"",ROUNDDOWN(1000*(J288/K288)^3,0))</f>
        <v/>
      </c>
      <c r="G288" s="4" t="str">
        <f aca="false">IF(M288="","",IF(M288+1&gt;COUNT(INDEX(Нормативы!$D$2:$L$71,L288,0)),"Разряда нет",INDEX(Нормативы!$D$1:$L$1,1,M288+1)))</f>
        <v/>
      </c>
      <c r="H288" s="2" t="str">
        <f aca="false">IF(M288="","",IF(M288=0,"—",INDEX(Нормативы!$D$1:$L$1,1,M288)))</f>
        <v/>
      </c>
      <c r="I288" s="7" t="str">
        <f aca="false">IF(M288="","",IF(M288=0,"",IF(INT(ROUND(INDEX(Нормативы!$D$2:$L$71,L288,M288)*100,0)/6000)&gt;0,INT(ROUND(INDEX(Нормативы!$D$2:$L$71,L288,M288)*100,0)/6000)&amp;":"&amp;RIGHT("0"&amp;INT(MOD(ROUND(INDEX(Нормативы!$D$2:$L$71,L288,M288)*100,0),6000)/100),2),INT(MOD(ROUND(INDEX(Нормативы!$D$2:$L$71,L288,M288)*100,0),6000)/100))&amp;"."&amp;RIGHT("0"&amp;MOD(ROUND(INDEX(Нормативы!$D$2:$L$71,L288,M288)*100,0),100),2)))</f>
        <v/>
      </c>
      <c r="J288" s="12" t="str">
        <f aca="false">IF(D288="","",SUMIFS('Базовые времена'!$D$2:$D$71,'Базовые времена'!$A$2:$A$71,B288,'Базовые времена'!$B$2:$B$71,C288,'Базовые времена'!$C$2:$C$71,D288))</f>
        <v/>
      </c>
      <c r="K288" s="12" t="str">
        <f aca="false">IF(E288="","",IF(ISNUMBER(E288),IF(E288&lt;1,E288*86400,E288),IFERROR(IF(ISNUMBER(FIND(":",SUBSTITUTE(TRIM(E288),",","."))),VALUE(LEFT(SUBSTITUTE(TRIM(E288),",","."),FIND(":",SUBSTITUTE(TRIM(E288),",","."))-1))*60+_xlfn.NUMBERVALUE(MID(SUBSTITUTE(TRIM(E288),",","."),FIND(":",SUBSTITUTE(TRIM(E288),",","."))+1,99),"."),_xlfn.NUMBERVALUE(SUBSTITUTE(TRIM(E288),",","."),".")),0)))</f>
        <v/>
      </c>
      <c r="L288" s="3" t="str">
        <f aca="false">IF(OR(D288="",N(K288)&lt;=0),"",IFERROR(MATCH(B288&amp;"|"&amp;C288&amp;"|"&amp;D288,Нормативы!$M$2:$M$71,0),""))</f>
        <v/>
      </c>
      <c r="M288" s="3" t="str">
        <f aca="false">IF(L288="","",SUMPRODUCT((INDEX(Нормативы!$D$2:$L$71,L288,0)&lt;K288)*ISNUMBER(INDEX(Нормативы!$D$2:$L$71,L288,0))))</f>
        <v/>
      </c>
    </row>
    <row r="289" customFormat="false" ht="15" hidden="false" customHeight="false" outlineLevel="0" collapsed="false">
      <c r="A289" s="5"/>
      <c r="B289" s="5"/>
      <c r="C289" s="5"/>
      <c r="D289" s="5"/>
      <c r="E289" s="14"/>
      <c r="F289" s="4" t="str">
        <f aca="false">IF(OR(J289="",K289="",N(J289)=0,N(K289)&lt;=0),"",ROUNDDOWN(1000*(J289/K289)^3,0))</f>
        <v/>
      </c>
      <c r="G289" s="4" t="str">
        <f aca="false">IF(M289="","",IF(M289+1&gt;COUNT(INDEX(Нормативы!$D$2:$L$71,L289,0)),"Разряда нет",INDEX(Нормативы!$D$1:$L$1,1,M289+1)))</f>
        <v/>
      </c>
      <c r="H289" s="2" t="str">
        <f aca="false">IF(M289="","",IF(M289=0,"—",INDEX(Нормативы!$D$1:$L$1,1,M289)))</f>
        <v/>
      </c>
      <c r="I289" s="7" t="str">
        <f aca="false">IF(M289="","",IF(M289=0,"",IF(INT(ROUND(INDEX(Нормативы!$D$2:$L$71,L289,M289)*100,0)/6000)&gt;0,INT(ROUND(INDEX(Нормативы!$D$2:$L$71,L289,M289)*100,0)/6000)&amp;":"&amp;RIGHT("0"&amp;INT(MOD(ROUND(INDEX(Нормативы!$D$2:$L$71,L289,M289)*100,0),6000)/100),2),INT(MOD(ROUND(INDEX(Нормативы!$D$2:$L$71,L289,M289)*100,0),6000)/100))&amp;"."&amp;RIGHT("0"&amp;MOD(ROUND(INDEX(Нормативы!$D$2:$L$71,L289,M289)*100,0),100),2)))</f>
        <v/>
      </c>
      <c r="J289" s="12" t="str">
        <f aca="false">IF(D289="","",SUMIFS('Базовые времена'!$D$2:$D$71,'Базовые времена'!$A$2:$A$71,B289,'Базовые времена'!$B$2:$B$71,C289,'Базовые времена'!$C$2:$C$71,D289))</f>
        <v/>
      </c>
      <c r="K289" s="12" t="str">
        <f aca="false">IF(E289="","",IF(ISNUMBER(E289),IF(E289&lt;1,E289*86400,E289),IFERROR(IF(ISNUMBER(FIND(":",SUBSTITUTE(TRIM(E289),",","."))),VALUE(LEFT(SUBSTITUTE(TRIM(E289),",","."),FIND(":",SUBSTITUTE(TRIM(E289),",","."))-1))*60+_xlfn.NUMBERVALUE(MID(SUBSTITUTE(TRIM(E289),",","."),FIND(":",SUBSTITUTE(TRIM(E289),",","."))+1,99),"."),_xlfn.NUMBERVALUE(SUBSTITUTE(TRIM(E289),",","."),".")),0)))</f>
        <v/>
      </c>
      <c r="L289" s="3" t="str">
        <f aca="false">IF(OR(D289="",N(K289)&lt;=0),"",IFERROR(MATCH(B289&amp;"|"&amp;C289&amp;"|"&amp;D289,Нормативы!$M$2:$M$71,0),""))</f>
        <v/>
      </c>
      <c r="M289" s="3" t="str">
        <f aca="false">IF(L289="","",SUMPRODUCT((INDEX(Нормативы!$D$2:$L$71,L289,0)&lt;K289)*ISNUMBER(INDEX(Нормативы!$D$2:$L$71,L289,0))))</f>
        <v/>
      </c>
    </row>
    <row r="290" customFormat="false" ht="15" hidden="false" customHeight="false" outlineLevel="0" collapsed="false">
      <c r="A290" s="5"/>
      <c r="B290" s="5"/>
      <c r="C290" s="5"/>
      <c r="D290" s="5"/>
      <c r="E290" s="14"/>
      <c r="F290" s="4" t="str">
        <f aca="false">IF(OR(J290="",K290="",N(J290)=0,N(K290)&lt;=0),"",ROUNDDOWN(1000*(J290/K290)^3,0))</f>
        <v/>
      </c>
      <c r="G290" s="4" t="str">
        <f aca="false">IF(M290="","",IF(M290+1&gt;COUNT(INDEX(Нормативы!$D$2:$L$71,L290,0)),"Разряда нет",INDEX(Нормативы!$D$1:$L$1,1,M290+1)))</f>
        <v/>
      </c>
      <c r="H290" s="2" t="str">
        <f aca="false">IF(M290="","",IF(M290=0,"—",INDEX(Нормативы!$D$1:$L$1,1,M290)))</f>
        <v/>
      </c>
      <c r="I290" s="7" t="str">
        <f aca="false">IF(M290="","",IF(M290=0,"",IF(INT(ROUND(INDEX(Нормативы!$D$2:$L$71,L290,M290)*100,0)/6000)&gt;0,INT(ROUND(INDEX(Нормативы!$D$2:$L$71,L290,M290)*100,0)/6000)&amp;":"&amp;RIGHT("0"&amp;INT(MOD(ROUND(INDEX(Нормативы!$D$2:$L$71,L290,M290)*100,0),6000)/100),2),INT(MOD(ROUND(INDEX(Нормативы!$D$2:$L$71,L290,M290)*100,0),6000)/100))&amp;"."&amp;RIGHT("0"&amp;MOD(ROUND(INDEX(Нормативы!$D$2:$L$71,L290,M290)*100,0),100),2)))</f>
        <v/>
      </c>
      <c r="J290" s="12" t="str">
        <f aca="false">IF(D290="","",SUMIFS('Базовые времена'!$D$2:$D$71,'Базовые времена'!$A$2:$A$71,B290,'Базовые времена'!$B$2:$B$71,C290,'Базовые времена'!$C$2:$C$71,D290))</f>
        <v/>
      </c>
      <c r="K290" s="12" t="str">
        <f aca="false">IF(E290="","",IF(ISNUMBER(E290),IF(E290&lt;1,E290*86400,E290),IFERROR(IF(ISNUMBER(FIND(":",SUBSTITUTE(TRIM(E290),",","."))),VALUE(LEFT(SUBSTITUTE(TRIM(E290),",","."),FIND(":",SUBSTITUTE(TRIM(E290),",","."))-1))*60+_xlfn.NUMBERVALUE(MID(SUBSTITUTE(TRIM(E290),",","."),FIND(":",SUBSTITUTE(TRIM(E290),",","."))+1,99),"."),_xlfn.NUMBERVALUE(SUBSTITUTE(TRIM(E290),",","."),".")),0)))</f>
        <v/>
      </c>
      <c r="L290" s="3" t="str">
        <f aca="false">IF(OR(D290="",N(K290)&lt;=0),"",IFERROR(MATCH(B290&amp;"|"&amp;C290&amp;"|"&amp;D290,Нормативы!$M$2:$M$71,0),""))</f>
        <v/>
      </c>
      <c r="M290" s="3" t="str">
        <f aca="false">IF(L290="","",SUMPRODUCT((INDEX(Нормативы!$D$2:$L$71,L290,0)&lt;K290)*ISNUMBER(INDEX(Нормативы!$D$2:$L$71,L290,0))))</f>
        <v/>
      </c>
    </row>
    <row r="291" customFormat="false" ht="15" hidden="false" customHeight="false" outlineLevel="0" collapsed="false">
      <c r="A291" s="5"/>
      <c r="B291" s="5"/>
      <c r="C291" s="5"/>
      <c r="D291" s="5"/>
      <c r="E291" s="14"/>
      <c r="F291" s="4" t="str">
        <f aca="false">IF(OR(J291="",K291="",N(J291)=0,N(K291)&lt;=0),"",ROUNDDOWN(1000*(J291/K291)^3,0))</f>
        <v/>
      </c>
      <c r="G291" s="4" t="str">
        <f aca="false">IF(M291="","",IF(M291+1&gt;COUNT(INDEX(Нормативы!$D$2:$L$71,L291,0)),"Разряда нет",INDEX(Нормативы!$D$1:$L$1,1,M291+1)))</f>
        <v/>
      </c>
      <c r="H291" s="2" t="str">
        <f aca="false">IF(M291="","",IF(M291=0,"—",INDEX(Нормативы!$D$1:$L$1,1,M291)))</f>
        <v/>
      </c>
      <c r="I291" s="7" t="str">
        <f aca="false">IF(M291="","",IF(M291=0,"",IF(INT(ROUND(INDEX(Нормативы!$D$2:$L$71,L291,M291)*100,0)/6000)&gt;0,INT(ROUND(INDEX(Нормативы!$D$2:$L$71,L291,M291)*100,0)/6000)&amp;":"&amp;RIGHT("0"&amp;INT(MOD(ROUND(INDEX(Нормативы!$D$2:$L$71,L291,M291)*100,0),6000)/100),2),INT(MOD(ROUND(INDEX(Нормативы!$D$2:$L$71,L291,M291)*100,0),6000)/100))&amp;"."&amp;RIGHT("0"&amp;MOD(ROUND(INDEX(Нормативы!$D$2:$L$71,L291,M291)*100,0),100),2)))</f>
        <v/>
      </c>
      <c r="J291" s="12" t="str">
        <f aca="false">IF(D291="","",SUMIFS('Базовые времена'!$D$2:$D$71,'Базовые времена'!$A$2:$A$71,B291,'Базовые времена'!$B$2:$B$71,C291,'Базовые времена'!$C$2:$C$71,D291))</f>
        <v/>
      </c>
      <c r="K291" s="12" t="str">
        <f aca="false">IF(E291="","",IF(ISNUMBER(E291),IF(E291&lt;1,E291*86400,E291),IFERROR(IF(ISNUMBER(FIND(":",SUBSTITUTE(TRIM(E291),",","."))),VALUE(LEFT(SUBSTITUTE(TRIM(E291),",","."),FIND(":",SUBSTITUTE(TRIM(E291),",","."))-1))*60+_xlfn.NUMBERVALUE(MID(SUBSTITUTE(TRIM(E291),",","."),FIND(":",SUBSTITUTE(TRIM(E291),",","."))+1,99),"."),_xlfn.NUMBERVALUE(SUBSTITUTE(TRIM(E291),",","."),".")),0)))</f>
        <v/>
      </c>
      <c r="L291" s="3" t="str">
        <f aca="false">IF(OR(D291="",N(K291)&lt;=0),"",IFERROR(MATCH(B291&amp;"|"&amp;C291&amp;"|"&amp;D291,Нормативы!$M$2:$M$71,0),""))</f>
        <v/>
      </c>
      <c r="M291" s="3" t="str">
        <f aca="false">IF(L291="","",SUMPRODUCT((INDEX(Нормативы!$D$2:$L$71,L291,0)&lt;K291)*ISNUMBER(INDEX(Нормативы!$D$2:$L$71,L291,0))))</f>
        <v/>
      </c>
    </row>
    <row r="292" customFormat="false" ht="15" hidden="false" customHeight="false" outlineLevel="0" collapsed="false">
      <c r="A292" s="5"/>
      <c r="B292" s="5"/>
      <c r="C292" s="5"/>
      <c r="D292" s="5"/>
      <c r="E292" s="14"/>
      <c r="F292" s="4" t="str">
        <f aca="false">IF(OR(J292="",K292="",N(J292)=0,N(K292)&lt;=0),"",ROUNDDOWN(1000*(J292/K292)^3,0))</f>
        <v/>
      </c>
      <c r="G292" s="4" t="str">
        <f aca="false">IF(M292="","",IF(M292+1&gt;COUNT(INDEX(Нормативы!$D$2:$L$71,L292,0)),"Разряда нет",INDEX(Нормативы!$D$1:$L$1,1,M292+1)))</f>
        <v/>
      </c>
      <c r="H292" s="2" t="str">
        <f aca="false">IF(M292="","",IF(M292=0,"—",INDEX(Нормативы!$D$1:$L$1,1,M292)))</f>
        <v/>
      </c>
      <c r="I292" s="7" t="str">
        <f aca="false">IF(M292="","",IF(M292=0,"",IF(INT(ROUND(INDEX(Нормативы!$D$2:$L$71,L292,M292)*100,0)/6000)&gt;0,INT(ROUND(INDEX(Нормативы!$D$2:$L$71,L292,M292)*100,0)/6000)&amp;":"&amp;RIGHT("0"&amp;INT(MOD(ROUND(INDEX(Нормативы!$D$2:$L$71,L292,M292)*100,0),6000)/100),2),INT(MOD(ROUND(INDEX(Нормативы!$D$2:$L$71,L292,M292)*100,0),6000)/100))&amp;"."&amp;RIGHT("0"&amp;MOD(ROUND(INDEX(Нормативы!$D$2:$L$71,L292,M292)*100,0),100),2)))</f>
        <v/>
      </c>
      <c r="J292" s="12" t="str">
        <f aca="false">IF(D292="","",SUMIFS('Базовые времена'!$D$2:$D$71,'Базовые времена'!$A$2:$A$71,B292,'Базовые времена'!$B$2:$B$71,C292,'Базовые времена'!$C$2:$C$71,D292))</f>
        <v/>
      </c>
      <c r="K292" s="12" t="str">
        <f aca="false">IF(E292="","",IF(ISNUMBER(E292),IF(E292&lt;1,E292*86400,E292),IFERROR(IF(ISNUMBER(FIND(":",SUBSTITUTE(TRIM(E292),",","."))),VALUE(LEFT(SUBSTITUTE(TRIM(E292),",","."),FIND(":",SUBSTITUTE(TRIM(E292),",","."))-1))*60+_xlfn.NUMBERVALUE(MID(SUBSTITUTE(TRIM(E292),",","."),FIND(":",SUBSTITUTE(TRIM(E292),",","."))+1,99),"."),_xlfn.NUMBERVALUE(SUBSTITUTE(TRIM(E292),",","."),".")),0)))</f>
        <v/>
      </c>
      <c r="L292" s="3" t="str">
        <f aca="false">IF(OR(D292="",N(K292)&lt;=0),"",IFERROR(MATCH(B292&amp;"|"&amp;C292&amp;"|"&amp;D292,Нормативы!$M$2:$M$71,0),""))</f>
        <v/>
      </c>
      <c r="M292" s="3" t="str">
        <f aca="false">IF(L292="","",SUMPRODUCT((INDEX(Нормативы!$D$2:$L$71,L292,0)&lt;K292)*ISNUMBER(INDEX(Нормативы!$D$2:$L$71,L292,0))))</f>
        <v/>
      </c>
    </row>
    <row r="293" customFormat="false" ht="15" hidden="false" customHeight="false" outlineLevel="0" collapsed="false">
      <c r="A293" s="5"/>
      <c r="B293" s="5"/>
      <c r="C293" s="5"/>
      <c r="D293" s="5"/>
      <c r="E293" s="14"/>
      <c r="F293" s="4" t="str">
        <f aca="false">IF(OR(J293="",K293="",N(J293)=0,N(K293)&lt;=0),"",ROUNDDOWN(1000*(J293/K293)^3,0))</f>
        <v/>
      </c>
      <c r="G293" s="4" t="str">
        <f aca="false">IF(M293="","",IF(M293+1&gt;COUNT(INDEX(Нормативы!$D$2:$L$71,L293,0)),"Разряда нет",INDEX(Нормативы!$D$1:$L$1,1,M293+1)))</f>
        <v/>
      </c>
      <c r="H293" s="2" t="str">
        <f aca="false">IF(M293="","",IF(M293=0,"—",INDEX(Нормативы!$D$1:$L$1,1,M293)))</f>
        <v/>
      </c>
      <c r="I293" s="7" t="str">
        <f aca="false">IF(M293="","",IF(M293=0,"",IF(INT(ROUND(INDEX(Нормативы!$D$2:$L$71,L293,M293)*100,0)/6000)&gt;0,INT(ROUND(INDEX(Нормативы!$D$2:$L$71,L293,M293)*100,0)/6000)&amp;":"&amp;RIGHT("0"&amp;INT(MOD(ROUND(INDEX(Нормативы!$D$2:$L$71,L293,M293)*100,0),6000)/100),2),INT(MOD(ROUND(INDEX(Нормативы!$D$2:$L$71,L293,M293)*100,0),6000)/100))&amp;"."&amp;RIGHT("0"&amp;MOD(ROUND(INDEX(Нормативы!$D$2:$L$71,L293,M293)*100,0),100),2)))</f>
        <v/>
      </c>
      <c r="J293" s="12" t="str">
        <f aca="false">IF(D293="","",SUMIFS('Базовые времена'!$D$2:$D$71,'Базовые времена'!$A$2:$A$71,B293,'Базовые времена'!$B$2:$B$71,C293,'Базовые времена'!$C$2:$C$71,D293))</f>
        <v/>
      </c>
      <c r="K293" s="12" t="str">
        <f aca="false">IF(E293="","",IF(ISNUMBER(E293),IF(E293&lt;1,E293*86400,E293),IFERROR(IF(ISNUMBER(FIND(":",SUBSTITUTE(TRIM(E293),",","."))),VALUE(LEFT(SUBSTITUTE(TRIM(E293),",","."),FIND(":",SUBSTITUTE(TRIM(E293),",","."))-1))*60+_xlfn.NUMBERVALUE(MID(SUBSTITUTE(TRIM(E293),",","."),FIND(":",SUBSTITUTE(TRIM(E293),",","."))+1,99),"."),_xlfn.NUMBERVALUE(SUBSTITUTE(TRIM(E293),",","."),".")),0)))</f>
        <v/>
      </c>
      <c r="L293" s="3" t="str">
        <f aca="false">IF(OR(D293="",N(K293)&lt;=0),"",IFERROR(MATCH(B293&amp;"|"&amp;C293&amp;"|"&amp;D293,Нормативы!$M$2:$M$71,0),""))</f>
        <v/>
      </c>
      <c r="M293" s="3" t="str">
        <f aca="false">IF(L293="","",SUMPRODUCT((INDEX(Нормативы!$D$2:$L$71,L293,0)&lt;K293)*ISNUMBER(INDEX(Нормативы!$D$2:$L$71,L293,0))))</f>
        <v/>
      </c>
    </row>
    <row r="294" customFormat="false" ht="15" hidden="false" customHeight="false" outlineLevel="0" collapsed="false">
      <c r="A294" s="5"/>
      <c r="B294" s="5"/>
      <c r="C294" s="5"/>
      <c r="D294" s="5"/>
      <c r="E294" s="14"/>
      <c r="F294" s="4" t="str">
        <f aca="false">IF(OR(J294="",K294="",N(J294)=0,N(K294)&lt;=0),"",ROUNDDOWN(1000*(J294/K294)^3,0))</f>
        <v/>
      </c>
      <c r="G294" s="4" t="str">
        <f aca="false">IF(M294="","",IF(M294+1&gt;COUNT(INDEX(Нормативы!$D$2:$L$71,L294,0)),"Разряда нет",INDEX(Нормативы!$D$1:$L$1,1,M294+1)))</f>
        <v/>
      </c>
      <c r="H294" s="2" t="str">
        <f aca="false">IF(M294="","",IF(M294=0,"—",INDEX(Нормативы!$D$1:$L$1,1,M294)))</f>
        <v/>
      </c>
      <c r="I294" s="7" t="str">
        <f aca="false">IF(M294="","",IF(M294=0,"",IF(INT(ROUND(INDEX(Нормативы!$D$2:$L$71,L294,M294)*100,0)/6000)&gt;0,INT(ROUND(INDEX(Нормативы!$D$2:$L$71,L294,M294)*100,0)/6000)&amp;":"&amp;RIGHT("0"&amp;INT(MOD(ROUND(INDEX(Нормативы!$D$2:$L$71,L294,M294)*100,0),6000)/100),2),INT(MOD(ROUND(INDEX(Нормативы!$D$2:$L$71,L294,M294)*100,0),6000)/100))&amp;"."&amp;RIGHT("0"&amp;MOD(ROUND(INDEX(Нормативы!$D$2:$L$71,L294,M294)*100,0),100),2)))</f>
        <v/>
      </c>
      <c r="J294" s="12" t="str">
        <f aca="false">IF(D294="","",SUMIFS('Базовые времена'!$D$2:$D$71,'Базовые времена'!$A$2:$A$71,B294,'Базовые времена'!$B$2:$B$71,C294,'Базовые времена'!$C$2:$C$71,D294))</f>
        <v/>
      </c>
      <c r="K294" s="12" t="str">
        <f aca="false">IF(E294="","",IF(ISNUMBER(E294),IF(E294&lt;1,E294*86400,E294),IFERROR(IF(ISNUMBER(FIND(":",SUBSTITUTE(TRIM(E294),",","."))),VALUE(LEFT(SUBSTITUTE(TRIM(E294),",","."),FIND(":",SUBSTITUTE(TRIM(E294),",","."))-1))*60+_xlfn.NUMBERVALUE(MID(SUBSTITUTE(TRIM(E294),",","."),FIND(":",SUBSTITUTE(TRIM(E294),",","."))+1,99),"."),_xlfn.NUMBERVALUE(SUBSTITUTE(TRIM(E294),",","."),".")),0)))</f>
        <v/>
      </c>
      <c r="L294" s="3" t="str">
        <f aca="false">IF(OR(D294="",N(K294)&lt;=0),"",IFERROR(MATCH(B294&amp;"|"&amp;C294&amp;"|"&amp;D294,Нормативы!$M$2:$M$71,0),""))</f>
        <v/>
      </c>
      <c r="M294" s="3" t="str">
        <f aca="false">IF(L294="","",SUMPRODUCT((INDEX(Нормативы!$D$2:$L$71,L294,0)&lt;K294)*ISNUMBER(INDEX(Нормативы!$D$2:$L$71,L294,0))))</f>
        <v/>
      </c>
    </row>
    <row r="295" customFormat="false" ht="15" hidden="false" customHeight="false" outlineLevel="0" collapsed="false">
      <c r="A295" s="5"/>
      <c r="B295" s="5"/>
      <c r="C295" s="5"/>
      <c r="D295" s="5"/>
      <c r="E295" s="14"/>
      <c r="F295" s="4" t="str">
        <f aca="false">IF(OR(J295="",K295="",N(J295)=0,N(K295)&lt;=0),"",ROUNDDOWN(1000*(J295/K295)^3,0))</f>
        <v/>
      </c>
      <c r="G295" s="4" t="str">
        <f aca="false">IF(M295="","",IF(M295+1&gt;COUNT(INDEX(Нормативы!$D$2:$L$71,L295,0)),"Разряда нет",INDEX(Нормативы!$D$1:$L$1,1,M295+1)))</f>
        <v/>
      </c>
      <c r="H295" s="2" t="str">
        <f aca="false">IF(M295="","",IF(M295=0,"—",INDEX(Нормативы!$D$1:$L$1,1,M295)))</f>
        <v/>
      </c>
      <c r="I295" s="7" t="str">
        <f aca="false">IF(M295="","",IF(M295=0,"",IF(INT(ROUND(INDEX(Нормативы!$D$2:$L$71,L295,M295)*100,0)/6000)&gt;0,INT(ROUND(INDEX(Нормативы!$D$2:$L$71,L295,M295)*100,0)/6000)&amp;":"&amp;RIGHT("0"&amp;INT(MOD(ROUND(INDEX(Нормативы!$D$2:$L$71,L295,M295)*100,0),6000)/100),2),INT(MOD(ROUND(INDEX(Нормативы!$D$2:$L$71,L295,M295)*100,0),6000)/100))&amp;"."&amp;RIGHT("0"&amp;MOD(ROUND(INDEX(Нормативы!$D$2:$L$71,L295,M295)*100,0),100),2)))</f>
        <v/>
      </c>
      <c r="J295" s="12" t="str">
        <f aca="false">IF(D295="","",SUMIFS('Базовые времена'!$D$2:$D$71,'Базовые времена'!$A$2:$A$71,B295,'Базовые времена'!$B$2:$B$71,C295,'Базовые времена'!$C$2:$C$71,D295))</f>
        <v/>
      </c>
      <c r="K295" s="12" t="str">
        <f aca="false">IF(E295="","",IF(ISNUMBER(E295),IF(E295&lt;1,E295*86400,E295),IFERROR(IF(ISNUMBER(FIND(":",SUBSTITUTE(TRIM(E295),",","."))),VALUE(LEFT(SUBSTITUTE(TRIM(E295),",","."),FIND(":",SUBSTITUTE(TRIM(E295),",","."))-1))*60+_xlfn.NUMBERVALUE(MID(SUBSTITUTE(TRIM(E295),",","."),FIND(":",SUBSTITUTE(TRIM(E295),",","."))+1,99),"."),_xlfn.NUMBERVALUE(SUBSTITUTE(TRIM(E295),",","."),".")),0)))</f>
        <v/>
      </c>
      <c r="L295" s="3" t="str">
        <f aca="false">IF(OR(D295="",N(K295)&lt;=0),"",IFERROR(MATCH(B295&amp;"|"&amp;C295&amp;"|"&amp;D295,Нормативы!$M$2:$M$71,0),""))</f>
        <v/>
      </c>
      <c r="M295" s="3" t="str">
        <f aca="false">IF(L295="","",SUMPRODUCT((INDEX(Нормативы!$D$2:$L$71,L295,0)&lt;K295)*ISNUMBER(INDEX(Нормативы!$D$2:$L$71,L295,0))))</f>
        <v/>
      </c>
    </row>
    <row r="296" customFormat="false" ht="15" hidden="false" customHeight="false" outlineLevel="0" collapsed="false">
      <c r="A296" s="5"/>
      <c r="B296" s="5"/>
      <c r="C296" s="5"/>
      <c r="D296" s="5"/>
      <c r="E296" s="14"/>
      <c r="F296" s="4" t="str">
        <f aca="false">IF(OR(J296="",K296="",N(J296)=0,N(K296)&lt;=0),"",ROUNDDOWN(1000*(J296/K296)^3,0))</f>
        <v/>
      </c>
      <c r="G296" s="4" t="str">
        <f aca="false">IF(M296="","",IF(M296+1&gt;COUNT(INDEX(Нормативы!$D$2:$L$71,L296,0)),"Разряда нет",INDEX(Нормативы!$D$1:$L$1,1,M296+1)))</f>
        <v/>
      </c>
      <c r="H296" s="2" t="str">
        <f aca="false">IF(M296="","",IF(M296=0,"—",INDEX(Нормативы!$D$1:$L$1,1,M296)))</f>
        <v/>
      </c>
      <c r="I296" s="7" t="str">
        <f aca="false">IF(M296="","",IF(M296=0,"",IF(INT(ROUND(INDEX(Нормативы!$D$2:$L$71,L296,M296)*100,0)/6000)&gt;0,INT(ROUND(INDEX(Нормативы!$D$2:$L$71,L296,M296)*100,0)/6000)&amp;":"&amp;RIGHT("0"&amp;INT(MOD(ROUND(INDEX(Нормативы!$D$2:$L$71,L296,M296)*100,0),6000)/100),2),INT(MOD(ROUND(INDEX(Нормативы!$D$2:$L$71,L296,M296)*100,0),6000)/100))&amp;"."&amp;RIGHT("0"&amp;MOD(ROUND(INDEX(Нормативы!$D$2:$L$71,L296,M296)*100,0),100),2)))</f>
        <v/>
      </c>
      <c r="J296" s="12" t="str">
        <f aca="false">IF(D296="","",SUMIFS('Базовые времена'!$D$2:$D$71,'Базовые времена'!$A$2:$A$71,B296,'Базовые времена'!$B$2:$B$71,C296,'Базовые времена'!$C$2:$C$71,D296))</f>
        <v/>
      </c>
      <c r="K296" s="12" t="str">
        <f aca="false">IF(E296="","",IF(ISNUMBER(E296),IF(E296&lt;1,E296*86400,E296),IFERROR(IF(ISNUMBER(FIND(":",SUBSTITUTE(TRIM(E296),",","."))),VALUE(LEFT(SUBSTITUTE(TRIM(E296),",","."),FIND(":",SUBSTITUTE(TRIM(E296),",","."))-1))*60+_xlfn.NUMBERVALUE(MID(SUBSTITUTE(TRIM(E296),",","."),FIND(":",SUBSTITUTE(TRIM(E296),",","."))+1,99),"."),_xlfn.NUMBERVALUE(SUBSTITUTE(TRIM(E296),",","."),".")),0)))</f>
        <v/>
      </c>
      <c r="L296" s="3" t="str">
        <f aca="false">IF(OR(D296="",N(K296)&lt;=0),"",IFERROR(MATCH(B296&amp;"|"&amp;C296&amp;"|"&amp;D296,Нормативы!$M$2:$M$71,0),""))</f>
        <v/>
      </c>
      <c r="M296" s="3" t="str">
        <f aca="false">IF(L296="","",SUMPRODUCT((INDEX(Нормативы!$D$2:$L$71,L296,0)&lt;K296)*ISNUMBER(INDEX(Нормативы!$D$2:$L$71,L296,0))))</f>
        <v/>
      </c>
    </row>
    <row r="297" customFormat="false" ht="15" hidden="false" customHeight="false" outlineLevel="0" collapsed="false">
      <c r="A297" s="5"/>
      <c r="B297" s="5"/>
      <c r="C297" s="5"/>
      <c r="D297" s="5"/>
      <c r="E297" s="14"/>
      <c r="F297" s="4" t="str">
        <f aca="false">IF(OR(J297="",K297="",N(J297)=0,N(K297)&lt;=0),"",ROUNDDOWN(1000*(J297/K297)^3,0))</f>
        <v/>
      </c>
      <c r="G297" s="4" t="str">
        <f aca="false">IF(M297="","",IF(M297+1&gt;COUNT(INDEX(Нормативы!$D$2:$L$71,L297,0)),"Разряда нет",INDEX(Нормативы!$D$1:$L$1,1,M297+1)))</f>
        <v/>
      </c>
      <c r="H297" s="2" t="str">
        <f aca="false">IF(M297="","",IF(M297=0,"—",INDEX(Нормативы!$D$1:$L$1,1,M297)))</f>
        <v/>
      </c>
      <c r="I297" s="7" t="str">
        <f aca="false">IF(M297="","",IF(M297=0,"",IF(INT(ROUND(INDEX(Нормативы!$D$2:$L$71,L297,M297)*100,0)/6000)&gt;0,INT(ROUND(INDEX(Нормативы!$D$2:$L$71,L297,M297)*100,0)/6000)&amp;":"&amp;RIGHT("0"&amp;INT(MOD(ROUND(INDEX(Нормативы!$D$2:$L$71,L297,M297)*100,0),6000)/100),2),INT(MOD(ROUND(INDEX(Нормативы!$D$2:$L$71,L297,M297)*100,0),6000)/100))&amp;"."&amp;RIGHT("0"&amp;MOD(ROUND(INDEX(Нормативы!$D$2:$L$71,L297,M297)*100,0),100),2)))</f>
        <v/>
      </c>
      <c r="J297" s="12" t="str">
        <f aca="false">IF(D297="","",SUMIFS('Базовые времена'!$D$2:$D$71,'Базовые времена'!$A$2:$A$71,B297,'Базовые времена'!$B$2:$B$71,C297,'Базовые времена'!$C$2:$C$71,D297))</f>
        <v/>
      </c>
      <c r="K297" s="12" t="str">
        <f aca="false">IF(E297="","",IF(ISNUMBER(E297),IF(E297&lt;1,E297*86400,E297),IFERROR(IF(ISNUMBER(FIND(":",SUBSTITUTE(TRIM(E297),",","."))),VALUE(LEFT(SUBSTITUTE(TRIM(E297),",","."),FIND(":",SUBSTITUTE(TRIM(E297),",","."))-1))*60+_xlfn.NUMBERVALUE(MID(SUBSTITUTE(TRIM(E297),",","."),FIND(":",SUBSTITUTE(TRIM(E297),",","."))+1,99),"."),_xlfn.NUMBERVALUE(SUBSTITUTE(TRIM(E297),",","."),".")),0)))</f>
        <v/>
      </c>
      <c r="L297" s="3" t="str">
        <f aca="false">IF(OR(D297="",N(K297)&lt;=0),"",IFERROR(MATCH(B297&amp;"|"&amp;C297&amp;"|"&amp;D297,Нормативы!$M$2:$M$71,0),""))</f>
        <v/>
      </c>
      <c r="M297" s="3" t="str">
        <f aca="false">IF(L297="","",SUMPRODUCT((INDEX(Нормативы!$D$2:$L$71,L297,0)&lt;K297)*ISNUMBER(INDEX(Нормативы!$D$2:$L$71,L297,0))))</f>
        <v/>
      </c>
    </row>
    <row r="298" customFormat="false" ht="15" hidden="false" customHeight="false" outlineLevel="0" collapsed="false">
      <c r="A298" s="5"/>
      <c r="B298" s="5"/>
      <c r="C298" s="5"/>
      <c r="D298" s="5"/>
      <c r="E298" s="14"/>
      <c r="F298" s="4" t="str">
        <f aca="false">IF(OR(J298="",K298="",N(J298)=0,N(K298)&lt;=0),"",ROUNDDOWN(1000*(J298/K298)^3,0))</f>
        <v/>
      </c>
      <c r="G298" s="4" t="str">
        <f aca="false">IF(M298="","",IF(M298+1&gt;COUNT(INDEX(Нормативы!$D$2:$L$71,L298,0)),"Разряда нет",INDEX(Нормативы!$D$1:$L$1,1,M298+1)))</f>
        <v/>
      </c>
      <c r="H298" s="2" t="str">
        <f aca="false">IF(M298="","",IF(M298=0,"—",INDEX(Нормативы!$D$1:$L$1,1,M298)))</f>
        <v/>
      </c>
      <c r="I298" s="7" t="str">
        <f aca="false">IF(M298="","",IF(M298=0,"",IF(INT(ROUND(INDEX(Нормативы!$D$2:$L$71,L298,M298)*100,0)/6000)&gt;0,INT(ROUND(INDEX(Нормативы!$D$2:$L$71,L298,M298)*100,0)/6000)&amp;":"&amp;RIGHT("0"&amp;INT(MOD(ROUND(INDEX(Нормативы!$D$2:$L$71,L298,M298)*100,0),6000)/100),2),INT(MOD(ROUND(INDEX(Нормативы!$D$2:$L$71,L298,M298)*100,0),6000)/100))&amp;"."&amp;RIGHT("0"&amp;MOD(ROUND(INDEX(Нормативы!$D$2:$L$71,L298,M298)*100,0),100),2)))</f>
        <v/>
      </c>
      <c r="J298" s="12" t="str">
        <f aca="false">IF(D298="","",SUMIFS('Базовые времена'!$D$2:$D$71,'Базовые времена'!$A$2:$A$71,B298,'Базовые времена'!$B$2:$B$71,C298,'Базовые времена'!$C$2:$C$71,D298))</f>
        <v/>
      </c>
      <c r="K298" s="12" t="str">
        <f aca="false">IF(E298="","",IF(ISNUMBER(E298),IF(E298&lt;1,E298*86400,E298),IFERROR(IF(ISNUMBER(FIND(":",SUBSTITUTE(TRIM(E298),",","."))),VALUE(LEFT(SUBSTITUTE(TRIM(E298),",","."),FIND(":",SUBSTITUTE(TRIM(E298),",","."))-1))*60+_xlfn.NUMBERVALUE(MID(SUBSTITUTE(TRIM(E298),",","."),FIND(":",SUBSTITUTE(TRIM(E298),",","."))+1,99),"."),_xlfn.NUMBERVALUE(SUBSTITUTE(TRIM(E298),",","."),".")),0)))</f>
        <v/>
      </c>
      <c r="L298" s="3" t="str">
        <f aca="false">IF(OR(D298="",N(K298)&lt;=0),"",IFERROR(MATCH(B298&amp;"|"&amp;C298&amp;"|"&amp;D298,Нормативы!$M$2:$M$71,0),""))</f>
        <v/>
      </c>
      <c r="M298" s="3" t="str">
        <f aca="false">IF(L298="","",SUMPRODUCT((INDEX(Нормативы!$D$2:$L$71,L298,0)&lt;K298)*ISNUMBER(INDEX(Нормативы!$D$2:$L$71,L298,0))))</f>
        <v/>
      </c>
    </row>
    <row r="299" customFormat="false" ht="15" hidden="false" customHeight="false" outlineLevel="0" collapsed="false">
      <c r="A299" s="5"/>
      <c r="B299" s="5"/>
      <c r="C299" s="5"/>
      <c r="D299" s="5"/>
      <c r="E299" s="14"/>
      <c r="F299" s="4" t="str">
        <f aca="false">IF(OR(J299="",K299="",N(J299)=0,N(K299)&lt;=0),"",ROUNDDOWN(1000*(J299/K299)^3,0))</f>
        <v/>
      </c>
      <c r="G299" s="4" t="str">
        <f aca="false">IF(M299="","",IF(M299+1&gt;COUNT(INDEX(Нормативы!$D$2:$L$71,L299,0)),"Разряда нет",INDEX(Нормативы!$D$1:$L$1,1,M299+1)))</f>
        <v/>
      </c>
      <c r="H299" s="2" t="str">
        <f aca="false">IF(M299="","",IF(M299=0,"—",INDEX(Нормативы!$D$1:$L$1,1,M299)))</f>
        <v/>
      </c>
      <c r="I299" s="7" t="str">
        <f aca="false">IF(M299="","",IF(M299=0,"",IF(INT(ROUND(INDEX(Нормативы!$D$2:$L$71,L299,M299)*100,0)/6000)&gt;0,INT(ROUND(INDEX(Нормативы!$D$2:$L$71,L299,M299)*100,0)/6000)&amp;":"&amp;RIGHT("0"&amp;INT(MOD(ROUND(INDEX(Нормативы!$D$2:$L$71,L299,M299)*100,0),6000)/100),2),INT(MOD(ROUND(INDEX(Нормативы!$D$2:$L$71,L299,M299)*100,0),6000)/100))&amp;"."&amp;RIGHT("0"&amp;MOD(ROUND(INDEX(Нормативы!$D$2:$L$71,L299,M299)*100,0),100),2)))</f>
        <v/>
      </c>
      <c r="J299" s="12" t="str">
        <f aca="false">IF(D299="","",SUMIFS('Базовые времена'!$D$2:$D$71,'Базовые времена'!$A$2:$A$71,B299,'Базовые времена'!$B$2:$B$71,C299,'Базовые времена'!$C$2:$C$71,D299))</f>
        <v/>
      </c>
      <c r="K299" s="12" t="str">
        <f aca="false">IF(E299="","",IF(ISNUMBER(E299),IF(E299&lt;1,E299*86400,E299),IFERROR(IF(ISNUMBER(FIND(":",SUBSTITUTE(TRIM(E299),",","."))),VALUE(LEFT(SUBSTITUTE(TRIM(E299),",","."),FIND(":",SUBSTITUTE(TRIM(E299),",","."))-1))*60+_xlfn.NUMBERVALUE(MID(SUBSTITUTE(TRIM(E299),",","."),FIND(":",SUBSTITUTE(TRIM(E299),",","."))+1,99),"."),_xlfn.NUMBERVALUE(SUBSTITUTE(TRIM(E299),",","."),".")),0)))</f>
        <v/>
      </c>
      <c r="L299" s="3" t="str">
        <f aca="false">IF(OR(D299="",N(K299)&lt;=0),"",IFERROR(MATCH(B299&amp;"|"&amp;C299&amp;"|"&amp;D299,Нормативы!$M$2:$M$71,0),""))</f>
        <v/>
      </c>
      <c r="M299" s="3" t="str">
        <f aca="false">IF(L299="","",SUMPRODUCT((INDEX(Нормативы!$D$2:$L$71,L299,0)&lt;K299)*ISNUMBER(INDEX(Нормативы!$D$2:$L$71,L299,0))))</f>
        <v/>
      </c>
    </row>
    <row r="300" customFormat="false" ht="15" hidden="false" customHeight="false" outlineLevel="0" collapsed="false">
      <c r="A300" s="5"/>
      <c r="B300" s="5"/>
      <c r="C300" s="5"/>
      <c r="D300" s="5"/>
      <c r="E300" s="14"/>
      <c r="F300" s="4" t="str">
        <f aca="false">IF(OR(J300="",K300="",N(J300)=0,N(K300)&lt;=0),"",ROUNDDOWN(1000*(J300/K300)^3,0))</f>
        <v/>
      </c>
      <c r="G300" s="4" t="str">
        <f aca="false">IF(M300="","",IF(M300+1&gt;COUNT(INDEX(Нормативы!$D$2:$L$71,L300,0)),"Разряда нет",INDEX(Нормативы!$D$1:$L$1,1,M300+1)))</f>
        <v/>
      </c>
      <c r="H300" s="2" t="str">
        <f aca="false">IF(M300="","",IF(M300=0,"—",INDEX(Нормативы!$D$1:$L$1,1,M300)))</f>
        <v/>
      </c>
      <c r="I300" s="7" t="str">
        <f aca="false">IF(M300="","",IF(M300=0,"",IF(INT(ROUND(INDEX(Нормативы!$D$2:$L$71,L300,M300)*100,0)/6000)&gt;0,INT(ROUND(INDEX(Нормативы!$D$2:$L$71,L300,M300)*100,0)/6000)&amp;":"&amp;RIGHT("0"&amp;INT(MOD(ROUND(INDEX(Нормативы!$D$2:$L$71,L300,M300)*100,0),6000)/100),2),INT(MOD(ROUND(INDEX(Нормативы!$D$2:$L$71,L300,M300)*100,0),6000)/100))&amp;"."&amp;RIGHT("0"&amp;MOD(ROUND(INDEX(Нормативы!$D$2:$L$71,L300,M300)*100,0),100),2)))</f>
        <v/>
      </c>
      <c r="J300" s="12" t="str">
        <f aca="false">IF(D300="","",SUMIFS('Базовые времена'!$D$2:$D$71,'Базовые времена'!$A$2:$A$71,B300,'Базовые времена'!$B$2:$B$71,C300,'Базовые времена'!$C$2:$C$71,D300))</f>
        <v/>
      </c>
      <c r="K300" s="12" t="str">
        <f aca="false">IF(E300="","",IF(ISNUMBER(E300),IF(E300&lt;1,E300*86400,E300),IFERROR(IF(ISNUMBER(FIND(":",SUBSTITUTE(TRIM(E300),",","."))),VALUE(LEFT(SUBSTITUTE(TRIM(E300),",","."),FIND(":",SUBSTITUTE(TRIM(E300),",","."))-1))*60+_xlfn.NUMBERVALUE(MID(SUBSTITUTE(TRIM(E300),",","."),FIND(":",SUBSTITUTE(TRIM(E300),",","."))+1,99),"."),_xlfn.NUMBERVALUE(SUBSTITUTE(TRIM(E300),",","."),".")),0)))</f>
        <v/>
      </c>
      <c r="L300" s="3" t="str">
        <f aca="false">IF(OR(D300="",N(K300)&lt;=0),"",IFERROR(MATCH(B300&amp;"|"&amp;C300&amp;"|"&amp;D300,Нормативы!$M$2:$M$71,0),""))</f>
        <v/>
      </c>
      <c r="M300" s="3" t="str">
        <f aca="false">IF(L300="","",SUMPRODUCT((INDEX(Нормативы!$D$2:$L$71,L300,0)&lt;K300)*ISNUMBER(INDEX(Нормативы!$D$2:$L$71,L300,0))))</f>
        <v/>
      </c>
    </row>
    <row r="301" customFormat="false" ht="15" hidden="false" customHeight="false" outlineLevel="0" collapsed="false">
      <c r="A301" s="5"/>
      <c r="B301" s="5"/>
      <c r="C301" s="5"/>
      <c r="D301" s="5"/>
      <c r="E301" s="14"/>
      <c r="F301" s="4" t="str">
        <f aca="false">IF(OR(J301="",K301="",N(J301)=0,N(K301)&lt;=0),"",ROUNDDOWN(1000*(J301/K301)^3,0))</f>
        <v/>
      </c>
      <c r="G301" s="4" t="str">
        <f aca="false">IF(M301="","",IF(M301+1&gt;COUNT(INDEX(Нормативы!$D$2:$L$71,L301,0)),"Разряда нет",INDEX(Нормативы!$D$1:$L$1,1,M301+1)))</f>
        <v/>
      </c>
      <c r="H301" s="2" t="str">
        <f aca="false">IF(M301="","",IF(M301=0,"—",INDEX(Нормативы!$D$1:$L$1,1,M301)))</f>
        <v/>
      </c>
      <c r="I301" s="7" t="str">
        <f aca="false">IF(M301="","",IF(M301=0,"",IF(INT(ROUND(INDEX(Нормативы!$D$2:$L$71,L301,M301)*100,0)/6000)&gt;0,INT(ROUND(INDEX(Нормативы!$D$2:$L$71,L301,M301)*100,0)/6000)&amp;":"&amp;RIGHT("0"&amp;INT(MOD(ROUND(INDEX(Нормативы!$D$2:$L$71,L301,M301)*100,0),6000)/100),2),INT(MOD(ROUND(INDEX(Нормативы!$D$2:$L$71,L301,M301)*100,0),6000)/100))&amp;"."&amp;RIGHT("0"&amp;MOD(ROUND(INDEX(Нормативы!$D$2:$L$71,L301,M301)*100,0),100),2)))</f>
        <v/>
      </c>
      <c r="J301" s="12" t="str">
        <f aca="false">IF(D301="","",SUMIFS('Базовые времена'!$D$2:$D$71,'Базовые времена'!$A$2:$A$71,B301,'Базовые времена'!$B$2:$B$71,C301,'Базовые времена'!$C$2:$C$71,D301))</f>
        <v/>
      </c>
      <c r="K301" s="12" t="str">
        <f aca="false">IF(E301="","",IF(ISNUMBER(E301),IF(E301&lt;1,E301*86400,E301),IFERROR(IF(ISNUMBER(FIND(":",SUBSTITUTE(TRIM(E301),",","."))),VALUE(LEFT(SUBSTITUTE(TRIM(E301),",","."),FIND(":",SUBSTITUTE(TRIM(E301),",","."))-1))*60+_xlfn.NUMBERVALUE(MID(SUBSTITUTE(TRIM(E301),",","."),FIND(":",SUBSTITUTE(TRIM(E301),",","."))+1,99),"."),_xlfn.NUMBERVALUE(SUBSTITUTE(TRIM(E301),",","."),".")),0)))</f>
        <v/>
      </c>
      <c r="L301" s="3" t="str">
        <f aca="false">IF(OR(D301="",N(K301)&lt;=0),"",IFERROR(MATCH(B301&amp;"|"&amp;C301&amp;"|"&amp;D301,Нормативы!$M$2:$M$71,0),""))</f>
        <v/>
      </c>
      <c r="M301" s="3" t="str">
        <f aca="false">IF(L301="","",SUMPRODUCT((INDEX(Нормативы!$D$2:$L$71,L301,0)&lt;K301)*ISNUMBER(INDEX(Нормативы!$D$2:$L$71,L301,0))))</f>
        <v/>
      </c>
    </row>
    <row r="302" customFormat="false" ht="15" hidden="false" customHeight="false" outlineLevel="0" collapsed="false">
      <c r="A302" s="5"/>
      <c r="B302" s="5"/>
      <c r="C302" s="5"/>
      <c r="D302" s="5"/>
      <c r="E302" s="14"/>
      <c r="F302" s="4" t="str">
        <f aca="false">IF(OR(J302="",K302="",N(J302)=0,N(K302)&lt;=0),"",ROUNDDOWN(1000*(J302/K302)^3,0))</f>
        <v/>
      </c>
      <c r="G302" s="4" t="str">
        <f aca="false">IF(M302="","",IF(M302+1&gt;COUNT(INDEX(Нормативы!$D$2:$L$71,L302,0)),"Разряда нет",INDEX(Нормативы!$D$1:$L$1,1,M302+1)))</f>
        <v/>
      </c>
      <c r="H302" s="2" t="str">
        <f aca="false">IF(M302="","",IF(M302=0,"—",INDEX(Нормативы!$D$1:$L$1,1,M302)))</f>
        <v/>
      </c>
      <c r="I302" s="7" t="str">
        <f aca="false">IF(M302="","",IF(M302=0,"",IF(INT(ROUND(INDEX(Нормативы!$D$2:$L$71,L302,M302)*100,0)/6000)&gt;0,INT(ROUND(INDEX(Нормативы!$D$2:$L$71,L302,M302)*100,0)/6000)&amp;":"&amp;RIGHT("0"&amp;INT(MOD(ROUND(INDEX(Нормативы!$D$2:$L$71,L302,M302)*100,0),6000)/100),2),INT(MOD(ROUND(INDEX(Нормативы!$D$2:$L$71,L302,M302)*100,0),6000)/100))&amp;"."&amp;RIGHT("0"&amp;MOD(ROUND(INDEX(Нормативы!$D$2:$L$71,L302,M302)*100,0),100),2)))</f>
        <v/>
      </c>
      <c r="J302" s="12" t="str">
        <f aca="false">IF(D302="","",SUMIFS('Базовые времена'!$D$2:$D$71,'Базовые времена'!$A$2:$A$71,B302,'Базовые времена'!$B$2:$B$71,C302,'Базовые времена'!$C$2:$C$71,D302))</f>
        <v/>
      </c>
      <c r="K302" s="12" t="str">
        <f aca="false">IF(E302="","",IF(ISNUMBER(E302),IF(E302&lt;1,E302*86400,E302),IFERROR(IF(ISNUMBER(FIND(":",SUBSTITUTE(TRIM(E302),",","."))),VALUE(LEFT(SUBSTITUTE(TRIM(E302),",","."),FIND(":",SUBSTITUTE(TRIM(E302),",","."))-1))*60+_xlfn.NUMBERVALUE(MID(SUBSTITUTE(TRIM(E302),",","."),FIND(":",SUBSTITUTE(TRIM(E302),",","."))+1,99),"."),_xlfn.NUMBERVALUE(SUBSTITUTE(TRIM(E302),",","."),".")),0)))</f>
        <v/>
      </c>
      <c r="L302" s="3" t="str">
        <f aca="false">IF(OR(D302="",N(K302)&lt;=0),"",IFERROR(MATCH(B302&amp;"|"&amp;C302&amp;"|"&amp;D302,Нормативы!$M$2:$M$71,0),""))</f>
        <v/>
      </c>
      <c r="M302" s="3" t="str">
        <f aca="false">IF(L302="","",SUMPRODUCT((INDEX(Нормативы!$D$2:$L$71,L302,0)&lt;K302)*ISNUMBER(INDEX(Нормативы!$D$2:$L$71,L302,0))))</f>
        <v/>
      </c>
    </row>
    <row r="303" customFormat="false" ht="15" hidden="false" customHeight="false" outlineLevel="0" collapsed="false">
      <c r="A303" s="5"/>
      <c r="B303" s="5"/>
      <c r="C303" s="5"/>
      <c r="D303" s="5"/>
      <c r="E303" s="14"/>
      <c r="F303" s="4" t="str">
        <f aca="false">IF(OR(J303="",K303="",N(J303)=0,N(K303)&lt;=0),"",ROUNDDOWN(1000*(J303/K303)^3,0))</f>
        <v/>
      </c>
      <c r="G303" s="4" t="str">
        <f aca="false">IF(M303="","",IF(M303+1&gt;COUNT(INDEX(Нормативы!$D$2:$L$71,L303,0)),"Разряда нет",INDEX(Нормативы!$D$1:$L$1,1,M303+1)))</f>
        <v/>
      </c>
      <c r="H303" s="2" t="str">
        <f aca="false">IF(M303="","",IF(M303=0,"—",INDEX(Нормативы!$D$1:$L$1,1,M303)))</f>
        <v/>
      </c>
      <c r="I303" s="7" t="str">
        <f aca="false">IF(M303="","",IF(M303=0,"",IF(INT(ROUND(INDEX(Нормативы!$D$2:$L$71,L303,M303)*100,0)/6000)&gt;0,INT(ROUND(INDEX(Нормативы!$D$2:$L$71,L303,M303)*100,0)/6000)&amp;":"&amp;RIGHT("0"&amp;INT(MOD(ROUND(INDEX(Нормативы!$D$2:$L$71,L303,M303)*100,0),6000)/100),2),INT(MOD(ROUND(INDEX(Нормативы!$D$2:$L$71,L303,M303)*100,0),6000)/100))&amp;"."&amp;RIGHT("0"&amp;MOD(ROUND(INDEX(Нормативы!$D$2:$L$71,L303,M303)*100,0),100),2)))</f>
        <v/>
      </c>
      <c r="J303" s="12" t="str">
        <f aca="false">IF(D303="","",SUMIFS('Базовые времена'!$D$2:$D$71,'Базовые времена'!$A$2:$A$71,B303,'Базовые времена'!$B$2:$B$71,C303,'Базовые времена'!$C$2:$C$71,D303))</f>
        <v/>
      </c>
      <c r="K303" s="12" t="str">
        <f aca="false">IF(E303="","",IF(ISNUMBER(E303),IF(E303&lt;1,E303*86400,E303),IFERROR(IF(ISNUMBER(FIND(":",SUBSTITUTE(TRIM(E303),",","."))),VALUE(LEFT(SUBSTITUTE(TRIM(E303),",","."),FIND(":",SUBSTITUTE(TRIM(E303),",","."))-1))*60+_xlfn.NUMBERVALUE(MID(SUBSTITUTE(TRIM(E303),",","."),FIND(":",SUBSTITUTE(TRIM(E303),",","."))+1,99),"."),_xlfn.NUMBERVALUE(SUBSTITUTE(TRIM(E303),",","."),".")),0)))</f>
        <v/>
      </c>
      <c r="L303" s="3" t="str">
        <f aca="false">IF(OR(D303="",N(K303)&lt;=0),"",IFERROR(MATCH(B303&amp;"|"&amp;C303&amp;"|"&amp;D303,Нормативы!$M$2:$M$71,0),""))</f>
        <v/>
      </c>
      <c r="M303" s="3" t="str">
        <f aca="false">IF(L303="","",SUMPRODUCT((INDEX(Нормативы!$D$2:$L$71,L303,0)&lt;K303)*ISNUMBER(INDEX(Нормативы!$D$2:$L$71,L303,0))))</f>
        <v/>
      </c>
    </row>
    <row r="304" customFormat="false" ht="15" hidden="false" customHeight="false" outlineLevel="0" collapsed="false">
      <c r="A304" s="5"/>
      <c r="B304" s="5"/>
      <c r="C304" s="5"/>
      <c r="D304" s="5"/>
      <c r="E304" s="14"/>
      <c r="F304" s="4" t="str">
        <f aca="false">IF(OR(J304="",K304="",N(J304)=0,N(K304)&lt;=0),"",ROUNDDOWN(1000*(J304/K304)^3,0))</f>
        <v/>
      </c>
      <c r="G304" s="4" t="str">
        <f aca="false">IF(M304="","",IF(M304+1&gt;COUNT(INDEX(Нормативы!$D$2:$L$71,L304,0)),"Разряда нет",INDEX(Нормативы!$D$1:$L$1,1,M304+1)))</f>
        <v/>
      </c>
      <c r="H304" s="2" t="str">
        <f aca="false">IF(M304="","",IF(M304=0,"—",INDEX(Нормативы!$D$1:$L$1,1,M304)))</f>
        <v/>
      </c>
      <c r="I304" s="7" t="str">
        <f aca="false">IF(M304="","",IF(M304=0,"",IF(INT(ROUND(INDEX(Нормативы!$D$2:$L$71,L304,M304)*100,0)/6000)&gt;0,INT(ROUND(INDEX(Нормативы!$D$2:$L$71,L304,M304)*100,0)/6000)&amp;":"&amp;RIGHT("0"&amp;INT(MOD(ROUND(INDEX(Нормативы!$D$2:$L$71,L304,M304)*100,0),6000)/100),2),INT(MOD(ROUND(INDEX(Нормативы!$D$2:$L$71,L304,M304)*100,0),6000)/100))&amp;"."&amp;RIGHT("0"&amp;MOD(ROUND(INDEX(Нормативы!$D$2:$L$71,L304,M304)*100,0),100),2)))</f>
        <v/>
      </c>
      <c r="J304" s="12" t="str">
        <f aca="false">IF(D304="","",SUMIFS('Базовые времена'!$D$2:$D$71,'Базовые времена'!$A$2:$A$71,B304,'Базовые времена'!$B$2:$B$71,C304,'Базовые времена'!$C$2:$C$71,D304))</f>
        <v/>
      </c>
      <c r="K304" s="12" t="str">
        <f aca="false">IF(E304="","",IF(ISNUMBER(E304),IF(E304&lt;1,E304*86400,E304),IFERROR(IF(ISNUMBER(FIND(":",SUBSTITUTE(TRIM(E304),",","."))),VALUE(LEFT(SUBSTITUTE(TRIM(E304),",","."),FIND(":",SUBSTITUTE(TRIM(E304),",","."))-1))*60+_xlfn.NUMBERVALUE(MID(SUBSTITUTE(TRIM(E304),",","."),FIND(":",SUBSTITUTE(TRIM(E304),",","."))+1,99),"."),_xlfn.NUMBERVALUE(SUBSTITUTE(TRIM(E304),",","."),".")),0)))</f>
        <v/>
      </c>
      <c r="L304" s="3" t="str">
        <f aca="false">IF(OR(D304="",N(K304)&lt;=0),"",IFERROR(MATCH(B304&amp;"|"&amp;C304&amp;"|"&amp;D304,Нормативы!$M$2:$M$71,0),""))</f>
        <v/>
      </c>
      <c r="M304" s="3" t="str">
        <f aca="false">IF(L304="","",SUMPRODUCT((INDEX(Нормативы!$D$2:$L$71,L304,0)&lt;K304)*ISNUMBER(INDEX(Нормативы!$D$2:$L$71,L304,0))))</f>
        <v/>
      </c>
    </row>
    <row r="305" customFormat="false" ht="15" hidden="false" customHeight="false" outlineLevel="0" collapsed="false">
      <c r="A305" s="5"/>
      <c r="B305" s="5"/>
      <c r="C305" s="5"/>
      <c r="D305" s="5"/>
      <c r="E305" s="14"/>
      <c r="F305" s="4" t="str">
        <f aca="false">IF(OR(J305="",K305="",N(J305)=0,N(K305)&lt;=0),"",ROUNDDOWN(1000*(J305/K305)^3,0))</f>
        <v/>
      </c>
      <c r="G305" s="4" t="str">
        <f aca="false">IF(M305="","",IF(M305+1&gt;COUNT(INDEX(Нормативы!$D$2:$L$71,L305,0)),"Разряда нет",INDEX(Нормативы!$D$1:$L$1,1,M305+1)))</f>
        <v/>
      </c>
      <c r="H305" s="2" t="str">
        <f aca="false">IF(M305="","",IF(M305=0,"—",INDEX(Нормативы!$D$1:$L$1,1,M305)))</f>
        <v/>
      </c>
      <c r="I305" s="7" t="str">
        <f aca="false">IF(M305="","",IF(M305=0,"",IF(INT(ROUND(INDEX(Нормативы!$D$2:$L$71,L305,M305)*100,0)/6000)&gt;0,INT(ROUND(INDEX(Нормативы!$D$2:$L$71,L305,M305)*100,0)/6000)&amp;":"&amp;RIGHT("0"&amp;INT(MOD(ROUND(INDEX(Нормативы!$D$2:$L$71,L305,M305)*100,0),6000)/100),2),INT(MOD(ROUND(INDEX(Нормативы!$D$2:$L$71,L305,M305)*100,0),6000)/100))&amp;"."&amp;RIGHT("0"&amp;MOD(ROUND(INDEX(Нормативы!$D$2:$L$71,L305,M305)*100,0),100),2)))</f>
        <v/>
      </c>
      <c r="J305" s="12" t="str">
        <f aca="false">IF(D305="","",SUMIFS('Базовые времена'!$D$2:$D$71,'Базовые времена'!$A$2:$A$71,B305,'Базовые времена'!$B$2:$B$71,C305,'Базовые времена'!$C$2:$C$71,D305))</f>
        <v/>
      </c>
      <c r="K305" s="12" t="str">
        <f aca="false">IF(E305="","",IF(ISNUMBER(E305),IF(E305&lt;1,E305*86400,E305),IFERROR(IF(ISNUMBER(FIND(":",SUBSTITUTE(TRIM(E305),",","."))),VALUE(LEFT(SUBSTITUTE(TRIM(E305),",","."),FIND(":",SUBSTITUTE(TRIM(E305),",","."))-1))*60+_xlfn.NUMBERVALUE(MID(SUBSTITUTE(TRIM(E305),",","."),FIND(":",SUBSTITUTE(TRIM(E305),",","."))+1,99),"."),_xlfn.NUMBERVALUE(SUBSTITUTE(TRIM(E305),",","."),".")),0)))</f>
        <v/>
      </c>
      <c r="L305" s="3" t="str">
        <f aca="false">IF(OR(D305="",N(K305)&lt;=0),"",IFERROR(MATCH(B305&amp;"|"&amp;C305&amp;"|"&amp;D305,Нормативы!$M$2:$M$71,0),""))</f>
        <v/>
      </c>
      <c r="M305" s="3" t="str">
        <f aca="false">IF(L305="","",SUMPRODUCT((INDEX(Нормативы!$D$2:$L$71,L305,0)&lt;K305)*ISNUMBER(INDEX(Нормативы!$D$2:$L$71,L305,0))))</f>
        <v/>
      </c>
    </row>
    <row r="306" customFormat="false" ht="15" hidden="false" customHeight="false" outlineLevel="0" collapsed="false">
      <c r="A306" s="5"/>
      <c r="B306" s="5"/>
      <c r="C306" s="5"/>
      <c r="D306" s="5"/>
      <c r="E306" s="14"/>
      <c r="F306" s="4" t="str">
        <f aca="false">IF(OR(J306="",K306="",N(J306)=0,N(K306)&lt;=0),"",ROUNDDOWN(1000*(J306/K306)^3,0))</f>
        <v/>
      </c>
      <c r="G306" s="4" t="str">
        <f aca="false">IF(M306="","",IF(M306+1&gt;COUNT(INDEX(Нормативы!$D$2:$L$71,L306,0)),"Разряда нет",INDEX(Нормативы!$D$1:$L$1,1,M306+1)))</f>
        <v/>
      </c>
      <c r="H306" s="2" t="str">
        <f aca="false">IF(M306="","",IF(M306=0,"—",INDEX(Нормативы!$D$1:$L$1,1,M306)))</f>
        <v/>
      </c>
      <c r="I306" s="7" t="str">
        <f aca="false">IF(M306="","",IF(M306=0,"",IF(INT(ROUND(INDEX(Нормативы!$D$2:$L$71,L306,M306)*100,0)/6000)&gt;0,INT(ROUND(INDEX(Нормативы!$D$2:$L$71,L306,M306)*100,0)/6000)&amp;":"&amp;RIGHT("0"&amp;INT(MOD(ROUND(INDEX(Нормативы!$D$2:$L$71,L306,M306)*100,0),6000)/100),2),INT(MOD(ROUND(INDEX(Нормативы!$D$2:$L$71,L306,M306)*100,0),6000)/100))&amp;"."&amp;RIGHT("0"&amp;MOD(ROUND(INDEX(Нормативы!$D$2:$L$71,L306,M306)*100,0),100),2)))</f>
        <v/>
      </c>
      <c r="J306" s="12" t="str">
        <f aca="false">IF(D306="","",SUMIFS('Базовые времена'!$D$2:$D$71,'Базовые времена'!$A$2:$A$71,B306,'Базовые времена'!$B$2:$B$71,C306,'Базовые времена'!$C$2:$C$71,D306))</f>
        <v/>
      </c>
      <c r="K306" s="12" t="str">
        <f aca="false">IF(E306="","",IF(ISNUMBER(E306),IF(E306&lt;1,E306*86400,E306),IFERROR(IF(ISNUMBER(FIND(":",SUBSTITUTE(TRIM(E306),",","."))),VALUE(LEFT(SUBSTITUTE(TRIM(E306),",","."),FIND(":",SUBSTITUTE(TRIM(E306),",","."))-1))*60+_xlfn.NUMBERVALUE(MID(SUBSTITUTE(TRIM(E306),",","."),FIND(":",SUBSTITUTE(TRIM(E306),",","."))+1,99),"."),_xlfn.NUMBERVALUE(SUBSTITUTE(TRIM(E306),",","."),".")),0)))</f>
        <v/>
      </c>
      <c r="L306" s="3" t="str">
        <f aca="false">IF(OR(D306="",N(K306)&lt;=0),"",IFERROR(MATCH(B306&amp;"|"&amp;C306&amp;"|"&amp;D306,Нормативы!$M$2:$M$71,0),""))</f>
        <v/>
      </c>
      <c r="M306" s="3" t="str">
        <f aca="false">IF(L306="","",SUMPRODUCT((INDEX(Нормативы!$D$2:$L$71,L306,0)&lt;K306)*ISNUMBER(INDEX(Нормативы!$D$2:$L$71,L306,0))))</f>
        <v/>
      </c>
    </row>
    <row r="307" customFormat="false" ht="15" hidden="false" customHeight="false" outlineLevel="0" collapsed="false">
      <c r="A307" s="5"/>
      <c r="B307" s="5"/>
      <c r="C307" s="5"/>
      <c r="D307" s="5"/>
      <c r="E307" s="14"/>
      <c r="F307" s="4" t="str">
        <f aca="false">IF(OR(J307="",K307="",N(J307)=0,N(K307)&lt;=0),"",ROUNDDOWN(1000*(J307/K307)^3,0))</f>
        <v/>
      </c>
      <c r="G307" s="4" t="str">
        <f aca="false">IF(M307="","",IF(M307+1&gt;COUNT(INDEX(Нормативы!$D$2:$L$71,L307,0)),"Разряда нет",INDEX(Нормативы!$D$1:$L$1,1,M307+1)))</f>
        <v/>
      </c>
      <c r="H307" s="2" t="str">
        <f aca="false">IF(M307="","",IF(M307=0,"—",INDEX(Нормативы!$D$1:$L$1,1,M307)))</f>
        <v/>
      </c>
      <c r="I307" s="7" t="str">
        <f aca="false">IF(M307="","",IF(M307=0,"",IF(INT(ROUND(INDEX(Нормативы!$D$2:$L$71,L307,M307)*100,0)/6000)&gt;0,INT(ROUND(INDEX(Нормативы!$D$2:$L$71,L307,M307)*100,0)/6000)&amp;":"&amp;RIGHT("0"&amp;INT(MOD(ROUND(INDEX(Нормативы!$D$2:$L$71,L307,M307)*100,0),6000)/100),2),INT(MOD(ROUND(INDEX(Нормативы!$D$2:$L$71,L307,M307)*100,0),6000)/100))&amp;"."&amp;RIGHT("0"&amp;MOD(ROUND(INDEX(Нормативы!$D$2:$L$71,L307,M307)*100,0),100),2)))</f>
        <v/>
      </c>
      <c r="J307" s="12" t="str">
        <f aca="false">IF(D307="","",SUMIFS('Базовые времена'!$D$2:$D$71,'Базовые времена'!$A$2:$A$71,B307,'Базовые времена'!$B$2:$B$71,C307,'Базовые времена'!$C$2:$C$71,D307))</f>
        <v/>
      </c>
      <c r="K307" s="12" t="str">
        <f aca="false">IF(E307="","",IF(ISNUMBER(E307),IF(E307&lt;1,E307*86400,E307),IFERROR(IF(ISNUMBER(FIND(":",SUBSTITUTE(TRIM(E307),",","."))),VALUE(LEFT(SUBSTITUTE(TRIM(E307),",","."),FIND(":",SUBSTITUTE(TRIM(E307),",","."))-1))*60+_xlfn.NUMBERVALUE(MID(SUBSTITUTE(TRIM(E307),",","."),FIND(":",SUBSTITUTE(TRIM(E307),",","."))+1,99),"."),_xlfn.NUMBERVALUE(SUBSTITUTE(TRIM(E307),",","."),".")),0)))</f>
        <v/>
      </c>
      <c r="L307" s="3" t="str">
        <f aca="false">IF(OR(D307="",N(K307)&lt;=0),"",IFERROR(MATCH(B307&amp;"|"&amp;C307&amp;"|"&amp;D307,Нормативы!$M$2:$M$71,0),""))</f>
        <v/>
      </c>
      <c r="M307" s="3" t="str">
        <f aca="false">IF(L307="","",SUMPRODUCT((INDEX(Нормативы!$D$2:$L$71,L307,0)&lt;K307)*ISNUMBER(INDEX(Нормативы!$D$2:$L$71,L307,0))))</f>
        <v/>
      </c>
    </row>
    <row r="308" customFormat="false" ht="15" hidden="false" customHeight="false" outlineLevel="0" collapsed="false">
      <c r="A308" s="5"/>
      <c r="B308" s="5"/>
      <c r="C308" s="5"/>
      <c r="D308" s="5"/>
      <c r="E308" s="14"/>
      <c r="F308" s="4" t="str">
        <f aca="false">IF(OR(J308="",K308="",N(J308)=0,N(K308)&lt;=0),"",ROUNDDOWN(1000*(J308/K308)^3,0))</f>
        <v/>
      </c>
      <c r="G308" s="4" t="str">
        <f aca="false">IF(M308="","",IF(M308+1&gt;COUNT(INDEX(Нормативы!$D$2:$L$71,L308,0)),"Разряда нет",INDEX(Нормативы!$D$1:$L$1,1,M308+1)))</f>
        <v/>
      </c>
      <c r="H308" s="2" t="str">
        <f aca="false">IF(M308="","",IF(M308=0,"—",INDEX(Нормативы!$D$1:$L$1,1,M308)))</f>
        <v/>
      </c>
      <c r="I308" s="7" t="str">
        <f aca="false">IF(M308="","",IF(M308=0,"",IF(INT(ROUND(INDEX(Нормативы!$D$2:$L$71,L308,M308)*100,0)/6000)&gt;0,INT(ROUND(INDEX(Нормативы!$D$2:$L$71,L308,M308)*100,0)/6000)&amp;":"&amp;RIGHT("0"&amp;INT(MOD(ROUND(INDEX(Нормативы!$D$2:$L$71,L308,M308)*100,0),6000)/100),2),INT(MOD(ROUND(INDEX(Нормативы!$D$2:$L$71,L308,M308)*100,0),6000)/100))&amp;"."&amp;RIGHT("0"&amp;MOD(ROUND(INDEX(Нормативы!$D$2:$L$71,L308,M308)*100,0),100),2)))</f>
        <v/>
      </c>
      <c r="J308" s="12" t="str">
        <f aca="false">IF(D308="","",SUMIFS('Базовые времена'!$D$2:$D$71,'Базовые времена'!$A$2:$A$71,B308,'Базовые времена'!$B$2:$B$71,C308,'Базовые времена'!$C$2:$C$71,D308))</f>
        <v/>
      </c>
      <c r="K308" s="12" t="str">
        <f aca="false">IF(E308="","",IF(ISNUMBER(E308),IF(E308&lt;1,E308*86400,E308),IFERROR(IF(ISNUMBER(FIND(":",SUBSTITUTE(TRIM(E308),",","."))),VALUE(LEFT(SUBSTITUTE(TRIM(E308),",","."),FIND(":",SUBSTITUTE(TRIM(E308),",","."))-1))*60+_xlfn.NUMBERVALUE(MID(SUBSTITUTE(TRIM(E308),",","."),FIND(":",SUBSTITUTE(TRIM(E308),",","."))+1,99),"."),_xlfn.NUMBERVALUE(SUBSTITUTE(TRIM(E308),",","."),".")),0)))</f>
        <v/>
      </c>
      <c r="L308" s="3" t="str">
        <f aca="false">IF(OR(D308="",N(K308)&lt;=0),"",IFERROR(MATCH(B308&amp;"|"&amp;C308&amp;"|"&amp;D308,Нормативы!$M$2:$M$71,0),""))</f>
        <v/>
      </c>
      <c r="M308" s="3" t="str">
        <f aca="false">IF(L308="","",SUMPRODUCT((INDEX(Нормативы!$D$2:$L$71,L308,0)&lt;K308)*ISNUMBER(INDEX(Нормативы!$D$2:$L$71,L308,0))))</f>
        <v/>
      </c>
    </row>
    <row r="309" customFormat="false" ht="15" hidden="false" customHeight="false" outlineLevel="0" collapsed="false">
      <c r="A309" s="5"/>
      <c r="B309" s="5"/>
      <c r="C309" s="5"/>
      <c r="D309" s="5"/>
      <c r="E309" s="14"/>
      <c r="F309" s="4" t="str">
        <f aca="false">IF(OR(J309="",K309="",N(J309)=0,N(K309)&lt;=0),"",ROUNDDOWN(1000*(J309/K309)^3,0))</f>
        <v/>
      </c>
      <c r="G309" s="4" t="str">
        <f aca="false">IF(M309="","",IF(M309+1&gt;COUNT(INDEX(Нормативы!$D$2:$L$71,L309,0)),"Разряда нет",INDEX(Нормативы!$D$1:$L$1,1,M309+1)))</f>
        <v/>
      </c>
      <c r="H309" s="2" t="str">
        <f aca="false">IF(M309="","",IF(M309=0,"—",INDEX(Нормативы!$D$1:$L$1,1,M309)))</f>
        <v/>
      </c>
      <c r="I309" s="7" t="str">
        <f aca="false">IF(M309="","",IF(M309=0,"",IF(INT(ROUND(INDEX(Нормативы!$D$2:$L$71,L309,M309)*100,0)/6000)&gt;0,INT(ROUND(INDEX(Нормативы!$D$2:$L$71,L309,M309)*100,0)/6000)&amp;":"&amp;RIGHT("0"&amp;INT(MOD(ROUND(INDEX(Нормативы!$D$2:$L$71,L309,M309)*100,0),6000)/100),2),INT(MOD(ROUND(INDEX(Нормативы!$D$2:$L$71,L309,M309)*100,0),6000)/100))&amp;"."&amp;RIGHT("0"&amp;MOD(ROUND(INDEX(Нормативы!$D$2:$L$71,L309,M309)*100,0),100),2)))</f>
        <v/>
      </c>
      <c r="J309" s="12" t="str">
        <f aca="false">IF(D309="","",SUMIFS('Базовые времена'!$D$2:$D$71,'Базовые времена'!$A$2:$A$71,B309,'Базовые времена'!$B$2:$B$71,C309,'Базовые времена'!$C$2:$C$71,D309))</f>
        <v/>
      </c>
      <c r="K309" s="12" t="str">
        <f aca="false">IF(E309="","",IF(ISNUMBER(E309),IF(E309&lt;1,E309*86400,E309),IFERROR(IF(ISNUMBER(FIND(":",SUBSTITUTE(TRIM(E309),",","."))),VALUE(LEFT(SUBSTITUTE(TRIM(E309),",","."),FIND(":",SUBSTITUTE(TRIM(E309),",","."))-1))*60+_xlfn.NUMBERVALUE(MID(SUBSTITUTE(TRIM(E309),",","."),FIND(":",SUBSTITUTE(TRIM(E309),",","."))+1,99),"."),_xlfn.NUMBERVALUE(SUBSTITUTE(TRIM(E309),",","."),".")),0)))</f>
        <v/>
      </c>
      <c r="L309" s="3" t="str">
        <f aca="false">IF(OR(D309="",N(K309)&lt;=0),"",IFERROR(MATCH(B309&amp;"|"&amp;C309&amp;"|"&amp;D309,Нормативы!$M$2:$M$71,0),""))</f>
        <v/>
      </c>
      <c r="M309" s="3" t="str">
        <f aca="false">IF(L309="","",SUMPRODUCT((INDEX(Нормативы!$D$2:$L$71,L309,0)&lt;K309)*ISNUMBER(INDEX(Нормативы!$D$2:$L$71,L309,0))))</f>
        <v/>
      </c>
    </row>
    <row r="310" customFormat="false" ht="15" hidden="false" customHeight="false" outlineLevel="0" collapsed="false">
      <c r="A310" s="5"/>
      <c r="B310" s="5"/>
      <c r="C310" s="5"/>
      <c r="D310" s="5"/>
      <c r="E310" s="14"/>
      <c r="F310" s="4" t="str">
        <f aca="false">IF(OR(J310="",K310="",N(J310)=0,N(K310)&lt;=0),"",ROUNDDOWN(1000*(J310/K310)^3,0))</f>
        <v/>
      </c>
      <c r="G310" s="4" t="str">
        <f aca="false">IF(M310="","",IF(M310+1&gt;COUNT(INDEX(Нормативы!$D$2:$L$71,L310,0)),"Разряда нет",INDEX(Нормативы!$D$1:$L$1,1,M310+1)))</f>
        <v/>
      </c>
      <c r="H310" s="2" t="str">
        <f aca="false">IF(M310="","",IF(M310=0,"—",INDEX(Нормативы!$D$1:$L$1,1,M310)))</f>
        <v/>
      </c>
      <c r="I310" s="7" t="str">
        <f aca="false">IF(M310="","",IF(M310=0,"",IF(INT(ROUND(INDEX(Нормативы!$D$2:$L$71,L310,M310)*100,0)/6000)&gt;0,INT(ROUND(INDEX(Нормативы!$D$2:$L$71,L310,M310)*100,0)/6000)&amp;":"&amp;RIGHT("0"&amp;INT(MOD(ROUND(INDEX(Нормативы!$D$2:$L$71,L310,M310)*100,0),6000)/100),2),INT(MOD(ROUND(INDEX(Нормативы!$D$2:$L$71,L310,M310)*100,0),6000)/100))&amp;"."&amp;RIGHT("0"&amp;MOD(ROUND(INDEX(Нормативы!$D$2:$L$71,L310,M310)*100,0),100),2)))</f>
        <v/>
      </c>
      <c r="J310" s="12" t="str">
        <f aca="false">IF(D310="","",SUMIFS('Базовые времена'!$D$2:$D$71,'Базовые времена'!$A$2:$A$71,B310,'Базовые времена'!$B$2:$B$71,C310,'Базовые времена'!$C$2:$C$71,D310))</f>
        <v/>
      </c>
      <c r="K310" s="12" t="str">
        <f aca="false">IF(E310="","",IF(ISNUMBER(E310),IF(E310&lt;1,E310*86400,E310),IFERROR(IF(ISNUMBER(FIND(":",SUBSTITUTE(TRIM(E310),",","."))),VALUE(LEFT(SUBSTITUTE(TRIM(E310),",","."),FIND(":",SUBSTITUTE(TRIM(E310),",","."))-1))*60+_xlfn.NUMBERVALUE(MID(SUBSTITUTE(TRIM(E310),",","."),FIND(":",SUBSTITUTE(TRIM(E310),",","."))+1,99),"."),_xlfn.NUMBERVALUE(SUBSTITUTE(TRIM(E310),",","."),".")),0)))</f>
        <v/>
      </c>
      <c r="L310" s="3" t="str">
        <f aca="false">IF(OR(D310="",N(K310)&lt;=0),"",IFERROR(MATCH(B310&amp;"|"&amp;C310&amp;"|"&amp;D310,Нормативы!$M$2:$M$71,0),""))</f>
        <v/>
      </c>
      <c r="M310" s="3" t="str">
        <f aca="false">IF(L310="","",SUMPRODUCT((INDEX(Нормативы!$D$2:$L$71,L310,0)&lt;K310)*ISNUMBER(INDEX(Нормативы!$D$2:$L$71,L310,0))))</f>
        <v/>
      </c>
    </row>
    <row r="311" customFormat="false" ht="15" hidden="false" customHeight="false" outlineLevel="0" collapsed="false">
      <c r="A311" s="5"/>
      <c r="B311" s="5"/>
      <c r="C311" s="5"/>
      <c r="D311" s="5"/>
      <c r="E311" s="14"/>
      <c r="F311" s="4" t="str">
        <f aca="false">IF(OR(J311="",K311="",N(J311)=0,N(K311)&lt;=0),"",ROUNDDOWN(1000*(J311/K311)^3,0))</f>
        <v/>
      </c>
      <c r="G311" s="4" t="str">
        <f aca="false">IF(M311="","",IF(M311+1&gt;COUNT(INDEX(Нормативы!$D$2:$L$71,L311,0)),"Разряда нет",INDEX(Нормативы!$D$1:$L$1,1,M311+1)))</f>
        <v/>
      </c>
      <c r="H311" s="2" t="str">
        <f aca="false">IF(M311="","",IF(M311=0,"—",INDEX(Нормативы!$D$1:$L$1,1,M311)))</f>
        <v/>
      </c>
      <c r="I311" s="7" t="str">
        <f aca="false">IF(M311="","",IF(M311=0,"",IF(INT(ROUND(INDEX(Нормативы!$D$2:$L$71,L311,M311)*100,0)/6000)&gt;0,INT(ROUND(INDEX(Нормативы!$D$2:$L$71,L311,M311)*100,0)/6000)&amp;":"&amp;RIGHT("0"&amp;INT(MOD(ROUND(INDEX(Нормативы!$D$2:$L$71,L311,M311)*100,0),6000)/100),2),INT(MOD(ROUND(INDEX(Нормативы!$D$2:$L$71,L311,M311)*100,0),6000)/100))&amp;"."&amp;RIGHT("0"&amp;MOD(ROUND(INDEX(Нормативы!$D$2:$L$71,L311,M311)*100,0),100),2)))</f>
        <v/>
      </c>
      <c r="J311" s="12" t="str">
        <f aca="false">IF(D311="","",SUMIFS('Базовые времена'!$D$2:$D$71,'Базовые времена'!$A$2:$A$71,B311,'Базовые времена'!$B$2:$B$71,C311,'Базовые времена'!$C$2:$C$71,D311))</f>
        <v/>
      </c>
      <c r="K311" s="12" t="str">
        <f aca="false">IF(E311="","",IF(ISNUMBER(E311),IF(E311&lt;1,E311*86400,E311),IFERROR(IF(ISNUMBER(FIND(":",SUBSTITUTE(TRIM(E311),",","."))),VALUE(LEFT(SUBSTITUTE(TRIM(E311),",","."),FIND(":",SUBSTITUTE(TRIM(E311),",","."))-1))*60+_xlfn.NUMBERVALUE(MID(SUBSTITUTE(TRIM(E311),",","."),FIND(":",SUBSTITUTE(TRIM(E311),",","."))+1,99),"."),_xlfn.NUMBERVALUE(SUBSTITUTE(TRIM(E311),",","."),".")),0)))</f>
        <v/>
      </c>
      <c r="L311" s="3" t="str">
        <f aca="false">IF(OR(D311="",N(K311)&lt;=0),"",IFERROR(MATCH(B311&amp;"|"&amp;C311&amp;"|"&amp;D311,Нормативы!$M$2:$M$71,0),""))</f>
        <v/>
      </c>
      <c r="M311" s="3" t="str">
        <f aca="false">IF(L311="","",SUMPRODUCT((INDEX(Нормативы!$D$2:$L$71,L311,0)&lt;K311)*ISNUMBER(INDEX(Нормативы!$D$2:$L$71,L311,0))))</f>
        <v/>
      </c>
    </row>
    <row r="312" customFormat="false" ht="15" hidden="false" customHeight="false" outlineLevel="0" collapsed="false">
      <c r="A312" s="5"/>
      <c r="B312" s="5"/>
      <c r="C312" s="5"/>
      <c r="D312" s="5"/>
      <c r="E312" s="14"/>
      <c r="F312" s="4" t="str">
        <f aca="false">IF(OR(J312="",K312="",N(J312)=0,N(K312)&lt;=0),"",ROUNDDOWN(1000*(J312/K312)^3,0))</f>
        <v/>
      </c>
      <c r="G312" s="4" t="str">
        <f aca="false">IF(M312="","",IF(M312+1&gt;COUNT(INDEX(Нормативы!$D$2:$L$71,L312,0)),"Разряда нет",INDEX(Нормативы!$D$1:$L$1,1,M312+1)))</f>
        <v/>
      </c>
      <c r="H312" s="2" t="str">
        <f aca="false">IF(M312="","",IF(M312=0,"—",INDEX(Нормативы!$D$1:$L$1,1,M312)))</f>
        <v/>
      </c>
      <c r="I312" s="7" t="str">
        <f aca="false">IF(M312="","",IF(M312=0,"",IF(INT(ROUND(INDEX(Нормативы!$D$2:$L$71,L312,M312)*100,0)/6000)&gt;0,INT(ROUND(INDEX(Нормативы!$D$2:$L$71,L312,M312)*100,0)/6000)&amp;":"&amp;RIGHT("0"&amp;INT(MOD(ROUND(INDEX(Нормативы!$D$2:$L$71,L312,M312)*100,0),6000)/100),2),INT(MOD(ROUND(INDEX(Нормативы!$D$2:$L$71,L312,M312)*100,0),6000)/100))&amp;"."&amp;RIGHT("0"&amp;MOD(ROUND(INDEX(Нормативы!$D$2:$L$71,L312,M312)*100,0),100),2)))</f>
        <v/>
      </c>
      <c r="J312" s="12" t="str">
        <f aca="false">IF(D312="","",SUMIFS('Базовые времена'!$D$2:$D$71,'Базовые времена'!$A$2:$A$71,B312,'Базовые времена'!$B$2:$B$71,C312,'Базовые времена'!$C$2:$C$71,D312))</f>
        <v/>
      </c>
      <c r="K312" s="12" t="str">
        <f aca="false">IF(E312="","",IF(ISNUMBER(E312),IF(E312&lt;1,E312*86400,E312),IFERROR(IF(ISNUMBER(FIND(":",SUBSTITUTE(TRIM(E312),",","."))),VALUE(LEFT(SUBSTITUTE(TRIM(E312),",","."),FIND(":",SUBSTITUTE(TRIM(E312),",","."))-1))*60+_xlfn.NUMBERVALUE(MID(SUBSTITUTE(TRIM(E312),",","."),FIND(":",SUBSTITUTE(TRIM(E312),",","."))+1,99),"."),_xlfn.NUMBERVALUE(SUBSTITUTE(TRIM(E312),",","."),".")),0)))</f>
        <v/>
      </c>
      <c r="L312" s="3" t="str">
        <f aca="false">IF(OR(D312="",N(K312)&lt;=0),"",IFERROR(MATCH(B312&amp;"|"&amp;C312&amp;"|"&amp;D312,Нормативы!$M$2:$M$71,0),""))</f>
        <v/>
      </c>
      <c r="M312" s="3" t="str">
        <f aca="false">IF(L312="","",SUMPRODUCT((INDEX(Нормативы!$D$2:$L$71,L312,0)&lt;K312)*ISNUMBER(INDEX(Нормативы!$D$2:$L$71,L312,0))))</f>
        <v/>
      </c>
    </row>
    <row r="313" customFormat="false" ht="15" hidden="false" customHeight="false" outlineLevel="0" collapsed="false">
      <c r="A313" s="5"/>
      <c r="B313" s="5"/>
      <c r="C313" s="5"/>
      <c r="D313" s="5"/>
      <c r="E313" s="14"/>
      <c r="F313" s="4" t="str">
        <f aca="false">IF(OR(J313="",K313="",N(J313)=0,N(K313)&lt;=0),"",ROUNDDOWN(1000*(J313/K313)^3,0))</f>
        <v/>
      </c>
      <c r="G313" s="4" t="str">
        <f aca="false">IF(M313="","",IF(M313+1&gt;COUNT(INDEX(Нормативы!$D$2:$L$71,L313,0)),"Разряда нет",INDEX(Нормативы!$D$1:$L$1,1,M313+1)))</f>
        <v/>
      </c>
      <c r="H313" s="2" t="str">
        <f aca="false">IF(M313="","",IF(M313=0,"—",INDEX(Нормативы!$D$1:$L$1,1,M313)))</f>
        <v/>
      </c>
      <c r="I313" s="7" t="str">
        <f aca="false">IF(M313="","",IF(M313=0,"",IF(INT(ROUND(INDEX(Нормативы!$D$2:$L$71,L313,M313)*100,0)/6000)&gt;0,INT(ROUND(INDEX(Нормативы!$D$2:$L$71,L313,M313)*100,0)/6000)&amp;":"&amp;RIGHT("0"&amp;INT(MOD(ROUND(INDEX(Нормативы!$D$2:$L$71,L313,M313)*100,0),6000)/100),2),INT(MOD(ROUND(INDEX(Нормативы!$D$2:$L$71,L313,M313)*100,0),6000)/100))&amp;"."&amp;RIGHT("0"&amp;MOD(ROUND(INDEX(Нормативы!$D$2:$L$71,L313,M313)*100,0),100),2)))</f>
        <v/>
      </c>
      <c r="J313" s="12" t="str">
        <f aca="false">IF(D313="","",SUMIFS('Базовые времена'!$D$2:$D$71,'Базовые времена'!$A$2:$A$71,B313,'Базовые времена'!$B$2:$B$71,C313,'Базовые времена'!$C$2:$C$71,D313))</f>
        <v/>
      </c>
      <c r="K313" s="12" t="str">
        <f aca="false">IF(E313="","",IF(ISNUMBER(E313),IF(E313&lt;1,E313*86400,E313),IFERROR(IF(ISNUMBER(FIND(":",SUBSTITUTE(TRIM(E313),",","."))),VALUE(LEFT(SUBSTITUTE(TRIM(E313),",","."),FIND(":",SUBSTITUTE(TRIM(E313),",","."))-1))*60+_xlfn.NUMBERVALUE(MID(SUBSTITUTE(TRIM(E313),",","."),FIND(":",SUBSTITUTE(TRIM(E313),",","."))+1,99),"."),_xlfn.NUMBERVALUE(SUBSTITUTE(TRIM(E313),",","."),".")),0)))</f>
        <v/>
      </c>
      <c r="L313" s="3" t="str">
        <f aca="false">IF(OR(D313="",N(K313)&lt;=0),"",IFERROR(MATCH(B313&amp;"|"&amp;C313&amp;"|"&amp;D313,Нормативы!$M$2:$M$71,0),""))</f>
        <v/>
      </c>
      <c r="M313" s="3" t="str">
        <f aca="false">IF(L313="","",SUMPRODUCT((INDEX(Нормативы!$D$2:$L$71,L313,0)&lt;K313)*ISNUMBER(INDEX(Нормативы!$D$2:$L$71,L313,0))))</f>
        <v/>
      </c>
    </row>
    <row r="314" customFormat="false" ht="15" hidden="false" customHeight="false" outlineLevel="0" collapsed="false">
      <c r="A314" s="5"/>
      <c r="B314" s="5"/>
      <c r="C314" s="5"/>
      <c r="D314" s="5"/>
      <c r="E314" s="14"/>
      <c r="F314" s="4" t="str">
        <f aca="false">IF(OR(J314="",K314="",N(J314)=0,N(K314)&lt;=0),"",ROUNDDOWN(1000*(J314/K314)^3,0))</f>
        <v/>
      </c>
      <c r="G314" s="4" t="str">
        <f aca="false">IF(M314="","",IF(M314+1&gt;COUNT(INDEX(Нормативы!$D$2:$L$71,L314,0)),"Разряда нет",INDEX(Нормативы!$D$1:$L$1,1,M314+1)))</f>
        <v/>
      </c>
      <c r="H314" s="2" t="str">
        <f aca="false">IF(M314="","",IF(M314=0,"—",INDEX(Нормативы!$D$1:$L$1,1,M314)))</f>
        <v/>
      </c>
      <c r="I314" s="7" t="str">
        <f aca="false">IF(M314="","",IF(M314=0,"",IF(INT(ROUND(INDEX(Нормативы!$D$2:$L$71,L314,M314)*100,0)/6000)&gt;0,INT(ROUND(INDEX(Нормативы!$D$2:$L$71,L314,M314)*100,0)/6000)&amp;":"&amp;RIGHT("0"&amp;INT(MOD(ROUND(INDEX(Нормативы!$D$2:$L$71,L314,M314)*100,0),6000)/100),2),INT(MOD(ROUND(INDEX(Нормативы!$D$2:$L$71,L314,M314)*100,0),6000)/100))&amp;"."&amp;RIGHT("0"&amp;MOD(ROUND(INDEX(Нормативы!$D$2:$L$71,L314,M314)*100,0),100),2)))</f>
        <v/>
      </c>
      <c r="J314" s="12" t="str">
        <f aca="false">IF(D314="","",SUMIFS('Базовые времена'!$D$2:$D$71,'Базовые времена'!$A$2:$A$71,B314,'Базовые времена'!$B$2:$B$71,C314,'Базовые времена'!$C$2:$C$71,D314))</f>
        <v/>
      </c>
      <c r="K314" s="12" t="str">
        <f aca="false">IF(E314="","",IF(ISNUMBER(E314),IF(E314&lt;1,E314*86400,E314),IFERROR(IF(ISNUMBER(FIND(":",SUBSTITUTE(TRIM(E314),",","."))),VALUE(LEFT(SUBSTITUTE(TRIM(E314),",","."),FIND(":",SUBSTITUTE(TRIM(E314),",","."))-1))*60+_xlfn.NUMBERVALUE(MID(SUBSTITUTE(TRIM(E314),",","."),FIND(":",SUBSTITUTE(TRIM(E314),",","."))+1,99),"."),_xlfn.NUMBERVALUE(SUBSTITUTE(TRIM(E314),",","."),".")),0)))</f>
        <v/>
      </c>
      <c r="L314" s="3" t="str">
        <f aca="false">IF(OR(D314="",N(K314)&lt;=0),"",IFERROR(MATCH(B314&amp;"|"&amp;C314&amp;"|"&amp;D314,Нормативы!$M$2:$M$71,0),""))</f>
        <v/>
      </c>
      <c r="M314" s="3" t="str">
        <f aca="false">IF(L314="","",SUMPRODUCT((INDEX(Нормативы!$D$2:$L$71,L314,0)&lt;K314)*ISNUMBER(INDEX(Нормативы!$D$2:$L$71,L314,0))))</f>
        <v/>
      </c>
    </row>
    <row r="315" customFormat="false" ht="15" hidden="false" customHeight="false" outlineLevel="0" collapsed="false">
      <c r="A315" s="5"/>
      <c r="B315" s="5"/>
      <c r="C315" s="5"/>
      <c r="D315" s="5"/>
      <c r="E315" s="14"/>
      <c r="F315" s="4" t="str">
        <f aca="false">IF(OR(J315="",K315="",N(J315)=0,N(K315)&lt;=0),"",ROUNDDOWN(1000*(J315/K315)^3,0))</f>
        <v/>
      </c>
      <c r="G315" s="4" t="str">
        <f aca="false">IF(M315="","",IF(M315+1&gt;COUNT(INDEX(Нормативы!$D$2:$L$71,L315,0)),"Разряда нет",INDEX(Нормативы!$D$1:$L$1,1,M315+1)))</f>
        <v/>
      </c>
      <c r="H315" s="2" t="str">
        <f aca="false">IF(M315="","",IF(M315=0,"—",INDEX(Нормативы!$D$1:$L$1,1,M315)))</f>
        <v/>
      </c>
      <c r="I315" s="7" t="str">
        <f aca="false">IF(M315="","",IF(M315=0,"",IF(INT(ROUND(INDEX(Нормативы!$D$2:$L$71,L315,M315)*100,0)/6000)&gt;0,INT(ROUND(INDEX(Нормативы!$D$2:$L$71,L315,M315)*100,0)/6000)&amp;":"&amp;RIGHT("0"&amp;INT(MOD(ROUND(INDEX(Нормативы!$D$2:$L$71,L315,M315)*100,0),6000)/100),2),INT(MOD(ROUND(INDEX(Нормативы!$D$2:$L$71,L315,M315)*100,0),6000)/100))&amp;"."&amp;RIGHT("0"&amp;MOD(ROUND(INDEX(Нормативы!$D$2:$L$71,L315,M315)*100,0),100),2)))</f>
        <v/>
      </c>
      <c r="J315" s="12" t="str">
        <f aca="false">IF(D315="","",SUMIFS('Базовые времена'!$D$2:$D$71,'Базовые времена'!$A$2:$A$71,B315,'Базовые времена'!$B$2:$B$71,C315,'Базовые времена'!$C$2:$C$71,D315))</f>
        <v/>
      </c>
      <c r="K315" s="12" t="str">
        <f aca="false">IF(E315="","",IF(ISNUMBER(E315),IF(E315&lt;1,E315*86400,E315),IFERROR(IF(ISNUMBER(FIND(":",SUBSTITUTE(TRIM(E315),",","."))),VALUE(LEFT(SUBSTITUTE(TRIM(E315),",","."),FIND(":",SUBSTITUTE(TRIM(E315),",","."))-1))*60+_xlfn.NUMBERVALUE(MID(SUBSTITUTE(TRIM(E315),",","."),FIND(":",SUBSTITUTE(TRIM(E315),",","."))+1,99),"."),_xlfn.NUMBERVALUE(SUBSTITUTE(TRIM(E315),",","."),".")),0)))</f>
        <v/>
      </c>
      <c r="L315" s="3" t="str">
        <f aca="false">IF(OR(D315="",N(K315)&lt;=0),"",IFERROR(MATCH(B315&amp;"|"&amp;C315&amp;"|"&amp;D315,Нормативы!$M$2:$M$71,0),""))</f>
        <v/>
      </c>
      <c r="M315" s="3" t="str">
        <f aca="false">IF(L315="","",SUMPRODUCT((INDEX(Нормативы!$D$2:$L$71,L315,0)&lt;K315)*ISNUMBER(INDEX(Нормативы!$D$2:$L$71,L315,0))))</f>
        <v/>
      </c>
    </row>
    <row r="316" customFormat="false" ht="15" hidden="false" customHeight="false" outlineLevel="0" collapsed="false">
      <c r="A316" s="5"/>
      <c r="B316" s="5"/>
      <c r="C316" s="5"/>
      <c r="D316" s="5"/>
      <c r="E316" s="14"/>
      <c r="F316" s="4" t="str">
        <f aca="false">IF(OR(J316="",K316="",N(J316)=0,N(K316)&lt;=0),"",ROUNDDOWN(1000*(J316/K316)^3,0))</f>
        <v/>
      </c>
      <c r="G316" s="4" t="str">
        <f aca="false">IF(M316="","",IF(M316+1&gt;COUNT(INDEX(Нормативы!$D$2:$L$71,L316,0)),"Разряда нет",INDEX(Нормативы!$D$1:$L$1,1,M316+1)))</f>
        <v/>
      </c>
      <c r="H316" s="2" t="str">
        <f aca="false">IF(M316="","",IF(M316=0,"—",INDEX(Нормативы!$D$1:$L$1,1,M316)))</f>
        <v/>
      </c>
      <c r="I316" s="7" t="str">
        <f aca="false">IF(M316="","",IF(M316=0,"",IF(INT(ROUND(INDEX(Нормативы!$D$2:$L$71,L316,M316)*100,0)/6000)&gt;0,INT(ROUND(INDEX(Нормативы!$D$2:$L$71,L316,M316)*100,0)/6000)&amp;":"&amp;RIGHT("0"&amp;INT(MOD(ROUND(INDEX(Нормативы!$D$2:$L$71,L316,M316)*100,0),6000)/100),2),INT(MOD(ROUND(INDEX(Нормативы!$D$2:$L$71,L316,M316)*100,0),6000)/100))&amp;"."&amp;RIGHT("0"&amp;MOD(ROUND(INDEX(Нормативы!$D$2:$L$71,L316,M316)*100,0),100),2)))</f>
        <v/>
      </c>
      <c r="J316" s="12" t="str">
        <f aca="false">IF(D316="","",SUMIFS('Базовые времена'!$D$2:$D$71,'Базовые времена'!$A$2:$A$71,B316,'Базовые времена'!$B$2:$B$71,C316,'Базовые времена'!$C$2:$C$71,D316))</f>
        <v/>
      </c>
      <c r="K316" s="12" t="str">
        <f aca="false">IF(E316="","",IF(ISNUMBER(E316),IF(E316&lt;1,E316*86400,E316),IFERROR(IF(ISNUMBER(FIND(":",SUBSTITUTE(TRIM(E316),",","."))),VALUE(LEFT(SUBSTITUTE(TRIM(E316),",","."),FIND(":",SUBSTITUTE(TRIM(E316),",","."))-1))*60+_xlfn.NUMBERVALUE(MID(SUBSTITUTE(TRIM(E316),",","."),FIND(":",SUBSTITUTE(TRIM(E316),",","."))+1,99),"."),_xlfn.NUMBERVALUE(SUBSTITUTE(TRIM(E316),",","."),".")),0)))</f>
        <v/>
      </c>
      <c r="L316" s="3" t="str">
        <f aca="false">IF(OR(D316="",N(K316)&lt;=0),"",IFERROR(MATCH(B316&amp;"|"&amp;C316&amp;"|"&amp;D316,Нормативы!$M$2:$M$71,0),""))</f>
        <v/>
      </c>
      <c r="M316" s="3" t="str">
        <f aca="false">IF(L316="","",SUMPRODUCT((INDEX(Нормативы!$D$2:$L$71,L316,0)&lt;K316)*ISNUMBER(INDEX(Нормативы!$D$2:$L$71,L316,0))))</f>
        <v/>
      </c>
    </row>
    <row r="317" customFormat="false" ht="15" hidden="false" customHeight="false" outlineLevel="0" collapsed="false">
      <c r="A317" s="5"/>
      <c r="B317" s="5"/>
      <c r="C317" s="5"/>
      <c r="D317" s="5"/>
      <c r="E317" s="14"/>
      <c r="F317" s="4" t="str">
        <f aca="false">IF(OR(J317="",K317="",N(J317)=0,N(K317)&lt;=0),"",ROUNDDOWN(1000*(J317/K317)^3,0))</f>
        <v/>
      </c>
      <c r="G317" s="4" t="str">
        <f aca="false">IF(M317="","",IF(M317+1&gt;COUNT(INDEX(Нормативы!$D$2:$L$71,L317,0)),"Разряда нет",INDEX(Нормативы!$D$1:$L$1,1,M317+1)))</f>
        <v/>
      </c>
      <c r="H317" s="2" t="str">
        <f aca="false">IF(M317="","",IF(M317=0,"—",INDEX(Нормативы!$D$1:$L$1,1,M317)))</f>
        <v/>
      </c>
      <c r="I317" s="7" t="str">
        <f aca="false">IF(M317="","",IF(M317=0,"",IF(INT(ROUND(INDEX(Нормативы!$D$2:$L$71,L317,M317)*100,0)/6000)&gt;0,INT(ROUND(INDEX(Нормативы!$D$2:$L$71,L317,M317)*100,0)/6000)&amp;":"&amp;RIGHT("0"&amp;INT(MOD(ROUND(INDEX(Нормативы!$D$2:$L$71,L317,M317)*100,0),6000)/100),2),INT(MOD(ROUND(INDEX(Нормативы!$D$2:$L$71,L317,M317)*100,0),6000)/100))&amp;"."&amp;RIGHT("0"&amp;MOD(ROUND(INDEX(Нормативы!$D$2:$L$71,L317,M317)*100,0),100),2)))</f>
        <v/>
      </c>
      <c r="J317" s="12" t="str">
        <f aca="false">IF(D317="","",SUMIFS('Базовые времена'!$D$2:$D$71,'Базовые времена'!$A$2:$A$71,B317,'Базовые времена'!$B$2:$B$71,C317,'Базовые времена'!$C$2:$C$71,D317))</f>
        <v/>
      </c>
      <c r="K317" s="12" t="str">
        <f aca="false">IF(E317="","",IF(ISNUMBER(E317),IF(E317&lt;1,E317*86400,E317),IFERROR(IF(ISNUMBER(FIND(":",SUBSTITUTE(TRIM(E317),",","."))),VALUE(LEFT(SUBSTITUTE(TRIM(E317),",","."),FIND(":",SUBSTITUTE(TRIM(E317),",","."))-1))*60+_xlfn.NUMBERVALUE(MID(SUBSTITUTE(TRIM(E317),",","."),FIND(":",SUBSTITUTE(TRIM(E317),",","."))+1,99),"."),_xlfn.NUMBERVALUE(SUBSTITUTE(TRIM(E317),",","."),".")),0)))</f>
        <v/>
      </c>
      <c r="L317" s="3" t="str">
        <f aca="false">IF(OR(D317="",N(K317)&lt;=0),"",IFERROR(MATCH(B317&amp;"|"&amp;C317&amp;"|"&amp;D317,Нормативы!$M$2:$M$71,0),""))</f>
        <v/>
      </c>
      <c r="M317" s="3" t="str">
        <f aca="false">IF(L317="","",SUMPRODUCT((INDEX(Нормативы!$D$2:$L$71,L317,0)&lt;K317)*ISNUMBER(INDEX(Нормативы!$D$2:$L$71,L317,0))))</f>
        <v/>
      </c>
    </row>
    <row r="318" customFormat="false" ht="15" hidden="false" customHeight="false" outlineLevel="0" collapsed="false">
      <c r="A318" s="5"/>
      <c r="B318" s="5"/>
      <c r="C318" s="5"/>
      <c r="D318" s="5"/>
      <c r="E318" s="14"/>
      <c r="F318" s="4" t="str">
        <f aca="false">IF(OR(J318="",K318="",N(J318)=0,N(K318)&lt;=0),"",ROUNDDOWN(1000*(J318/K318)^3,0))</f>
        <v/>
      </c>
      <c r="G318" s="4" t="str">
        <f aca="false">IF(M318="","",IF(M318+1&gt;COUNT(INDEX(Нормативы!$D$2:$L$71,L318,0)),"Разряда нет",INDEX(Нормативы!$D$1:$L$1,1,M318+1)))</f>
        <v/>
      </c>
      <c r="H318" s="2" t="str">
        <f aca="false">IF(M318="","",IF(M318=0,"—",INDEX(Нормативы!$D$1:$L$1,1,M318)))</f>
        <v/>
      </c>
      <c r="I318" s="7" t="str">
        <f aca="false">IF(M318="","",IF(M318=0,"",IF(INT(ROUND(INDEX(Нормативы!$D$2:$L$71,L318,M318)*100,0)/6000)&gt;0,INT(ROUND(INDEX(Нормативы!$D$2:$L$71,L318,M318)*100,0)/6000)&amp;":"&amp;RIGHT("0"&amp;INT(MOD(ROUND(INDEX(Нормативы!$D$2:$L$71,L318,M318)*100,0),6000)/100),2),INT(MOD(ROUND(INDEX(Нормативы!$D$2:$L$71,L318,M318)*100,0),6000)/100))&amp;"."&amp;RIGHT("0"&amp;MOD(ROUND(INDEX(Нормативы!$D$2:$L$71,L318,M318)*100,0),100),2)))</f>
        <v/>
      </c>
      <c r="J318" s="12" t="str">
        <f aca="false">IF(D318="","",SUMIFS('Базовые времена'!$D$2:$D$71,'Базовые времена'!$A$2:$A$71,B318,'Базовые времена'!$B$2:$B$71,C318,'Базовые времена'!$C$2:$C$71,D318))</f>
        <v/>
      </c>
      <c r="K318" s="12" t="str">
        <f aca="false">IF(E318="","",IF(ISNUMBER(E318),IF(E318&lt;1,E318*86400,E318),IFERROR(IF(ISNUMBER(FIND(":",SUBSTITUTE(TRIM(E318),",","."))),VALUE(LEFT(SUBSTITUTE(TRIM(E318),",","."),FIND(":",SUBSTITUTE(TRIM(E318),",","."))-1))*60+_xlfn.NUMBERVALUE(MID(SUBSTITUTE(TRIM(E318),",","."),FIND(":",SUBSTITUTE(TRIM(E318),",","."))+1,99),"."),_xlfn.NUMBERVALUE(SUBSTITUTE(TRIM(E318),",","."),".")),0)))</f>
        <v/>
      </c>
      <c r="L318" s="3" t="str">
        <f aca="false">IF(OR(D318="",N(K318)&lt;=0),"",IFERROR(MATCH(B318&amp;"|"&amp;C318&amp;"|"&amp;D318,Нормативы!$M$2:$M$71,0),""))</f>
        <v/>
      </c>
      <c r="M318" s="3" t="str">
        <f aca="false">IF(L318="","",SUMPRODUCT((INDEX(Нормативы!$D$2:$L$71,L318,0)&lt;K318)*ISNUMBER(INDEX(Нормативы!$D$2:$L$71,L318,0))))</f>
        <v/>
      </c>
    </row>
    <row r="319" customFormat="false" ht="15" hidden="false" customHeight="false" outlineLevel="0" collapsed="false">
      <c r="A319" s="5"/>
      <c r="B319" s="5"/>
      <c r="C319" s="5"/>
      <c r="D319" s="5"/>
      <c r="E319" s="14"/>
      <c r="F319" s="4" t="str">
        <f aca="false">IF(OR(J319="",K319="",N(J319)=0,N(K319)&lt;=0),"",ROUNDDOWN(1000*(J319/K319)^3,0))</f>
        <v/>
      </c>
      <c r="G319" s="4" t="str">
        <f aca="false">IF(M319="","",IF(M319+1&gt;COUNT(INDEX(Нормативы!$D$2:$L$71,L319,0)),"Разряда нет",INDEX(Нормативы!$D$1:$L$1,1,M319+1)))</f>
        <v/>
      </c>
      <c r="H319" s="2" t="str">
        <f aca="false">IF(M319="","",IF(M319=0,"—",INDEX(Нормативы!$D$1:$L$1,1,M319)))</f>
        <v/>
      </c>
      <c r="I319" s="7" t="str">
        <f aca="false">IF(M319="","",IF(M319=0,"",IF(INT(ROUND(INDEX(Нормативы!$D$2:$L$71,L319,M319)*100,0)/6000)&gt;0,INT(ROUND(INDEX(Нормативы!$D$2:$L$71,L319,M319)*100,0)/6000)&amp;":"&amp;RIGHT("0"&amp;INT(MOD(ROUND(INDEX(Нормативы!$D$2:$L$71,L319,M319)*100,0),6000)/100),2),INT(MOD(ROUND(INDEX(Нормативы!$D$2:$L$71,L319,M319)*100,0),6000)/100))&amp;"."&amp;RIGHT("0"&amp;MOD(ROUND(INDEX(Нормативы!$D$2:$L$71,L319,M319)*100,0),100),2)))</f>
        <v/>
      </c>
      <c r="J319" s="12" t="str">
        <f aca="false">IF(D319="","",SUMIFS('Базовые времена'!$D$2:$D$71,'Базовые времена'!$A$2:$A$71,B319,'Базовые времена'!$B$2:$B$71,C319,'Базовые времена'!$C$2:$C$71,D319))</f>
        <v/>
      </c>
      <c r="K319" s="12" t="str">
        <f aca="false">IF(E319="","",IF(ISNUMBER(E319),IF(E319&lt;1,E319*86400,E319),IFERROR(IF(ISNUMBER(FIND(":",SUBSTITUTE(TRIM(E319),",","."))),VALUE(LEFT(SUBSTITUTE(TRIM(E319),",","."),FIND(":",SUBSTITUTE(TRIM(E319),",","."))-1))*60+_xlfn.NUMBERVALUE(MID(SUBSTITUTE(TRIM(E319),",","."),FIND(":",SUBSTITUTE(TRIM(E319),",","."))+1,99),"."),_xlfn.NUMBERVALUE(SUBSTITUTE(TRIM(E319),",","."),".")),0)))</f>
        <v/>
      </c>
      <c r="L319" s="3" t="str">
        <f aca="false">IF(OR(D319="",N(K319)&lt;=0),"",IFERROR(MATCH(B319&amp;"|"&amp;C319&amp;"|"&amp;D319,Нормативы!$M$2:$M$71,0),""))</f>
        <v/>
      </c>
      <c r="M319" s="3" t="str">
        <f aca="false">IF(L319="","",SUMPRODUCT((INDEX(Нормативы!$D$2:$L$71,L319,0)&lt;K319)*ISNUMBER(INDEX(Нормативы!$D$2:$L$71,L319,0))))</f>
        <v/>
      </c>
    </row>
    <row r="320" customFormat="false" ht="15" hidden="false" customHeight="false" outlineLevel="0" collapsed="false">
      <c r="A320" s="5"/>
      <c r="B320" s="5"/>
      <c r="C320" s="5"/>
      <c r="D320" s="5"/>
      <c r="E320" s="14"/>
      <c r="F320" s="4" t="str">
        <f aca="false">IF(OR(J320="",K320="",N(J320)=0,N(K320)&lt;=0),"",ROUNDDOWN(1000*(J320/K320)^3,0))</f>
        <v/>
      </c>
      <c r="G320" s="4" t="str">
        <f aca="false">IF(M320="","",IF(M320+1&gt;COUNT(INDEX(Нормативы!$D$2:$L$71,L320,0)),"Разряда нет",INDEX(Нормативы!$D$1:$L$1,1,M320+1)))</f>
        <v/>
      </c>
      <c r="H320" s="2" t="str">
        <f aca="false">IF(M320="","",IF(M320=0,"—",INDEX(Нормативы!$D$1:$L$1,1,M320)))</f>
        <v/>
      </c>
      <c r="I320" s="7" t="str">
        <f aca="false">IF(M320="","",IF(M320=0,"",IF(INT(ROUND(INDEX(Нормативы!$D$2:$L$71,L320,M320)*100,0)/6000)&gt;0,INT(ROUND(INDEX(Нормативы!$D$2:$L$71,L320,M320)*100,0)/6000)&amp;":"&amp;RIGHT("0"&amp;INT(MOD(ROUND(INDEX(Нормативы!$D$2:$L$71,L320,M320)*100,0),6000)/100),2),INT(MOD(ROUND(INDEX(Нормативы!$D$2:$L$71,L320,M320)*100,0),6000)/100))&amp;"."&amp;RIGHT("0"&amp;MOD(ROUND(INDEX(Нормативы!$D$2:$L$71,L320,M320)*100,0),100),2)))</f>
        <v/>
      </c>
      <c r="J320" s="12" t="str">
        <f aca="false">IF(D320="","",SUMIFS('Базовые времена'!$D$2:$D$71,'Базовые времена'!$A$2:$A$71,B320,'Базовые времена'!$B$2:$B$71,C320,'Базовые времена'!$C$2:$C$71,D320))</f>
        <v/>
      </c>
      <c r="K320" s="12" t="str">
        <f aca="false">IF(E320="","",IF(ISNUMBER(E320),IF(E320&lt;1,E320*86400,E320),IFERROR(IF(ISNUMBER(FIND(":",SUBSTITUTE(TRIM(E320),",","."))),VALUE(LEFT(SUBSTITUTE(TRIM(E320),",","."),FIND(":",SUBSTITUTE(TRIM(E320),",","."))-1))*60+_xlfn.NUMBERVALUE(MID(SUBSTITUTE(TRIM(E320),",","."),FIND(":",SUBSTITUTE(TRIM(E320),",","."))+1,99),"."),_xlfn.NUMBERVALUE(SUBSTITUTE(TRIM(E320),",","."),".")),0)))</f>
        <v/>
      </c>
      <c r="L320" s="3" t="str">
        <f aca="false">IF(OR(D320="",N(K320)&lt;=0),"",IFERROR(MATCH(B320&amp;"|"&amp;C320&amp;"|"&amp;D320,Нормативы!$M$2:$M$71,0),""))</f>
        <v/>
      </c>
      <c r="M320" s="3" t="str">
        <f aca="false">IF(L320="","",SUMPRODUCT((INDEX(Нормативы!$D$2:$L$71,L320,0)&lt;K320)*ISNUMBER(INDEX(Нормативы!$D$2:$L$71,L320,0))))</f>
        <v/>
      </c>
    </row>
    <row r="321" customFormat="false" ht="15" hidden="false" customHeight="false" outlineLevel="0" collapsed="false">
      <c r="A321" s="5"/>
      <c r="B321" s="5"/>
      <c r="C321" s="5"/>
      <c r="D321" s="5"/>
      <c r="E321" s="14"/>
      <c r="F321" s="4" t="str">
        <f aca="false">IF(OR(J321="",K321="",N(J321)=0,N(K321)&lt;=0),"",ROUNDDOWN(1000*(J321/K321)^3,0))</f>
        <v/>
      </c>
      <c r="G321" s="4" t="str">
        <f aca="false">IF(M321="","",IF(M321+1&gt;COUNT(INDEX(Нормативы!$D$2:$L$71,L321,0)),"Разряда нет",INDEX(Нормативы!$D$1:$L$1,1,M321+1)))</f>
        <v/>
      </c>
      <c r="H321" s="2" t="str">
        <f aca="false">IF(M321="","",IF(M321=0,"—",INDEX(Нормативы!$D$1:$L$1,1,M321)))</f>
        <v/>
      </c>
      <c r="I321" s="7" t="str">
        <f aca="false">IF(M321="","",IF(M321=0,"",IF(INT(ROUND(INDEX(Нормативы!$D$2:$L$71,L321,M321)*100,0)/6000)&gt;0,INT(ROUND(INDEX(Нормативы!$D$2:$L$71,L321,M321)*100,0)/6000)&amp;":"&amp;RIGHT("0"&amp;INT(MOD(ROUND(INDEX(Нормативы!$D$2:$L$71,L321,M321)*100,0),6000)/100),2),INT(MOD(ROUND(INDEX(Нормативы!$D$2:$L$71,L321,M321)*100,0),6000)/100))&amp;"."&amp;RIGHT("0"&amp;MOD(ROUND(INDEX(Нормативы!$D$2:$L$71,L321,M321)*100,0),100),2)))</f>
        <v/>
      </c>
      <c r="J321" s="12" t="str">
        <f aca="false">IF(D321="","",SUMIFS('Базовые времена'!$D$2:$D$71,'Базовые времена'!$A$2:$A$71,B321,'Базовые времена'!$B$2:$B$71,C321,'Базовые времена'!$C$2:$C$71,D321))</f>
        <v/>
      </c>
      <c r="K321" s="12" t="str">
        <f aca="false">IF(E321="","",IF(ISNUMBER(E321),IF(E321&lt;1,E321*86400,E321),IFERROR(IF(ISNUMBER(FIND(":",SUBSTITUTE(TRIM(E321),",","."))),VALUE(LEFT(SUBSTITUTE(TRIM(E321),",","."),FIND(":",SUBSTITUTE(TRIM(E321),",","."))-1))*60+_xlfn.NUMBERVALUE(MID(SUBSTITUTE(TRIM(E321),",","."),FIND(":",SUBSTITUTE(TRIM(E321),",","."))+1,99),"."),_xlfn.NUMBERVALUE(SUBSTITUTE(TRIM(E321),",","."),".")),0)))</f>
        <v/>
      </c>
      <c r="L321" s="3" t="str">
        <f aca="false">IF(OR(D321="",N(K321)&lt;=0),"",IFERROR(MATCH(B321&amp;"|"&amp;C321&amp;"|"&amp;D321,Нормативы!$M$2:$M$71,0),""))</f>
        <v/>
      </c>
      <c r="M321" s="3" t="str">
        <f aca="false">IF(L321="","",SUMPRODUCT((INDEX(Нормативы!$D$2:$L$71,L321,0)&lt;K321)*ISNUMBER(INDEX(Нормативы!$D$2:$L$71,L321,0))))</f>
        <v/>
      </c>
    </row>
    <row r="322" customFormat="false" ht="15" hidden="false" customHeight="false" outlineLevel="0" collapsed="false">
      <c r="A322" s="5"/>
      <c r="B322" s="5"/>
      <c r="C322" s="5"/>
      <c r="D322" s="5"/>
      <c r="E322" s="14"/>
      <c r="F322" s="4" t="str">
        <f aca="false">IF(OR(J322="",K322="",N(J322)=0,N(K322)&lt;=0),"",ROUNDDOWN(1000*(J322/K322)^3,0))</f>
        <v/>
      </c>
      <c r="G322" s="4" t="str">
        <f aca="false">IF(M322="","",IF(M322+1&gt;COUNT(INDEX(Нормативы!$D$2:$L$71,L322,0)),"Разряда нет",INDEX(Нормативы!$D$1:$L$1,1,M322+1)))</f>
        <v/>
      </c>
      <c r="H322" s="2" t="str">
        <f aca="false">IF(M322="","",IF(M322=0,"—",INDEX(Нормативы!$D$1:$L$1,1,M322)))</f>
        <v/>
      </c>
      <c r="I322" s="7" t="str">
        <f aca="false">IF(M322="","",IF(M322=0,"",IF(INT(ROUND(INDEX(Нормативы!$D$2:$L$71,L322,M322)*100,0)/6000)&gt;0,INT(ROUND(INDEX(Нормативы!$D$2:$L$71,L322,M322)*100,0)/6000)&amp;":"&amp;RIGHT("0"&amp;INT(MOD(ROUND(INDEX(Нормативы!$D$2:$L$71,L322,M322)*100,0),6000)/100),2),INT(MOD(ROUND(INDEX(Нормативы!$D$2:$L$71,L322,M322)*100,0),6000)/100))&amp;"."&amp;RIGHT("0"&amp;MOD(ROUND(INDEX(Нормативы!$D$2:$L$71,L322,M322)*100,0),100),2)))</f>
        <v/>
      </c>
      <c r="J322" s="12" t="str">
        <f aca="false">IF(D322="","",SUMIFS('Базовые времена'!$D$2:$D$71,'Базовые времена'!$A$2:$A$71,B322,'Базовые времена'!$B$2:$B$71,C322,'Базовые времена'!$C$2:$C$71,D322))</f>
        <v/>
      </c>
      <c r="K322" s="12" t="str">
        <f aca="false">IF(E322="","",IF(ISNUMBER(E322),IF(E322&lt;1,E322*86400,E322),IFERROR(IF(ISNUMBER(FIND(":",SUBSTITUTE(TRIM(E322),",","."))),VALUE(LEFT(SUBSTITUTE(TRIM(E322),",","."),FIND(":",SUBSTITUTE(TRIM(E322),",","."))-1))*60+_xlfn.NUMBERVALUE(MID(SUBSTITUTE(TRIM(E322),",","."),FIND(":",SUBSTITUTE(TRIM(E322),",","."))+1,99),"."),_xlfn.NUMBERVALUE(SUBSTITUTE(TRIM(E322),",","."),".")),0)))</f>
        <v/>
      </c>
      <c r="L322" s="3" t="str">
        <f aca="false">IF(OR(D322="",N(K322)&lt;=0),"",IFERROR(MATCH(B322&amp;"|"&amp;C322&amp;"|"&amp;D322,Нормативы!$M$2:$M$71,0),""))</f>
        <v/>
      </c>
      <c r="M322" s="3" t="str">
        <f aca="false">IF(L322="","",SUMPRODUCT((INDEX(Нормативы!$D$2:$L$71,L322,0)&lt;K322)*ISNUMBER(INDEX(Нормативы!$D$2:$L$71,L322,0))))</f>
        <v/>
      </c>
    </row>
    <row r="323" customFormat="false" ht="15" hidden="false" customHeight="false" outlineLevel="0" collapsed="false">
      <c r="A323" s="5"/>
      <c r="B323" s="5"/>
      <c r="C323" s="5"/>
      <c r="D323" s="5"/>
      <c r="E323" s="14"/>
      <c r="F323" s="4" t="str">
        <f aca="false">IF(OR(J323="",K323="",N(J323)=0,N(K323)&lt;=0),"",ROUNDDOWN(1000*(J323/K323)^3,0))</f>
        <v/>
      </c>
      <c r="G323" s="4" t="str">
        <f aca="false">IF(M323="","",IF(M323+1&gt;COUNT(INDEX(Нормативы!$D$2:$L$71,L323,0)),"Разряда нет",INDEX(Нормативы!$D$1:$L$1,1,M323+1)))</f>
        <v/>
      </c>
      <c r="H323" s="2" t="str">
        <f aca="false">IF(M323="","",IF(M323=0,"—",INDEX(Нормативы!$D$1:$L$1,1,M323)))</f>
        <v/>
      </c>
      <c r="I323" s="7" t="str">
        <f aca="false">IF(M323="","",IF(M323=0,"",IF(INT(ROUND(INDEX(Нормативы!$D$2:$L$71,L323,M323)*100,0)/6000)&gt;0,INT(ROUND(INDEX(Нормативы!$D$2:$L$71,L323,M323)*100,0)/6000)&amp;":"&amp;RIGHT("0"&amp;INT(MOD(ROUND(INDEX(Нормативы!$D$2:$L$71,L323,M323)*100,0),6000)/100),2),INT(MOD(ROUND(INDEX(Нормативы!$D$2:$L$71,L323,M323)*100,0),6000)/100))&amp;"."&amp;RIGHT("0"&amp;MOD(ROUND(INDEX(Нормативы!$D$2:$L$71,L323,M323)*100,0),100),2)))</f>
        <v/>
      </c>
      <c r="J323" s="12" t="str">
        <f aca="false">IF(D323="","",SUMIFS('Базовые времена'!$D$2:$D$71,'Базовые времена'!$A$2:$A$71,B323,'Базовые времена'!$B$2:$B$71,C323,'Базовые времена'!$C$2:$C$71,D323))</f>
        <v/>
      </c>
      <c r="K323" s="12" t="str">
        <f aca="false">IF(E323="","",IF(ISNUMBER(E323),IF(E323&lt;1,E323*86400,E323),IFERROR(IF(ISNUMBER(FIND(":",SUBSTITUTE(TRIM(E323),",","."))),VALUE(LEFT(SUBSTITUTE(TRIM(E323),",","."),FIND(":",SUBSTITUTE(TRIM(E323),",","."))-1))*60+_xlfn.NUMBERVALUE(MID(SUBSTITUTE(TRIM(E323),",","."),FIND(":",SUBSTITUTE(TRIM(E323),",","."))+1,99),"."),_xlfn.NUMBERVALUE(SUBSTITUTE(TRIM(E323),",","."),".")),0)))</f>
        <v/>
      </c>
      <c r="L323" s="3" t="str">
        <f aca="false">IF(OR(D323="",N(K323)&lt;=0),"",IFERROR(MATCH(B323&amp;"|"&amp;C323&amp;"|"&amp;D323,Нормативы!$M$2:$M$71,0),""))</f>
        <v/>
      </c>
      <c r="M323" s="3" t="str">
        <f aca="false">IF(L323="","",SUMPRODUCT((INDEX(Нормативы!$D$2:$L$71,L323,0)&lt;K323)*ISNUMBER(INDEX(Нормативы!$D$2:$L$71,L323,0))))</f>
        <v/>
      </c>
    </row>
    <row r="324" customFormat="false" ht="15" hidden="false" customHeight="false" outlineLevel="0" collapsed="false">
      <c r="A324" s="5"/>
      <c r="B324" s="5"/>
      <c r="C324" s="5"/>
      <c r="D324" s="5"/>
      <c r="E324" s="14"/>
      <c r="F324" s="4" t="str">
        <f aca="false">IF(OR(J324="",K324="",N(J324)=0,N(K324)&lt;=0),"",ROUNDDOWN(1000*(J324/K324)^3,0))</f>
        <v/>
      </c>
      <c r="G324" s="4" t="str">
        <f aca="false">IF(M324="","",IF(M324+1&gt;COUNT(INDEX(Нормативы!$D$2:$L$71,L324,0)),"Разряда нет",INDEX(Нормативы!$D$1:$L$1,1,M324+1)))</f>
        <v/>
      </c>
      <c r="H324" s="2" t="str">
        <f aca="false">IF(M324="","",IF(M324=0,"—",INDEX(Нормативы!$D$1:$L$1,1,M324)))</f>
        <v/>
      </c>
      <c r="I324" s="7" t="str">
        <f aca="false">IF(M324="","",IF(M324=0,"",IF(INT(ROUND(INDEX(Нормативы!$D$2:$L$71,L324,M324)*100,0)/6000)&gt;0,INT(ROUND(INDEX(Нормативы!$D$2:$L$71,L324,M324)*100,0)/6000)&amp;":"&amp;RIGHT("0"&amp;INT(MOD(ROUND(INDEX(Нормативы!$D$2:$L$71,L324,M324)*100,0),6000)/100),2),INT(MOD(ROUND(INDEX(Нормативы!$D$2:$L$71,L324,M324)*100,0),6000)/100))&amp;"."&amp;RIGHT("0"&amp;MOD(ROUND(INDEX(Нормативы!$D$2:$L$71,L324,M324)*100,0),100),2)))</f>
        <v/>
      </c>
      <c r="J324" s="12" t="str">
        <f aca="false">IF(D324="","",SUMIFS('Базовые времена'!$D$2:$D$71,'Базовые времена'!$A$2:$A$71,B324,'Базовые времена'!$B$2:$B$71,C324,'Базовые времена'!$C$2:$C$71,D324))</f>
        <v/>
      </c>
      <c r="K324" s="12" t="str">
        <f aca="false">IF(E324="","",IF(ISNUMBER(E324),IF(E324&lt;1,E324*86400,E324),IFERROR(IF(ISNUMBER(FIND(":",SUBSTITUTE(TRIM(E324),",","."))),VALUE(LEFT(SUBSTITUTE(TRIM(E324),",","."),FIND(":",SUBSTITUTE(TRIM(E324),",","."))-1))*60+_xlfn.NUMBERVALUE(MID(SUBSTITUTE(TRIM(E324),",","."),FIND(":",SUBSTITUTE(TRIM(E324),",","."))+1,99),"."),_xlfn.NUMBERVALUE(SUBSTITUTE(TRIM(E324),",","."),".")),0)))</f>
        <v/>
      </c>
      <c r="L324" s="3" t="str">
        <f aca="false">IF(OR(D324="",N(K324)&lt;=0),"",IFERROR(MATCH(B324&amp;"|"&amp;C324&amp;"|"&amp;D324,Нормативы!$M$2:$M$71,0),""))</f>
        <v/>
      </c>
      <c r="M324" s="3" t="str">
        <f aca="false">IF(L324="","",SUMPRODUCT((INDEX(Нормативы!$D$2:$L$71,L324,0)&lt;K324)*ISNUMBER(INDEX(Нормативы!$D$2:$L$71,L324,0))))</f>
        <v/>
      </c>
    </row>
    <row r="325" customFormat="false" ht="15" hidden="false" customHeight="false" outlineLevel="0" collapsed="false">
      <c r="A325" s="5"/>
      <c r="B325" s="5"/>
      <c r="C325" s="5"/>
      <c r="D325" s="5"/>
      <c r="E325" s="14"/>
      <c r="F325" s="4" t="str">
        <f aca="false">IF(OR(J325="",K325="",N(J325)=0,N(K325)&lt;=0),"",ROUNDDOWN(1000*(J325/K325)^3,0))</f>
        <v/>
      </c>
      <c r="G325" s="4" t="str">
        <f aca="false">IF(M325="","",IF(M325+1&gt;COUNT(INDEX(Нормативы!$D$2:$L$71,L325,0)),"Разряда нет",INDEX(Нормативы!$D$1:$L$1,1,M325+1)))</f>
        <v/>
      </c>
      <c r="H325" s="2" t="str">
        <f aca="false">IF(M325="","",IF(M325=0,"—",INDEX(Нормативы!$D$1:$L$1,1,M325)))</f>
        <v/>
      </c>
      <c r="I325" s="7" t="str">
        <f aca="false">IF(M325="","",IF(M325=0,"",IF(INT(ROUND(INDEX(Нормативы!$D$2:$L$71,L325,M325)*100,0)/6000)&gt;0,INT(ROUND(INDEX(Нормативы!$D$2:$L$71,L325,M325)*100,0)/6000)&amp;":"&amp;RIGHT("0"&amp;INT(MOD(ROUND(INDEX(Нормативы!$D$2:$L$71,L325,M325)*100,0),6000)/100),2),INT(MOD(ROUND(INDEX(Нормативы!$D$2:$L$71,L325,M325)*100,0),6000)/100))&amp;"."&amp;RIGHT("0"&amp;MOD(ROUND(INDEX(Нормативы!$D$2:$L$71,L325,M325)*100,0),100),2)))</f>
        <v/>
      </c>
      <c r="J325" s="12" t="str">
        <f aca="false">IF(D325="","",SUMIFS('Базовые времена'!$D$2:$D$71,'Базовые времена'!$A$2:$A$71,B325,'Базовые времена'!$B$2:$B$71,C325,'Базовые времена'!$C$2:$C$71,D325))</f>
        <v/>
      </c>
      <c r="K325" s="12" t="str">
        <f aca="false">IF(E325="","",IF(ISNUMBER(E325),IF(E325&lt;1,E325*86400,E325),IFERROR(IF(ISNUMBER(FIND(":",SUBSTITUTE(TRIM(E325),",","."))),VALUE(LEFT(SUBSTITUTE(TRIM(E325),",","."),FIND(":",SUBSTITUTE(TRIM(E325),",","."))-1))*60+_xlfn.NUMBERVALUE(MID(SUBSTITUTE(TRIM(E325),",","."),FIND(":",SUBSTITUTE(TRIM(E325),",","."))+1,99),"."),_xlfn.NUMBERVALUE(SUBSTITUTE(TRIM(E325),",","."),".")),0)))</f>
        <v/>
      </c>
      <c r="L325" s="3" t="str">
        <f aca="false">IF(OR(D325="",N(K325)&lt;=0),"",IFERROR(MATCH(B325&amp;"|"&amp;C325&amp;"|"&amp;D325,Нормативы!$M$2:$M$71,0),""))</f>
        <v/>
      </c>
      <c r="M325" s="3" t="str">
        <f aca="false">IF(L325="","",SUMPRODUCT((INDEX(Нормативы!$D$2:$L$71,L325,0)&lt;K325)*ISNUMBER(INDEX(Нормативы!$D$2:$L$71,L325,0))))</f>
        <v/>
      </c>
    </row>
    <row r="326" customFormat="false" ht="15" hidden="false" customHeight="false" outlineLevel="0" collapsed="false">
      <c r="A326" s="5"/>
      <c r="B326" s="5"/>
      <c r="C326" s="5"/>
      <c r="D326" s="5"/>
      <c r="E326" s="14"/>
      <c r="F326" s="4" t="str">
        <f aca="false">IF(OR(J326="",K326="",N(J326)=0,N(K326)&lt;=0),"",ROUNDDOWN(1000*(J326/K326)^3,0))</f>
        <v/>
      </c>
      <c r="G326" s="4" t="str">
        <f aca="false">IF(M326="","",IF(M326+1&gt;COUNT(INDEX(Нормативы!$D$2:$L$71,L326,0)),"Разряда нет",INDEX(Нормативы!$D$1:$L$1,1,M326+1)))</f>
        <v/>
      </c>
      <c r="H326" s="2" t="str">
        <f aca="false">IF(M326="","",IF(M326=0,"—",INDEX(Нормативы!$D$1:$L$1,1,M326)))</f>
        <v/>
      </c>
      <c r="I326" s="7" t="str">
        <f aca="false">IF(M326="","",IF(M326=0,"",IF(INT(ROUND(INDEX(Нормативы!$D$2:$L$71,L326,M326)*100,0)/6000)&gt;0,INT(ROUND(INDEX(Нормативы!$D$2:$L$71,L326,M326)*100,0)/6000)&amp;":"&amp;RIGHT("0"&amp;INT(MOD(ROUND(INDEX(Нормативы!$D$2:$L$71,L326,M326)*100,0),6000)/100),2),INT(MOD(ROUND(INDEX(Нормативы!$D$2:$L$71,L326,M326)*100,0),6000)/100))&amp;"."&amp;RIGHT("0"&amp;MOD(ROUND(INDEX(Нормативы!$D$2:$L$71,L326,M326)*100,0),100),2)))</f>
        <v/>
      </c>
      <c r="J326" s="12" t="str">
        <f aca="false">IF(D326="","",SUMIFS('Базовые времена'!$D$2:$D$71,'Базовые времена'!$A$2:$A$71,B326,'Базовые времена'!$B$2:$B$71,C326,'Базовые времена'!$C$2:$C$71,D326))</f>
        <v/>
      </c>
      <c r="K326" s="12" t="str">
        <f aca="false">IF(E326="","",IF(ISNUMBER(E326),IF(E326&lt;1,E326*86400,E326),IFERROR(IF(ISNUMBER(FIND(":",SUBSTITUTE(TRIM(E326),",","."))),VALUE(LEFT(SUBSTITUTE(TRIM(E326),",","."),FIND(":",SUBSTITUTE(TRIM(E326),",","."))-1))*60+_xlfn.NUMBERVALUE(MID(SUBSTITUTE(TRIM(E326),",","."),FIND(":",SUBSTITUTE(TRIM(E326),",","."))+1,99),"."),_xlfn.NUMBERVALUE(SUBSTITUTE(TRIM(E326),",","."),".")),0)))</f>
        <v/>
      </c>
      <c r="L326" s="3" t="str">
        <f aca="false">IF(OR(D326="",N(K326)&lt;=0),"",IFERROR(MATCH(B326&amp;"|"&amp;C326&amp;"|"&amp;D326,Нормативы!$M$2:$M$71,0),""))</f>
        <v/>
      </c>
      <c r="M326" s="3" t="str">
        <f aca="false">IF(L326="","",SUMPRODUCT((INDEX(Нормативы!$D$2:$L$71,L326,0)&lt;K326)*ISNUMBER(INDEX(Нормативы!$D$2:$L$71,L326,0))))</f>
        <v/>
      </c>
    </row>
    <row r="327" customFormat="false" ht="15" hidden="false" customHeight="false" outlineLevel="0" collapsed="false">
      <c r="A327" s="5"/>
      <c r="B327" s="5"/>
      <c r="C327" s="5"/>
      <c r="D327" s="5"/>
      <c r="E327" s="14"/>
      <c r="F327" s="4" t="str">
        <f aca="false">IF(OR(J327="",K327="",N(J327)=0,N(K327)&lt;=0),"",ROUNDDOWN(1000*(J327/K327)^3,0))</f>
        <v/>
      </c>
      <c r="G327" s="4" t="str">
        <f aca="false">IF(M327="","",IF(M327+1&gt;COUNT(INDEX(Нормативы!$D$2:$L$71,L327,0)),"Разряда нет",INDEX(Нормативы!$D$1:$L$1,1,M327+1)))</f>
        <v/>
      </c>
      <c r="H327" s="2" t="str">
        <f aca="false">IF(M327="","",IF(M327=0,"—",INDEX(Нормативы!$D$1:$L$1,1,M327)))</f>
        <v/>
      </c>
      <c r="I327" s="7" t="str">
        <f aca="false">IF(M327="","",IF(M327=0,"",IF(INT(ROUND(INDEX(Нормативы!$D$2:$L$71,L327,M327)*100,0)/6000)&gt;0,INT(ROUND(INDEX(Нормативы!$D$2:$L$71,L327,M327)*100,0)/6000)&amp;":"&amp;RIGHT("0"&amp;INT(MOD(ROUND(INDEX(Нормативы!$D$2:$L$71,L327,M327)*100,0),6000)/100),2),INT(MOD(ROUND(INDEX(Нормативы!$D$2:$L$71,L327,M327)*100,0),6000)/100))&amp;"."&amp;RIGHT("0"&amp;MOD(ROUND(INDEX(Нормативы!$D$2:$L$71,L327,M327)*100,0),100),2)))</f>
        <v/>
      </c>
      <c r="J327" s="12" t="str">
        <f aca="false">IF(D327="","",SUMIFS('Базовые времена'!$D$2:$D$71,'Базовые времена'!$A$2:$A$71,B327,'Базовые времена'!$B$2:$B$71,C327,'Базовые времена'!$C$2:$C$71,D327))</f>
        <v/>
      </c>
      <c r="K327" s="12" t="str">
        <f aca="false">IF(E327="","",IF(ISNUMBER(E327),IF(E327&lt;1,E327*86400,E327),IFERROR(IF(ISNUMBER(FIND(":",SUBSTITUTE(TRIM(E327),",","."))),VALUE(LEFT(SUBSTITUTE(TRIM(E327),",","."),FIND(":",SUBSTITUTE(TRIM(E327),",","."))-1))*60+_xlfn.NUMBERVALUE(MID(SUBSTITUTE(TRIM(E327),",","."),FIND(":",SUBSTITUTE(TRIM(E327),",","."))+1,99),"."),_xlfn.NUMBERVALUE(SUBSTITUTE(TRIM(E327),",","."),".")),0)))</f>
        <v/>
      </c>
      <c r="L327" s="3" t="str">
        <f aca="false">IF(OR(D327="",N(K327)&lt;=0),"",IFERROR(MATCH(B327&amp;"|"&amp;C327&amp;"|"&amp;D327,Нормативы!$M$2:$M$71,0),""))</f>
        <v/>
      </c>
      <c r="M327" s="3" t="str">
        <f aca="false">IF(L327="","",SUMPRODUCT((INDEX(Нормативы!$D$2:$L$71,L327,0)&lt;K327)*ISNUMBER(INDEX(Нормативы!$D$2:$L$71,L327,0))))</f>
        <v/>
      </c>
    </row>
    <row r="328" customFormat="false" ht="15" hidden="false" customHeight="false" outlineLevel="0" collapsed="false">
      <c r="A328" s="5"/>
      <c r="B328" s="5"/>
      <c r="C328" s="5"/>
      <c r="D328" s="5"/>
      <c r="E328" s="14"/>
      <c r="F328" s="4" t="str">
        <f aca="false">IF(OR(J328="",K328="",N(J328)=0,N(K328)&lt;=0),"",ROUNDDOWN(1000*(J328/K328)^3,0))</f>
        <v/>
      </c>
      <c r="G328" s="4" t="str">
        <f aca="false">IF(M328="","",IF(M328+1&gt;COUNT(INDEX(Нормативы!$D$2:$L$71,L328,0)),"Разряда нет",INDEX(Нормативы!$D$1:$L$1,1,M328+1)))</f>
        <v/>
      </c>
      <c r="H328" s="2" t="str">
        <f aca="false">IF(M328="","",IF(M328=0,"—",INDEX(Нормативы!$D$1:$L$1,1,M328)))</f>
        <v/>
      </c>
      <c r="I328" s="7" t="str">
        <f aca="false">IF(M328="","",IF(M328=0,"",IF(INT(ROUND(INDEX(Нормативы!$D$2:$L$71,L328,M328)*100,0)/6000)&gt;0,INT(ROUND(INDEX(Нормативы!$D$2:$L$71,L328,M328)*100,0)/6000)&amp;":"&amp;RIGHT("0"&amp;INT(MOD(ROUND(INDEX(Нормативы!$D$2:$L$71,L328,M328)*100,0),6000)/100),2),INT(MOD(ROUND(INDEX(Нормативы!$D$2:$L$71,L328,M328)*100,0),6000)/100))&amp;"."&amp;RIGHT("0"&amp;MOD(ROUND(INDEX(Нормативы!$D$2:$L$71,L328,M328)*100,0),100),2)))</f>
        <v/>
      </c>
      <c r="J328" s="12" t="str">
        <f aca="false">IF(D328="","",SUMIFS('Базовые времена'!$D$2:$D$71,'Базовые времена'!$A$2:$A$71,B328,'Базовые времена'!$B$2:$B$71,C328,'Базовые времена'!$C$2:$C$71,D328))</f>
        <v/>
      </c>
      <c r="K328" s="12" t="str">
        <f aca="false">IF(E328="","",IF(ISNUMBER(E328),IF(E328&lt;1,E328*86400,E328),IFERROR(IF(ISNUMBER(FIND(":",SUBSTITUTE(TRIM(E328),",","."))),VALUE(LEFT(SUBSTITUTE(TRIM(E328),",","."),FIND(":",SUBSTITUTE(TRIM(E328),",","."))-1))*60+_xlfn.NUMBERVALUE(MID(SUBSTITUTE(TRIM(E328),",","."),FIND(":",SUBSTITUTE(TRIM(E328),",","."))+1,99),"."),_xlfn.NUMBERVALUE(SUBSTITUTE(TRIM(E328),",","."),".")),0)))</f>
        <v/>
      </c>
      <c r="L328" s="3" t="str">
        <f aca="false">IF(OR(D328="",N(K328)&lt;=0),"",IFERROR(MATCH(B328&amp;"|"&amp;C328&amp;"|"&amp;D328,Нормативы!$M$2:$M$71,0),""))</f>
        <v/>
      </c>
      <c r="M328" s="3" t="str">
        <f aca="false">IF(L328="","",SUMPRODUCT((INDEX(Нормативы!$D$2:$L$71,L328,0)&lt;K328)*ISNUMBER(INDEX(Нормативы!$D$2:$L$71,L328,0))))</f>
        <v/>
      </c>
    </row>
    <row r="329" customFormat="false" ht="15" hidden="false" customHeight="false" outlineLevel="0" collapsed="false">
      <c r="A329" s="5"/>
      <c r="B329" s="5"/>
      <c r="C329" s="5"/>
      <c r="D329" s="5"/>
      <c r="E329" s="14"/>
      <c r="F329" s="4" t="str">
        <f aca="false">IF(OR(J329="",K329="",N(J329)=0,N(K329)&lt;=0),"",ROUNDDOWN(1000*(J329/K329)^3,0))</f>
        <v/>
      </c>
      <c r="G329" s="4" t="str">
        <f aca="false">IF(M329="","",IF(M329+1&gt;COUNT(INDEX(Нормативы!$D$2:$L$71,L329,0)),"Разряда нет",INDEX(Нормативы!$D$1:$L$1,1,M329+1)))</f>
        <v/>
      </c>
      <c r="H329" s="2" t="str">
        <f aca="false">IF(M329="","",IF(M329=0,"—",INDEX(Нормативы!$D$1:$L$1,1,M329)))</f>
        <v/>
      </c>
      <c r="I329" s="7" t="str">
        <f aca="false">IF(M329="","",IF(M329=0,"",IF(INT(ROUND(INDEX(Нормативы!$D$2:$L$71,L329,M329)*100,0)/6000)&gt;0,INT(ROUND(INDEX(Нормативы!$D$2:$L$71,L329,M329)*100,0)/6000)&amp;":"&amp;RIGHT("0"&amp;INT(MOD(ROUND(INDEX(Нормативы!$D$2:$L$71,L329,M329)*100,0),6000)/100),2),INT(MOD(ROUND(INDEX(Нормативы!$D$2:$L$71,L329,M329)*100,0),6000)/100))&amp;"."&amp;RIGHT("0"&amp;MOD(ROUND(INDEX(Нормативы!$D$2:$L$71,L329,M329)*100,0),100),2)))</f>
        <v/>
      </c>
      <c r="J329" s="12" t="str">
        <f aca="false">IF(D329="","",SUMIFS('Базовые времена'!$D$2:$D$71,'Базовые времена'!$A$2:$A$71,B329,'Базовые времена'!$B$2:$B$71,C329,'Базовые времена'!$C$2:$C$71,D329))</f>
        <v/>
      </c>
      <c r="K329" s="12" t="str">
        <f aca="false">IF(E329="","",IF(ISNUMBER(E329),IF(E329&lt;1,E329*86400,E329),IFERROR(IF(ISNUMBER(FIND(":",SUBSTITUTE(TRIM(E329),",","."))),VALUE(LEFT(SUBSTITUTE(TRIM(E329),",","."),FIND(":",SUBSTITUTE(TRIM(E329),",","."))-1))*60+_xlfn.NUMBERVALUE(MID(SUBSTITUTE(TRIM(E329),",","."),FIND(":",SUBSTITUTE(TRIM(E329),",","."))+1,99),"."),_xlfn.NUMBERVALUE(SUBSTITUTE(TRIM(E329),",","."),".")),0)))</f>
        <v/>
      </c>
      <c r="L329" s="3" t="str">
        <f aca="false">IF(OR(D329="",N(K329)&lt;=0),"",IFERROR(MATCH(B329&amp;"|"&amp;C329&amp;"|"&amp;D329,Нормативы!$M$2:$M$71,0),""))</f>
        <v/>
      </c>
      <c r="M329" s="3" t="str">
        <f aca="false">IF(L329="","",SUMPRODUCT((INDEX(Нормативы!$D$2:$L$71,L329,0)&lt;K329)*ISNUMBER(INDEX(Нормативы!$D$2:$L$71,L329,0))))</f>
        <v/>
      </c>
    </row>
    <row r="330" customFormat="false" ht="15" hidden="false" customHeight="false" outlineLevel="0" collapsed="false">
      <c r="A330" s="5"/>
      <c r="B330" s="5"/>
      <c r="C330" s="5"/>
      <c r="D330" s="5"/>
      <c r="E330" s="14"/>
      <c r="F330" s="4" t="str">
        <f aca="false">IF(OR(J330="",K330="",N(J330)=0,N(K330)&lt;=0),"",ROUNDDOWN(1000*(J330/K330)^3,0))</f>
        <v/>
      </c>
      <c r="G330" s="4" t="str">
        <f aca="false">IF(M330="","",IF(M330+1&gt;COUNT(INDEX(Нормативы!$D$2:$L$71,L330,0)),"Разряда нет",INDEX(Нормативы!$D$1:$L$1,1,M330+1)))</f>
        <v/>
      </c>
      <c r="H330" s="2" t="str">
        <f aca="false">IF(M330="","",IF(M330=0,"—",INDEX(Нормативы!$D$1:$L$1,1,M330)))</f>
        <v/>
      </c>
      <c r="I330" s="7" t="str">
        <f aca="false">IF(M330="","",IF(M330=0,"",IF(INT(ROUND(INDEX(Нормативы!$D$2:$L$71,L330,M330)*100,0)/6000)&gt;0,INT(ROUND(INDEX(Нормативы!$D$2:$L$71,L330,M330)*100,0)/6000)&amp;":"&amp;RIGHT("0"&amp;INT(MOD(ROUND(INDEX(Нормативы!$D$2:$L$71,L330,M330)*100,0),6000)/100),2),INT(MOD(ROUND(INDEX(Нормативы!$D$2:$L$71,L330,M330)*100,0),6000)/100))&amp;"."&amp;RIGHT("0"&amp;MOD(ROUND(INDEX(Нормативы!$D$2:$L$71,L330,M330)*100,0),100),2)))</f>
        <v/>
      </c>
      <c r="J330" s="12" t="str">
        <f aca="false">IF(D330="","",SUMIFS('Базовые времена'!$D$2:$D$71,'Базовые времена'!$A$2:$A$71,B330,'Базовые времена'!$B$2:$B$71,C330,'Базовые времена'!$C$2:$C$71,D330))</f>
        <v/>
      </c>
      <c r="K330" s="12" t="str">
        <f aca="false">IF(E330="","",IF(ISNUMBER(E330),IF(E330&lt;1,E330*86400,E330),IFERROR(IF(ISNUMBER(FIND(":",SUBSTITUTE(TRIM(E330),",","."))),VALUE(LEFT(SUBSTITUTE(TRIM(E330),",","."),FIND(":",SUBSTITUTE(TRIM(E330),",","."))-1))*60+_xlfn.NUMBERVALUE(MID(SUBSTITUTE(TRIM(E330),",","."),FIND(":",SUBSTITUTE(TRIM(E330),",","."))+1,99),"."),_xlfn.NUMBERVALUE(SUBSTITUTE(TRIM(E330),",","."),".")),0)))</f>
        <v/>
      </c>
      <c r="L330" s="3" t="str">
        <f aca="false">IF(OR(D330="",N(K330)&lt;=0),"",IFERROR(MATCH(B330&amp;"|"&amp;C330&amp;"|"&amp;D330,Нормативы!$M$2:$M$71,0),""))</f>
        <v/>
      </c>
      <c r="M330" s="3" t="str">
        <f aca="false">IF(L330="","",SUMPRODUCT((INDEX(Нормативы!$D$2:$L$71,L330,0)&lt;K330)*ISNUMBER(INDEX(Нормативы!$D$2:$L$71,L330,0))))</f>
        <v/>
      </c>
    </row>
    <row r="331" customFormat="false" ht="15" hidden="false" customHeight="false" outlineLevel="0" collapsed="false">
      <c r="A331" s="5"/>
      <c r="B331" s="5"/>
      <c r="C331" s="5"/>
      <c r="D331" s="5"/>
      <c r="E331" s="14"/>
      <c r="F331" s="4" t="str">
        <f aca="false">IF(OR(J331="",K331="",N(J331)=0,N(K331)&lt;=0),"",ROUNDDOWN(1000*(J331/K331)^3,0))</f>
        <v/>
      </c>
      <c r="G331" s="4" t="str">
        <f aca="false">IF(M331="","",IF(M331+1&gt;COUNT(INDEX(Нормативы!$D$2:$L$71,L331,0)),"Разряда нет",INDEX(Нормативы!$D$1:$L$1,1,M331+1)))</f>
        <v/>
      </c>
      <c r="H331" s="2" t="str">
        <f aca="false">IF(M331="","",IF(M331=0,"—",INDEX(Нормативы!$D$1:$L$1,1,M331)))</f>
        <v/>
      </c>
      <c r="I331" s="7" t="str">
        <f aca="false">IF(M331="","",IF(M331=0,"",IF(INT(ROUND(INDEX(Нормативы!$D$2:$L$71,L331,M331)*100,0)/6000)&gt;0,INT(ROUND(INDEX(Нормативы!$D$2:$L$71,L331,M331)*100,0)/6000)&amp;":"&amp;RIGHT("0"&amp;INT(MOD(ROUND(INDEX(Нормативы!$D$2:$L$71,L331,M331)*100,0),6000)/100),2),INT(MOD(ROUND(INDEX(Нормативы!$D$2:$L$71,L331,M331)*100,0),6000)/100))&amp;"."&amp;RIGHT("0"&amp;MOD(ROUND(INDEX(Нормативы!$D$2:$L$71,L331,M331)*100,0),100),2)))</f>
        <v/>
      </c>
      <c r="J331" s="12" t="str">
        <f aca="false">IF(D331="","",SUMIFS('Базовые времена'!$D$2:$D$71,'Базовые времена'!$A$2:$A$71,B331,'Базовые времена'!$B$2:$B$71,C331,'Базовые времена'!$C$2:$C$71,D331))</f>
        <v/>
      </c>
      <c r="K331" s="12" t="str">
        <f aca="false">IF(E331="","",IF(ISNUMBER(E331),IF(E331&lt;1,E331*86400,E331),IFERROR(IF(ISNUMBER(FIND(":",SUBSTITUTE(TRIM(E331),",","."))),VALUE(LEFT(SUBSTITUTE(TRIM(E331),",","."),FIND(":",SUBSTITUTE(TRIM(E331),",","."))-1))*60+_xlfn.NUMBERVALUE(MID(SUBSTITUTE(TRIM(E331),",","."),FIND(":",SUBSTITUTE(TRIM(E331),",","."))+1,99),"."),_xlfn.NUMBERVALUE(SUBSTITUTE(TRIM(E331),",","."),".")),0)))</f>
        <v/>
      </c>
      <c r="L331" s="3" t="str">
        <f aca="false">IF(OR(D331="",N(K331)&lt;=0),"",IFERROR(MATCH(B331&amp;"|"&amp;C331&amp;"|"&amp;D331,Нормативы!$M$2:$M$71,0),""))</f>
        <v/>
      </c>
      <c r="M331" s="3" t="str">
        <f aca="false">IF(L331="","",SUMPRODUCT((INDEX(Нормативы!$D$2:$L$71,L331,0)&lt;K331)*ISNUMBER(INDEX(Нормативы!$D$2:$L$71,L331,0))))</f>
        <v/>
      </c>
    </row>
    <row r="332" customFormat="false" ht="15" hidden="false" customHeight="false" outlineLevel="0" collapsed="false">
      <c r="A332" s="5"/>
      <c r="B332" s="5"/>
      <c r="C332" s="5"/>
      <c r="D332" s="5"/>
      <c r="E332" s="14"/>
      <c r="F332" s="4" t="str">
        <f aca="false">IF(OR(J332="",K332="",N(J332)=0,N(K332)&lt;=0),"",ROUNDDOWN(1000*(J332/K332)^3,0))</f>
        <v/>
      </c>
      <c r="G332" s="4" t="str">
        <f aca="false">IF(M332="","",IF(M332+1&gt;COUNT(INDEX(Нормативы!$D$2:$L$71,L332,0)),"Разряда нет",INDEX(Нормативы!$D$1:$L$1,1,M332+1)))</f>
        <v/>
      </c>
      <c r="H332" s="2" t="str">
        <f aca="false">IF(M332="","",IF(M332=0,"—",INDEX(Нормативы!$D$1:$L$1,1,M332)))</f>
        <v/>
      </c>
      <c r="I332" s="7" t="str">
        <f aca="false">IF(M332="","",IF(M332=0,"",IF(INT(ROUND(INDEX(Нормативы!$D$2:$L$71,L332,M332)*100,0)/6000)&gt;0,INT(ROUND(INDEX(Нормативы!$D$2:$L$71,L332,M332)*100,0)/6000)&amp;":"&amp;RIGHT("0"&amp;INT(MOD(ROUND(INDEX(Нормативы!$D$2:$L$71,L332,M332)*100,0),6000)/100),2),INT(MOD(ROUND(INDEX(Нормативы!$D$2:$L$71,L332,M332)*100,0),6000)/100))&amp;"."&amp;RIGHT("0"&amp;MOD(ROUND(INDEX(Нормативы!$D$2:$L$71,L332,M332)*100,0),100),2)))</f>
        <v/>
      </c>
      <c r="J332" s="12" t="str">
        <f aca="false">IF(D332="","",SUMIFS('Базовые времена'!$D$2:$D$71,'Базовые времена'!$A$2:$A$71,B332,'Базовые времена'!$B$2:$B$71,C332,'Базовые времена'!$C$2:$C$71,D332))</f>
        <v/>
      </c>
      <c r="K332" s="12" t="str">
        <f aca="false">IF(E332="","",IF(ISNUMBER(E332),IF(E332&lt;1,E332*86400,E332),IFERROR(IF(ISNUMBER(FIND(":",SUBSTITUTE(TRIM(E332),",","."))),VALUE(LEFT(SUBSTITUTE(TRIM(E332),",","."),FIND(":",SUBSTITUTE(TRIM(E332),",","."))-1))*60+_xlfn.NUMBERVALUE(MID(SUBSTITUTE(TRIM(E332),",","."),FIND(":",SUBSTITUTE(TRIM(E332),",","."))+1,99),"."),_xlfn.NUMBERVALUE(SUBSTITUTE(TRIM(E332),",","."),".")),0)))</f>
        <v/>
      </c>
      <c r="L332" s="3" t="str">
        <f aca="false">IF(OR(D332="",N(K332)&lt;=0),"",IFERROR(MATCH(B332&amp;"|"&amp;C332&amp;"|"&amp;D332,Нормативы!$M$2:$M$71,0),""))</f>
        <v/>
      </c>
      <c r="M332" s="3" t="str">
        <f aca="false">IF(L332="","",SUMPRODUCT((INDEX(Нормативы!$D$2:$L$71,L332,0)&lt;K332)*ISNUMBER(INDEX(Нормативы!$D$2:$L$71,L332,0))))</f>
        <v/>
      </c>
    </row>
    <row r="333" customFormat="false" ht="15" hidden="false" customHeight="false" outlineLevel="0" collapsed="false">
      <c r="A333" s="5"/>
      <c r="B333" s="5"/>
      <c r="C333" s="5"/>
      <c r="D333" s="5"/>
      <c r="E333" s="14"/>
      <c r="F333" s="4" t="str">
        <f aca="false">IF(OR(J333="",K333="",N(J333)=0,N(K333)&lt;=0),"",ROUNDDOWN(1000*(J333/K333)^3,0))</f>
        <v/>
      </c>
      <c r="G333" s="4" t="str">
        <f aca="false">IF(M333="","",IF(M333+1&gt;COUNT(INDEX(Нормативы!$D$2:$L$71,L333,0)),"Разряда нет",INDEX(Нормативы!$D$1:$L$1,1,M333+1)))</f>
        <v/>
      </c>
      <c r="H333" s="2" t="str">
        <f aca="false">IF(M333="","",IF(M333=0,"—",INDEX(Нормативы!$D$1:$L$1,1,M333)))</f>
        <v/>
      </c>
      <c r="I333" s="7" t="str">
        <f aca="false">IF(M333="","",IF(M333=0,"",IF(INT(ROUND(INDEX(Нормативы!$D$2:$L$71,L333,M333)*100,0)/6000)&gt;0,INT(ROUND(INDEX(Нормативы!$D$2:$L$71,L333,M333)*100,0)/6000)&amp;":"&amp;RIGHT("0"&amp;INT(MOD(ROUND(INDEX(Нормативы!$D$2:$L$71,L333,M333)*100,0),6000)/100),2),INT(MOD(ROUND(INDEX(Нормативы!$D$2:$L$71,L333,M333)*100,0),6000)/100))&amp;"."&amp;RIGHT("0"&amp;MOD(ROUND(INDEX(Нормативы!$D$2:$L$71,L333,M333)*100,0),100),2)))</f>
        <v/>
      </c>
      <c r="J333" s="12" t="str">
        <f aca="false">IF(D333="","",SUMIFS('Базовые времена'!$D$2:$D$71,'Базовые времена'!$A$2:$A$71,B333,'Базовые времена'!$B$2:$B$71,C333,'Базовые времена'!$C$2:$C$71,D333))</f>
        <v/>
      </c>
      <c r="K333" s="12" t="str">
        <f aca="false">IF(E333="","",IF(ISNUMBER(E333),IF(E333&lt;1,E333*86400,E333),IFERROR(IF(ISNUMBER(FIND(":",SUBSTITUTE(TRIM(E333),",","."))),VALUE(LEFT(SUBSTITUTE(TRIM(E333),",","."),FIND(":",SUBSTITUTE(TRIM(E333),",","."))-1))*60+_xlfn.NUMBERVALUE(MID(SUBSTITUTE(TRIM(E333),",","."),FIND(":",SUBSTITUTE(TRIM(E333),",","."))+1,99),"."),_xlfn.NUMBERVALUE(SUBSTITUTE(TRIM(E333),",","."),".")),0)))</f>
        <v/>
      </c>
      <c r="L333" s="3" t="str">
        <f aca="false">IF(OR(D333="",N(K333)&lt;=0),"",IFERROR(MATCH(B333&amp;"|"&amp;C333&amp;"|"&amp;D333,Нормативы!$M$2:$M$71,0),""))</f>
        <v/>
      </c>
      <c r="M333" s="3" t="str">
        <f aca="false">IF(L333="","",SUMPRODUCT((INDEX(Нормативы!$D$2:$L$71,L333,0)&lt;K333)*ISNUMBER(INDEX(Нормативы!$D$2:$L$71,L333,0))))</f>
        <v/>
      </c>
    </row>
    <row r="334" customFormat="false" ht="15" hidden="false" customHeight="false" outlineLevel="0" collapsed="false">
      <c r="A334" s="5"/>
      <c r="B334" s="5"/>
      <c r="C334" s="5"/>
      <c r="D334" s="5"/>
      <c r="E334" s="14"/>
      <c r="F334" s="4" t="str">
        <f aca="false">IF(OR(J334="",K334="",N(J334)=0,N(K334)&lt;=0),"",ROUNDDOWN(1000*(J334/K334)^3,0))</f>
        <v/>
      </c>
      <c r="G334" s="4" t="str">
        <f aca="false">IF(M334="","",IF(M334+1&gt;COUNT(INDEX(Нормативы!$D$2:$L$71,L334,0)),"Разряда нет",INDEX(Нормативы!$D$1:$L$1,1,M334+1)))</f>
        <v/>
      </c>
      <c r="H334" s="2" t="str">
        <f aca="false">IF(M334="","",IF(M334=0,"—",INDEX(Нормативы!$D$1:$L$1,1,M334)))</f>
        <v/>
      </c>
      <c r="I334" s="7" t="str">
        <f aca="false">IF(M334="","",IF(M334=0,"",IF(INT(ROUND(INDEX(Нормативы!$D$2:$L$71,L334,M334)*100,0)/6000)&gt;0,INT(ROUND(INDEX(Нормативы!$D$2:$L$71,L334,M334)*100,0)/6000)&amp;":"&amp;RIGHT("0"&amp;INT(MOD(ROUND(INDEX(Нормативы!$D$2:$L$71,L334,M334)*100,0),6000)/100),2),INT(MOD(ROUND(INDEX(Нормативы!$D$2:$L$71,L334,M334)*100,0),6000)/100))&amp;"."&amp;RIGHT("0"&amp;MOD(ROUND(INDEX(Нормативы!$D$2:$L$71,L334,M334)*100,0),100),2)))</f>
        <v/>
      </c>
      <c r="J334" s="12" t="str">
        <f aca="false">IF(D334="","",SUMIFS('Базовые времена'!$D$2:$D$71,'Базовые времена'!$A$2:$A$71,B334,'Базовые времена'!$B$2:$B$71,C334,'Базовые времена'!$C$2:$C$71,D334))</f>
        <v/>
      </c>
      <c r="K334" s="12" t="str">
        <f aca="false">IF(E334="","",IF(ISNUMBER(E334),IF(E334&lt;1,E334*86400,E334),IFERROR(IF(ISNUMBER(FIND(":",SUBSTITUTE(TRIM(E334),",","."))),VALUE(LEFT(SUBSTITUTE(TRIM(E334),",","."),FIND(":",SUBSTITUTE(TRIM(E334),",","."))-1))*60+_xlfn.NUMBERVALUE(MID(SUBSTITUTE(TRIM(E334),",","."),FIND(":",SUBSTITUTE(TRIM(E334),",","."))+1,99),"."),_xlfn.NUMBERVALUE(SUBSTITUTE(TRIM(E334),",","."),".")),0)))</f>
        <v/>
      </c>
      <c r="L334" s="3" t="str">
        <f aca="false">IF(OR(D334="",N(K334)&lt;=0),"",IFERROR(MATCH(B334&amp;"|"&amp;C334&amp;"|"&amp;D334,Нормативы!$M$2:$M$71,0),""))</f>
        <v/>
      </c>
      <c r="M334" s="3" t="str">
        <f aca="false">IF(L334="","",SUMPRODUCT((INDEX(Нормативы!$D$2:$L$71,L334,0)&lt;K334)*ISNUMBER(INDEX(Нормативы!$D$2:$L$71,L334,0))))</f>
        <v/>
      </c>
    </row>
    <row r="335" customFormat="false" ht="15" hidden="false" customHeight="false" outlineLevel="0" collapsed="false">
      <c r="A335" s="5"/>
      <c r="B335" s="5"/>
      <c r="C335" s="5"/>
      <c r="D335" s="5"/>
      <c r="E335" s="14"/>
      <c r="F335" s="4" t="str">
        <f aca="false">IF(OR(J335="",K335="",N(J335)=0,N(K335)&lt;=0),"",ROUNDDOWN(1000*(J335/K335)^3,0))</f>
        <v/>
      </c>
      <c r="G335" s="4" t="str">
        <f aca="false">IF(M335="","",IF(M335+1&gt;COUNT(INDEX(Нормативы!$D$2:$L$71,L335,0)),"Разряда нет",INDEX(Нормативы!$D$1:$L$1,1,M335+1)))</f>
        <v/>
      </c>
      <c r="H335" s="2" t="str">
        <f aca="false">IF(M335="","",IF(M335=0,"—",INDEX(Нормативы!$D$1:$L$1,1,M335)))</f>
        <v/>
      </c>
      <c r="I335" s="7" t="str">
        <f aca="false">IF(M335="","",IF(M335=0,"",IF(INT(ROUND(INDEX(Нормативы!$D$2:$L$71,L335,M335)*100,0)/6000)&gt;0,INT(ROUND(INDEX(Нормативы!$D$2:$L$71,L335,M335)*100,0)/6000)&amp;":"&amp;RIGHT("0"&amp;INT(MOD(ROUND(INDEX(Нормативы!$D$2:$L$71,L335,M335)*100,0),6000)/100),2),INT(MOD(ROUND(INDEX(Нормативы!$D$2:$L$71,L335,M335)*100,0),6000)/100))&amp;"."&amp;RIGHT("0"&amp;MOD(ROUND(INDEX(Нормативы!$D$2:$L$71,L335,M335)*100,0),100),2)))</f>
        <v/>
      </c>
      <c r="J335" s="12" t="str">
        <f aca="false">IF(D335="","",SUMIFS('Базовые времена'!$D$2:$D$71,'Базовые времена'!$A$2:$A$71,B335,'Базовые времена'!$B$2:$B$71,C335,'Базовые времена'!$C$2:$C$71,D335))</f>
        <v/>
      </c>
      <c r="K335" s="12" t="str">
        <f aca="false">IF(E335="","",IF(ISNUMBER(E335),IF(E335&lt;1,E335*86400,E335),IFERROR(IF(ISNUMBER(FIND(":",SUBSTITUTE(TRIM(E335),",","."))),VALUE(LEFT(SUBSTITUTE(TRIM(E335),",","."),FIND(":",SUBSTITUTE(TRIM(E335),",","."))-1))*60+_xlfn.NUMBERVALUE(MID(SUBSTITUTE(TRIM(E335),",","."),FIND(":",SUBSTITUTE(TRIM(E335),",","."))+1,99),"."),_xlfn.NUMBERVALUE(SUBSTITUTE(TRIM(E335),",","."),".")),0)))</f>
        <v/>
      </c>
      <c r="L335" s="3" t="str">
        <f aca="false">IF(OR(D335="",N(K335)&lt;=0),"",IFERROR(MATCH(B335&amp;"|"&amp;C335&amp;"|"&amp;D335,Нормативы!$M$2:$M$71,0),""))</f>
        <v/>
      </c>
      <c r="M335" s="3" t="str">
        <f aca="false">IF(L335="","",SUMPRODUCT((INDEX(Нормативы!$D$2:$L$71,L335,0)&lt;K335)*ISNUMBER(INDEX(Нормативы!$D$2:$L$71,L335,0))))</f>
        <v/>
      </c>
    </row>
    <row r="336" customFormat="false" ht="15" hidden="false" customHeight="false" outlineLevel="0" collapsed="false">
      <c r="A336" s="5"/>
      <c r="B336" s="5"/>
      <c r="C336" s="5"/>
      <c r="D336" s="5"/>
      <c r="E336" s="14"/>
      <c r="F336" s="4" t="str">
        <f aca="false">IF(OR(J336="",K336="",N(J336)=0,N(K336)&lt;=0),"",ROUNDDOWN(1000*(J336/K336)^3,0))</f>
        <v/>
      </c>
      <c r="G336" s="4" t="str">
        <f aca="false">IF(M336="","",IF(M336+1&gt;COUNT(INDEX(Нормативы!$D$2:$L$71,L336,0)),"Разряда нет",INDEX(Нормативы!$D$1:$L$1,1,M336+1)))</f>
        <v/>
      </c>
      <c r="H336" s="2" t="str">
        <f aca="false">IF(M336="","",IF(M336=0,"—",INDEX(Нормативы!$D$1:$L$1,1,M336)))</f>
        <v/>
      </c>
      <c r="I336" s="7" t="str">
        <f aca="false">IF(M336="","",IF(M336=0,"",IF(INT(ROUND(INDEX(Нормативы!$D$2:$L$71,L336,M336)*100,0)/6000)&gt;0,INT(ROUND(INDEX(Нормативы!$D$2:$L$71,L336,M336)*100,0)/6000)&amp;":"&amp;RIGHT("0"&amp;INT(MOD(ROUND(INDEX(Нормативы!$D$2:$L$71,L336,M336)*100,0),6000)/100),2),INT(MOD(ROUND(INDEX(Нормативы!$D$2:$L$71,L336,M336)*100,0),6000)/100))&amp;"."&amp;RIGHT("0"&amp;MOD(ROUND(INDEX(Нормативы!$D$2:$L$71,L336,M336)*100,0),100),2)))</f>
        <v/>
      </c>
      <c r="J336" s="12" t="str">
        <f aca="false">IF(D336="","",SUMIFS('Базовые времена'!$D$2:$D$71,'Базовые времена'!$A$2:$A$71,B336,'Базовые времена'!$B$2:$B$71,C336,'Базовые времена'!$C$2:$C$71,D336))</f>
        <v/>
      </c>
      <c r="K336" s="12" t="str">
        <f aca="false">IF(E336="","",IF(ISNUMBER(E336),IF(E336&lt;1,E336*86400,E336),IFERROR(IF(ISNUMBER(FIND(":",SUBSTITUTE(TRIM(E336),",","."))),VALUE(LEFT(SUBSTITUTE(TRIM(E336),",","."),FIND(":",SUBSTITUTE(TRIM(E336),",","."))-1))*60+_xlfn.NUMBERVALUE(MID(SUBSTITUTE(TRIM(E336),",","."),FIND(":",SUBSTITUTE(TRIM(E336),",","."))+1,99),"."),_xlfn.NUMBERVALUE(SUBSTITUTE(TRIM(E336),",","."),".")),0)))</f>
        <v/>
      </c>
      <c r="L336" s="3" t="str">
        <f aca="false">IF(OR(D336="",N(K336)&lt;=0),"",IFERROR(MATCH(B336&amp;"|"&amp;C336&amp;"|"&amp;D336,Нормативы!$M$2:$M$71,0),""))</f>
        <v/>
      </c>
      <c r="M336" s="3" t="str">
        <f aca="false">IF(L336="","",SUMPRODUCT((INDEX(Нормативы!$D$2:$L$71,L336,0)&lt;K336)*ISNUMBER(INDEX(Нормативы!$D$2:$L$71,L336,0))))</f>
        <v/>
      </c>
    </row>
    <row r="337" customFormat="false" ht="15" hidden="false" customHeight="false" outlineLevel="0" collapsed="false">
      <c r="A337" s="5"/>
      <c r="B337" s="5"/>
      <c r="C337" s="5"/>
      <c r="D337" s="5"/>
      <c r="E337" s="14"/>
      <c r="F337" s="4" t="str">
        <f aca="false">IF(OR(J337="",K337="",N(J337)=0,N(K337)&lt;=0),"",ROUNDDOWN(1000*(J337/K337)^3,0))</f>
        <v/>
      </c>
      <c r="G337" s="4" t="str">
        <f aca="false">IF(M337="","",IF(M337+1&gt;COUNT(INDEX(Нормативы!$D$2:$L$71,L337,0)),"Разряда нет",INDEX(Нормативы!$D$1:$L$1,1,M337+1)))</f>
        <v/>
      </c>
      <c r="H337" s="2" t="str">
        <f aca="false">IF(M337="","",IF(M337=0,"—",INDEX(Нормативы!$D$1:$L$1,1,M337)))</f>
        <v/>
      </c>
      <c r="I337" s="7" t="str">
        <f aca="false">IF(M337="","",IF(M337=0,"",IF(INT(ROUND(INDEX(Нормативы!$D$2:$L$71,L337,M337)*100,0)/6000)&gt;0,INT(ROUND(INDEX(Нормативы!$D$2:$L$71,L337,M337)*100,0)/6000)&amp;":"&amp;RIGHT("0"&amp;INT(MOD(ROUND(INDEX(Нормативы!$D$2:$L$71,L337,M337)*100,0),6000)/100),2),INT(MOD(ROUND(INDEX(Нормативы!$D$2:$L$71,L337,M337)*100,0),6000)/100))&amp;"."&amp;RIGHT("0"&amp;MOD(ROUND(INDEX(Нормативы!$D$2:$L$71,L337,M337)*100,0),100),2)))</f>
        <v/>
      </c>
      <c r="J337" s="12" t="str">
        <f aca="false">IF(D337="","",SUMIFS('Базовые времена'!$D$2:$D$71,'Базовые времена'!$A$2:$A$71,B337,'Базовые времена'!$B$2:$B$71,C337,'Базовые времена'!$C$2:$C$71,D337))</f>
        <v/>
      </c>
      <c r="K337" s="12" t="str">
        <f aca="false">IF(E337="","",IF(ISNUMBER(E337),IF(E337&lt;1,E337*86400,E337),IFERROR(IF(ISNUMBER(FIND(":",SUBSTITUTE(TRIM(E337),",","."))),VALUE(LEFT(SUBSTITUTE(TRIM(E337),",","."),FIND(":",SUBSTITUTE(TRIM(E337),",","."))-1))*60+_xlfn.NUMBERVALUE(MID(SUBSTITUTE(TRIM(E337),",","."),FIND(":",SUBSTITUTE(TRIM(E337),",","."))+1,99),"."),_xlfn.NUMBERVALUE(SUBSTITUTE(TRIM(E337),",","."),".")),0)))</f>
        <v/>
      </c>
      <c r="L337" s="3" t="str">
        <f aca="false">IF(OR(D337="",N(K337)&lt;=0),"",IFERROR(MATCH(B337&amp;"|"&amp;C337&amp;"|"&amp;D337,Нормативы!$M$2:$M$71,0),""))</f>
        <v/>
      </c>
      <c r="M337" s="3" t="str">
        <f aca="false">IF(L337="","",SUMPRODUCT((INDEX(Нормативы!$D$2:$L$71,L337,0)&lt;K337)*ISNUMBER(INDEX(Нормативы!$D$2:$L$71,L337,0))))</f>
        <v/>
      </c>
    </row>
    <row r="338" customFormat="false" ht="15" hidden="false" customHeight="false" outlineLevel="0" collapsed="false">
      <c r="A338" s="5"/>
      <c r="B338" s="5"/>
      <c r="C338" s="5"/>
      <c r="D338" s="5"/>
      <c r="E338" s="14"/>
      <c r="F338" s="4" t="str">
        <f aca="false">IF(OR(J338="",K338="",N(J338)=0,N(K338)&lt;=0),"",ROUNDDOWN(1000*(J338/K338)^3,0))</f>
        <v/>
      </c>
      <c r="G338" s="4" t="str">
        <f aca="false">IF(M338="","",IF(M338+1&gt;COUNT(INDEX(Нормативы!$D$2:$L$71,L338,0)),"Разряда нет",INDEX(Нормативы!$D$1:$L$1,1,M338+1)))</f>
        <v/>
      </c>
      <c r="H338" s="2" t="str">
        <f aca="false">IF(M338="","",IF(M338=0,"—",INDEX(Нормативы!$D$1:$L$1,1,M338)))</f>
        <v/>
      </c>
      <c r="I338" s="7" t="str">
        <f aca="false">IF(M338="","",IF(M338=0,"",IF(INT(ROUND(INDEX(Нормативы!$D$2:$L$71,L338,M338)*100,0)/6000)&gt;0,INT(ROUND(INDEX(Нормативы!$D$2:$L$71,L338,M338)*100,0)/6000)&amp;":"&amp;RIGHT("0"&amp;INT(MOD(ROUND(INDEX(Нормативы!$D$2:$L$71,L338,M338)*100,0),6000)/100),2),INT(MOD(ROUND(INDEX(Нормативы!$D$2:$L$71,L338,M338)*100,0),6000)/100))&amp;"."&amp;RIGHT("0"&amp;MOD(ROUND(INDEX(Нормативы!$D$2:$L$71,L338,M338)*100,0),100),2)))</f>
        <v/>
      </c>
      <c r="J338" s="12" t="str">
        <f aca="false">IF(D338="","",SUMIFS('Базовые времена'!$D$2:$D$71,'Базовые времена'!$A$2:$A$71,B338,'Базовые времена'!$B$2:$B$71,C338,'Базовые времена'!$C$2:$C$71,D338))</f>
        <v/>
      </c>
      <c r="K338" s="12" t="str">
        <f aca="false">IF(E338="","",IF(ISNUMBER(E338),IF(E338&lt;1,E338*86400,E338),IFERROR(IF(ISNUMBER(FIND(":",SUBSTITUTE(TRIM(E338),",","."))),VALUE(LEFT(SUBSTITUTE(TRIM(E338),",","."),FIND(":",SUBSTITUTE(TRIM(E338),",","."))-1))*60+_xlfn.NUMBERVALUE(MID(SUBSTITUTE(TRIM(E338),",","."),FIND(":",SUBSTITUTE(TRIM(E338),",","."))+1,99),"."),_xlfn.NUMBERVALUE(SUBSTITUTE(TRIM(E338),",","."),".")),0)))</f>
        <v/>
      </c>
      <c r="L338" s="3" t="str">
        <f aca="false">IF(OR(D338="",N(K338)&lt;=0),"",IFERROR(MATCH(B338&amp;"|"&amp;C338&amp;"|"&amp;D338,Нормативы!$M$2:$M$71,0),""))</f>
        <v/>
      </c>
      <c r="M338" s="3" t="str">
        <f aca="false">IF(L338="","",SUMPRODUCT((INDEX(Нормативы!$D$2:$L$71,L338,0)&lt;K338)*ISNUMBER(INDEX(Нормативы!$D$2:$L$71,L338,0))))</f>
        <v/>
      </c>
    </row>
    <row r="339" customFormat="false" ht="15" hidden="false" customHeight="false" outlineLevel="0" collapsed="false">
      <c r="A339" s="5"/>
      <c r="B339" s="5"/>
      <c r="C339" s="5"/>
      <c r="D339" s="5"/>
      <c r="E339" s="14"/>
      <c r="F339" s="4" t="str">
        <f aca="false">IF(OR(J339="",K339="",N(J339)=0,N(K339)&lt;=0),"",ROUNDDOWN(1000*(J339/K339)^3,0))</f>
        <v/>
      </c>
      <c r="G339" s="4" t="str">
        <f aca="false">IF(M339="","",IF(M339+1&gt;COUNT(INDEX(Нормативы!$D$2:$L$71,L339,0)),"Разряда нет",INDEX(Нормативы!$D$1:$L$1,1,M339+1)))</f>
        <v/>
      </c>
      <c r="H339" s="2" t="str">
        <f aca="false">IF(M339="","",IF(M339=0,"—",INDEX(Нормативы!$D$1:$L$1,1,M339)))</f>
        <v/>
      </c>
      <c r="I339" s="7" t="str">
        <f aca="false">IF(M339="","",IF(M339=0,"",IF(INT(ROUND(INDEX(Нормативы!$D$2:$L$71,L339,M339)*100,0)/6000)&gt;0,INT(ROUND(INDEX(Нормативы!$D$2:$L$71,L339,M339)*100,0)/6000)&amp;":"&amp;RIGHT("0"&amp;INT(MOD(ROUND(INDEX(Нормативы!$D$2:$L$71,L339,M339)*100,0),6000)/100),2),INT(MOD(ROUND(INDEX(Нормативы!$D$2:$L$71,L339,M339)*100,0),6000)/100))&amp;"."&amp;RIGHT("0"&amp;MOD(ROUND(INDEX(Нормативы!$D$2:$L$71,L339,M339)*100,0),100),2)))</f>
        <v/>
      </c>
      <c r="J339" s="12" t="str">
        <f aca="false">IF(D339="","",SUMIFS('Базовые времена'!$D$2:$D$71,'Базовые времена'!$A$2:$A$71,B339,'Базовые времена'!$B$2:$B$71,C339,'Базовые времена'!$C$2:$C$71,D339))</f>
        <v/>
      </c>
      <c r="K339" s="12" t="str">
        <f aca="false">IF(E339="","",IF(ISNUMBER(E339),IF(E339&lt;1,E339*86400,E339),IFERROR(IF(ISNUMBER(FIND(":",SUBSTITUTE(TRIM(E339),",","."))),VALUE(LEFT(SUBSTITUTE(TRIM(E339),",","."),FIND(":",SUBSTITUTE(TRIM(E339),",","."))-1))*60+_xlfn.NUMBERVALUE(MID(SUBSTITUTE(TRIM(E339),",","."),FIND(":",SUBSTITUTE(TRIM(E339),",","."))+1,99),"."),_xlfn.NUMBERVALUE(SUBSTITUTE(TRIM(E339),",","."),".")),0)))</f>
        <v/>
      </c>
      <c r="L339" s="3" t="str">
        <f aca="false">IF(OR(D339="",N(K339)&lt;=0),"",IFERROR(MATCH(B339&amp;"|"&amp;C339&amp;"|"&amp;D339,Нормативы!$M$2:$M$71,0),""))</f>
        <v/>
      </c>
      <c r="M339" s="3" t="str">
        <f aca="false">IF(L339="","",SUMPRODUCT((INDEX(Нормативы!$D$2:$L$71,L339,0)&lt;K339)*ISNUMBER(INDEX(Нормативы!$D$2:$L$71,L339,0))))</f>
        <v/>
      </c>
    </row>
    <row r="340" customFormat="false" ht="15" hidden="false" customHeight="false" outlineLevel="0" collapsed="false">
      <c r="A340" s="5"/>
      <c r="B340" s="5"/>
      <c r="C340" s="5"/>
      <c r="D340" s="5"/>
      <c r="E340" s="14"/>
      <c r="F340" s="4" t="str">
        <f aca="false">IF(OR(J340="",K340="",N(J340)=0,N(K340)&lt;=0),"",ROUNDDOWN(1000*(J340/K340)^3,0))</f>
        <v/>
      </c>
      <c r="G340" s="4" t="str">
        <f aca="false">IF(M340="","",IF(M340+1&gt;COUNT(INDEX(Нормативы!$D$2:$L$71,L340,0)),"Разряда нет",INDEX(Нормативы!$D$1:$L$1,1,M340+1)))</f>
        <v/>
      </c>
      <c r="H340" s="2" t="str">
        <f aca="false">IF(M340="","",IF(M340=0,"—",INDEX(Нормативы!$D$1:$L$1,1,M340)))</f>
        <v/>
      </c>
      <c r="I340" s="7" t="str">
        <f aca="false">IF(M340="","",IF(M340=0,"",IF(INT(ROUND(INDEX(Нормативы!$D$2:$L$71,L340,M340)*100,0)/6000)&gt;0,INT(ROUND(INDEX(Нормативы!$D$2:$L$71,L340,M340)*100,0)/6000)&amp;":"&amp;RIGHT("0"&amp;INT(MOD(ROUND(INDEX(Нормативы!$D$2:$L$71,L340,M340)*100,0),6000)/100),2),INT(MOD(ROUND(INDEX(Нормативы!$D$2:$L$71,L340,M340)*100,0),6000)/100))&amp;"."&amp;RIGHT("0"&amp;MOD(ROUND(INDEX(Нормативы!$D$2:$L$71,L340,M340)*100,0),100),2)))</f>
        <v/>
      </c>
      <c r="J340" s="12" t="str">
        <f aca="false">IF(D340="","",SUMIFS('Базовые времена'!$D$2:$D$71,'Базовые времена'!$A$2:$A$71,B340,'Базовые времена'!$B$2:$B$71,C340,'Базовые времена'!$C$2:$C$71,D340))</f>
        <v/>
      </c>
      <c r="K340" s="12" t="str">
        <f aca="false">IF(E340="","",IF(ISNUMBER(E340),IF(E340&lt;1,E340*86400,E340),IFERROR(IF(ISNUMBER(FIND(":",SUBSTITUTE(TRIM(E340),",","."))),VALUE(LEFT(SUBSTITUTE(TRIM(E340),",","."),FIND(":",SUBSTITUTE(TRIM(E340),",","."))-1))*60+_xlfn.NUMBERVALUE(MID(SUBSTITUTE(TRIM(E340),",","."),FIND(":",SUBSTITUTE(TRIM(E340),",","."))+1,99),"."),_xlfn.NUMBERVALUE(SUBSTITUTE(TRIM(E340),",","."),".")),0)))</f>
        <v/>
      </c>
      <c r="L340" s="3" t="str">
        <f aca="false">IF(OR(D340="",N(K340)&lt;=0),"",IFERROR(MATCH(B340&amp;"|"&amp;C340&amp;"|"&amp;D340,Нормативы!$M$2:$M$71,0),""))</f>
        <v/>
      </c>
      <c r="M340" s="3" t="str">
        <f aca="false">IF(L340="","",SUMPRODUCT((INDEX(Нормативы!$D$2:$L$71,L340,0)&lt;K340)*ISNUMBER(INDEX(Нормативы!$D$2:$L$71,L340,0))))</f>
        <v/>
      </c>
    </row>
    <row r="341" customFormat="false" ht="15" hidden="false" customHeight="false" outlineLevel="0" collapsed="false">
      <c r="A341" s="5"/>
      <c r="B341" s="5"/>
      <c r="C341" s="5"/>
      <c r="D341" s="5"/>
      <c r="E341" s="14"/>
      <c r="F341" s="4" t="str">
        <f aca="false">IF(OR(J341="",K341="",N(J341)=0,N(K341)&lt;=0),"",ROUNDDOWN(1000*(J341/K341)^3,0))</f>
        <v/>
      </c>
      <c r="G341" s="4" t="str">
        <f aca="false">IF(M341="","",IF(M341+1&gt;COUNT(INDEX(Нормативы!$D$2:$L$71,L341,0)),"Разряда нет",INDEX(Нормативы!$D$1:$L$1,1,M341+1)))</f>
        <v/>
      </c>
      <c r="H341" s="2" t="str">
        <f aca="false">IF(M341="","",IF(M341=0,"—",INDEX(Нормативы!$D$1:$L$1,1,M341)))</f>
        <v/>
      </c>
      <c r="I341" s="7" t="str">
        <f aca="false">IF(M341="","",IF(M341=0,"",IF(INT(ROUND(INDEX(Нормативы!$D$2:$L$71,L341,M341)*100,0)/6000)&gt;0,INT(ROUND(INDEX(Нормативы!$D$2:$L$71,L341,M341)*100,0)/6000)&amp;":"&amp;RIGHT("0"&amp;INT(MOD(ROUND(INDEX(Нормативы!$D$2:$L$71,L341,M341)*100,0),6000)/100),2),INT(MOD(ROUND(INDEX(Нормативы!$D$2:$L$71,L341,M341)*100,0),6000)/100))&amp;"."&amp;RIGHT("0"&amp;MOD(ROUND(INDEX(Нормативы!$D$2:$L$71,L341,M341)*100,0),100),2)))</f>
        <v/>
      </c>
      <c r="J341" s="12" t="str">
        <f aca="false">IF(D341="","",SUMIFS('Базовые времена'!$D$2:$D$71,'Базовые времена'!$A$2:$A$71,B341,'Базовые времена'!$B$2:$B$71,C341,'Базовые времена'!$C$2:$C$71,D341))</f>
        <v/>
      </c>
      <c r="K341" s="12" t="str">
        <f aca="false">IF(E341="","",IF(ISNUMBER(E341),IF(E341&lt;1,E341*86400,E341),IFERROR(IF(ISNUMBER(FIND(":",SUBSTITUTE(TRIM(E341),",","."))),VALUE(LEFT(SUBSTITUTE(TRIM(E341),",","."),FIND(":",SUBSTITUTE(TRIM(E341),",","."))-1))*60+_xlfn.NUMBERVALUE(MID(SUBSTITUTE(TRIM(E341),",","."),FIND(":",SUBSTITUTE(TRIM(E341),",","."))+1,99),"."),_xlfn.NUMBERVALUE(SUBSTITUTE(TRIM(E341),",","."),".")),0)))</f>
        <v/>
      </c>
      <c r="L341" s="3" t="str">
        <f aca="false">IF(OR(D341="",N(K341)&lt;=0),"",IFERROR(MATCH(B341&amp;"|"&amp;C341&amp;"|"&amp;D341,Нормативы!$M$2:$M$71,0),""))</f>
        <v/>
      </c>
      <c r="M341" s="3" t="str">
        <f aca="false">IF(L341="","",SUMPRODUCT((INDEX(Нормативы!$D$2:$L$71,L341,0)&lt;K341)*ISNUMBER(INDEX(Нормативы!$D$2:$L$71,L341,0))))</f>
        <v/>
      </c>
    </row>
    <row r="342" customFormat="false" ht="15" hidden="false" customHeight="false" outlineLevel="0" collapsed="false">
      <c r="A342" s="5"/>
      <c r="B342" s="5"/>
      <c r="C342" s="5"/>
      <c r="D342" s="5"/>
      <c r="E342" s="14"/>
      <c r="F342" s="4" t="str">
        <f aca="false">IF(OR(J342="",K342="",N(J342)=0,N(K342)&lt;=0),"",ROUNDDOWN(1000*(J342/K342)^3,0))</f>
        <v/>
      </c>
      <c r="G342" s="4" t="str">
        <f aca="false">IF(M342="","",IF(M342+1&gt;COUNT(INDEX(Нормативы!$D$2:$L$71,L342,0)),"Разряда нет",INDEX(Нормативы!$D$1:$L$1,1,M342+1)))</f>
        <v/>
      </c>
      <c r="H342" s="2" t="str">
        <f aca="false">IF(M342="","",IF(M342=0,"—",INDEX(Нормативы!$D$1:$L$1,1,M342)))</f>
        <v/>
      </c>
      <c r="I342" s="7" t="str">
        <f aca="false">IF(M342="","",IF(M342=0,"",IF(INT(ROUND(INDEX(Нормативы!$D$2:$L$71,L342,M342)*100,0)/6000)&gt;0,INT(ROUND(INDEX(Нормативы!$D$2:$L$71,L342,M342)*100,0)/6000)&amp;":"&amp;RIGHT("0"&amp;INT(MOD(ROUND(INDEX(Нормативы!$D$2:$L$71,L342,M342)*100,0),6000)/100),2),INT(MOD(ROUND(INDEX(Нормативы!$D$2:$L$71,L342,M342)*100,0),6000)/100))&amp;"."&amp;RIGHT("0"&amp;MOD(ROUND(INDEX(Нормативы!$D$2:$L$71,L342,M342)*100,0),100),2)))</f>
        <v/>
      </c>
      <c r="J342" s="12" t="str">
        <f aca="false">IF(D342="","",SUMIFS('Базовые времена'!$D$2:$D$71,'Базовые времена'!$A$2:$A$71,B342,'Базовые времена'!$B$2:$B$71,C342,'Базовые времена'!$C$2:$C$71,D342))</f>
        <v/>
      </c>
      <c r="K342" s="12" t="str">
        <f aca="false">IF(E342="","",IF(ISNUMBER(E342),IF(E342&lt;1,E342*86400,E342),IFERROR(IF(ISNUMBER(FIND(":",SUBSTITUTE(TRIM(E342),",","."))),VALUE(LEFT(SUBSTITUTE(TRIM(E342),",","."),FIND(":",SUBSTITUTE(TRIM(E342),",","."))-1))*60+_xlfn.NUMBERVALUE(MID(SUBSTITUTE(TRIM(E342),",","."),FIND(":",SUBSTITUTE(TRIM(E342),",","."))+1,99),"."),_xlfn.NUMBERVALUE(SUBSTITUTE(TRIM(E342),",","."),".")),0)))</f>
        <v/>
      </c>
      <c r="L342" s="3" t="str">
        <f aca="false">IF(OR(D342="",N(K342)&lt;=0),"",IFERROR(MATCH(B342&amp;"|"&amp;C342&amp;"|"&amp;D342,Нормативы!$M$2:$M$71,0),""))</f>
        <v/>
      </c>
      <c r="M342" s="3" t="str">
        <f aca="false">IF(L342="","",SUMPRODUCT((INDEX(Нормативы!$D$2:$L$71,L342,0)&lt;K342)*ISNUMBER(INDEX(Нормативы!$D$2:$L$71,L342,0))))</f>
        <v/>
      </c>
    </row>
    <row r="343" customFormat="false" ht="15" hidden="false" customHeight="false" outlineLevel="0" collapsed="false">
      <c r="A343" s="5"/>
      <c r="B343" s="5"/>
      <c r="C343" s="5"/>
      <c r="D343" s="5"/>
      <c r="E343" s="14"/>
      <c r="F343" s="4" t="str">
        <f aca="false">IF(OR(J343="",K343="",N(J343)=0,N(K343)&lt;=0),"",ROUNDDOWN(1000*(J343/K343)^3,0))</f>
        <v/>
      </c>
      <c r="G343" s="4" t="str">
        <f aca="false">IF(M343="","",IF(M343+1&gt;COUNT(INDEX(Нормативы!$D$2:$L$71,L343,0)),"Разряда нет",INDEX(Нормативы!$D$1:$L$1,1,M343+1)))</f>
        <v/>
      </c>
      <c r="H343" s="2" t="str">
        <f aca="false">IF(M343="","",IF(M343=0,"—",INDEX(Нормативы!$D$1:$L$1,1,M343)))</f>
        <v/>
      </c>
      <c r="I343" s="7" t="str">
        <f aca="false">IF(M343="","",IF(M343=0,"",IF(INT(ROUND(INDEX(Нормативы!$D$2:$L$71,L343,M343)*100,0)/6000)&gt;0,INT(ROUND(INDEX(Нормативы!$D$2:$L$71,L343,M343)*100,0)/6000)&amp;":"&amp;RIGHT("0"&amp;INT(MOD(ROUND(INDEX(Нормативы!$D$2:$L$71,L343,M343)*100,0),6000)/100),2),INT(MOD(ROUND(INDEX(Нормативы!$D$2:$L$71,L343,M343)*100,0),6000)/100))&amp;"."&amp;RIGHT("0"&amp;MOD(ROUND(INDEX(Нормативы!$D$2:$L$71,L343,M343)*100,0),100),2)))</f>
        <v/>
      </c>
      <c r="J343" s="12" t="str">
        <f aca="false">IF(D343="","",SUMIFS('Базовые времена'!$D$2:$D$71,'Базовые времена'!$A$2:$A$71,B343,'Базовые времена'!$B$2:$B$71,C343,'Базовые времена'!$C$2:$C$71,D343))</f>
        <v/>
      </c>
      <c r="K343" s="12" t="str">
        <f aca="false">IF(E343="","",IF(ISNUMBER(E343),IF(E343&lt;1,E343*86400,E343),IFERROR(IF(ISNUMBER(FIND(":",SUBSTITUTE(TRIM(E343),",","."))),VALUE(LEFT(SUBSTITUTE(TRIM(E343),",","."),FIND(":",SUBSTITUTE(TRIM(E343),",","."))-1))*60+_xlfn.NUMBERVALUE(MID(SUBSTITUTE(TRIM(E343),",","."),FIND(":",SUBSTITUTE(TRIM(E343),",","."))+1,99),"."),_xlfn.NUMBERVALUE(SUBSTITUTE(TRIM(E343),",","."),".")),0)))</f>
        <v/>
      </c>
      <c r="L343" s="3" t="str">
        <f aca="false">IF(OR(D343="",N(K343)&lt;=0),"",IFERROR(MATCH(B343&amp;"|"&amp;C343&amp;"|"&amp;D343,Нормативы!$M$2:$M$71,0),""))</f>
        <v/>
      </c>
      <c r="M343" s="3" t="str">
        <f aca="false">IF(L343="","",SUMPRODUCT((INDEX(Нормативы!$D$2:$L$71,L343,0)&lt;K343)*ISNUMBER(INDEX(Нормативы!$D$2:$L$71,L343,0))))</f>
        <v/>
      </c>
    </row>
    <row r="344" customFormat="false" ht="15" hidden="false" customHeight="false" outlineLevel="0" collapsed="false">
      <c r="A344" s="5"/>
      <c r="B344" s="5"/>
      <c r="C344" s="5"/>
      <c r="D344" s="5"/>
      <c r="E344" s="14"/>
      <c r="F344" s="4" t="str">
        <f aca="false">IF(OR(J344="",K344="",N(J344)=0,N(K344)&lt;=0),"",ROUNDDOWN(1000*(J344/K344)^3,0))</f>
        <v/>
      </c>
      <c r="G344" s="4" t="str">
        <f aca="false">IF(M344="","",IF(M344+1&gt;COUNT(INDEX(Нормативы!$D$2:$L$71,L344,0)),"Разряда нет",INDEX(Нормативы!$D$1:$L$1,1,M344+1)))</f>
        <v/>
      </c>
      <c r="H344" s="2" t="str">
        <f aca="false">IF(M344="","",IF(M344=0,"—",INDEX(Нормативы!$D$1:$L$1,1,M344)))</f>
        <v/>
      </c>
      <c r="I344" s="7" t="str">
        <f aca="false">IF(M344="","",IF(M344=0,"",IF(INT(ROUND(INDEX(Нормативы!$D$2:$L$71,L344,M344)*100,0)/6000)&gt;0,INT(ROUND(INDEX(Нормативы!$D$2:$L$71,L344,M344)*100,0)/6000)&amp;":"&amp;RIGHT("0"&amp;INT(MOD(ROUND(INDEX(Нормативы!$D$2:$L$71,L344,M344)*100,0),6000)/100),2),INT(MOD(ROUND(INDEX(Нормативы!$D$2:$L$71,L344,M344)*100,0),6000)/100))&amp;"."&amp;RIGHT("0"&amp;MOD(ROUND(INDEX(Нормативы!$D$2:$L$71,L344,M344)*100,0),100),2)))</f>
        <v/>
      </c>
      <c r="J344" s="12" t="str">
        <f aca="false">IF(D344="","",SUMIFS('Базовые времена'!$D$2:$D$71,'Базовые времена'!$A$2:$A$71,B344,'Базовые времена'!$B$2:$B$71,C344,'Базовые времена'!$C$2:$C$71,D344))</f>
        <v/>
      </c>
      <c r="K344" s="12" t="str">
        <f aca="false">IF(E344="","",IF(ISNUMBER(E344),IF(E344&lt;1,E344*86400,E344),IFERROR(IF(ISNUMBER(FIND(":",SUBSTITUTE(TRIM(E344),",","."))),VALUE(LEFT(SUBSTITUTE(TRIM(E344),",","."),FIND(":",SUBSTITUTE(TRIM(E344),",","."))-1))*60+_xlfn.NUMBERVALUE(MID(SUBSTITUTE(TRIM(E344),",","."),FIND(":",SUBSTITUTE(TRIM(E344),",","."))+1,99),"."),_xlfn.NUMBERVALUE(SUBSTITUTE(TRIM(E344),",","."),".")),0)))</f>
        <v/>
      </c>
      <c r="L344" s="3" t="str">
        <f aca="false">IF(OR(D344="",N(K344)&lt;=0),"",IFERROR(MATCH(B344&amp;"|"&amp;C344&amp;"|"&amp;D344,Нормативы!$M$2:$M$71,0),""))</f>
        <v/>
      </c>
      <c r="M344" s="3" t="str">
        <f aca="false">IF(L344="","",SUMPRODUCT((INDEX(Нормативы!$D$2:$L$71,L344,0)&lt;K344)*ISNUMBER(INDEX(Нормативы!$D$2:$L$71,L344,0))))</f>
        <v/>
      </c>
    </row>
    <row r="345" customFormat="false" ht="15" hidden="false" customHeight="false" outlineLevel="0" collapsed="false">
      <c r="A345" s="5"/>
      <c r="B345" s="5"/>
      <c r="C345" s="5"/>
      <c r="D345" s="5"/>
      <c r="E345" s="14"/>
      <c r="F345" s="4" t="str">
        <f aca="false">IF(OR(J345="",K345="",N(J345)=0,N(K345)&lt;=0),"",ROUNDDOWN(1000*(J345/K345)^3,0))</f>
        <v/>
      </c>
      <c r="G345" s="4" t="str">
        <f aca="false">IF(M345="","",IF(M345+1&gt;COUNT(INDEX(Нормативы!$D$2:$L$71,L345,0)),"Разряда нет",INDEX(Нормативы!$D$1:$L$1,1,M345+1)))</f>
        <v/>
      </c>
      <c r="H345" s="2" t="str">
        <f aca="false">IF(M345="","",IF(M345=0,"—",INDEX(Нормативы!$D$1:$L$1,1,M345)))</f>
        <v/>
      </c>
      <c r="I345" s="7" t="str">
        <f aca="false">IF(M345="","",IF(M345=0,"",IF(INT(ROUND(INDEX(Нормативы!$D$2:$L$71,L345,M345)*100,0)/6000)&gt;0,INT(ROUND(INDEX(Нормативы!$D$2:$L$71,L345,M345)*100,0)/6000)&amp;":"&amp;RIGHT("0"&amp;INT(MOD(ROUND(INDEX(Нормативы!$D$2:$L$71,L345,M345)*100,0),6000)/100),2),INT(MOD(ROUND(INDEX(Нормативы!$D$2:$L$71,L345,M345)*100,0),6000)/100))&amp;"."&amp;RIGHT("0"&amp;MOD(ROUND(INDEX(Нормативы!$D$2:$L$71,L345,M345)*100,0),100),2)))</f>
        <v/>
      </c>
      <c r="J345" s="12" t="str">
        <f aca="false">IF(D345="","",SUMIFS('Базовые времена'!$D$2:$D$71,'Базовые времена'!$A$2:$A$71,B345,'Базовые времена'!$B$2:$B$71,C345,'Базовые времена'!$C$2:$C$71,D345))</f>
        <v/>
      </c>
      <c r="K345" s="12" t="str">
        <f aca="false">IF(E345="","",IF(ISNUMBER(E345),IF(E345&lt;1,E345*86400,E345),IFERROR(IF(ISNUMBER(FIND(":",SUBSTITUTE(TRIM(E345),",","."))),VALUE(LEFT(SUBSTITUTE(TRIM(E345),",","."),FIND(":",SUBSTITUTE(TRIM(E345),",","."))-1))*60+_xlfn.NUMBERVALUE(MID(SUBSTITUTE(TRIM(E345),",","."),FIND(":",SUBSTITUTE(TRIM(E345),",","."))+1,99),"."),_xlfn.NUMBERVALUE(SUBSTITUTE(TRIM(E345),",","."),".")),0)))</f>
        <v/>
      </c>
      <c r="L345" s="3" t="str">
        <f aca="false">IF(OR(D345="",N(K345)&lt;=0),"",IFERROR(MATCH(B345&amp;"|"&amp;C345&amp;"|"&amp;D345,Нормативы!$M$2:$M$71,0),""))</f>
        <v/>
      </c>
      <c r="M345" s="3" t="str">
        <f aca="false">IF(L345="","",SUMPRODUCT((INDEX(Нормативы!$D$2:$L$71,L345,0)&lt;K345)*ISNUMBER(INDEX(Нормативы!$D$2:$L$71,L345,0))))</f>
        <v/>
      </c>
    </row>
    <row r="346" customFormat="false" ht="15" hidden="false" customHeight="false" outlineLevel="0" collapsed="false">
      <c r="A346" s="5"/>
      <c r="B346" s="5"/>
      <c r="C346" s="5"/>
      <c r="D346" s="5"/>
      <c r="E346" s="14"/>
      <c r="F346" s="4" t="str">
        <f aca="false">IF(OR(J346="",K346="",N(J346)=0,N(K346)&lt;=0),"",ROUNDDOWN(1000*(J346/K346)^3,0))</f>
        <v/>
      </c>
      <c r="G346" s="4" t="str">
        <f aca="false">IF(M346="","",IF(M346+1&gt;COUNT(INDEX(Нормативы!$D$2:$L$71,L346,0)),"Разряда нет",INDEX(Нормативы!$D$1:$L$1,1,M346+1)))</f>
        <v/>
      </c>
      <c r="H346" s="2" t="str">
        <f aca="false">IF(M346="","",IF(M346=0,"—",INDEX(Нормативы!$D$1:$L$1,1,M346)))</f>
        <v/>
      </c>
      <c r="I346" s="7" t="str">
        <f aca="false">IF(M346="","",IF(M346=0,"",IF(INT(ROUND(INDEX(Нормативы!$D$2:$L$71,L346,M346)*100,0)/6000)&gt;0,INT(ROUND(INDEX(Нормативы!$D$2:$L$71,L346,M346)*100,0)/6000)&amp;":"&amp;RIGHT("0"&amp;INT(MOD(ROUND(INDEX(Нормативы!$D$2:$L$71,L346,M346)*100,0),6000)/100),2),INT(MOD(ROUND(INDEX(Нормативы!$D$2:$L$71,L346,M346)*100,0),6000)/100))&amp;"."&amp;RIGHT("0"&amp;MOD(ROUND(INDEX(Нормативы!$D$2:$L$71,L346,M346)*100,0),100),2)))</f>
        <v/>
      </c>
      <c r="J346" s="12" t="str">
        <f aca="false">IF(D346="","",SUMIFS('Базовые времена'!$D$2:$D$71,'Базовые времена'!$A$2:$A$71,B346,'Базовые времена'!$B$2:$B$71,C346,'Базовые времена'!$C$2:$C$71,D346))</f>
        <v/>
      </c>
      <c r="K346" s="12" t="str">
        <f aca="false">IF(E346="","",IF(ISNUMBER(E346),IF(E346&lt;1,E346*86400,E346),IFERROR(IF(ISNUMBER(FIND(":",SUBSTITUTE(TRIM(E346),",","."))),VALUE(LEFT(SUBSTITUTE(TRIM(E346),",","."),FIND(":",SUBSTITUTE(TRIM(E346),",","."))-1))*60+_xlfn.NUMBERVALUE(MID(SUBSTITUTE(TRIM(E346),",","."),FIND(":",SUBSTITUTE(TRIM(E346),",","."))+1,99),"."),_xlfn.NUMBERVALUE(SUBSTITUTE(TRIM(E346),",","."),".")),0)))</f>
        <v/>
      </c>
      <c r="L346" s="3" t="str">
        <f aca="false">IF(OR(D346="",N(K346)&lt;=0),"",IFERROR(MATCH(B346&amp;"|"&amp;C346&amp;"|"&amp;D346,Нормативы!$M$2:$M$71,0),""))</f>
        <v/>
      </c>
      <c r="M346" s="3" t="str">
        <f aca="false">IF(L346="","",SUMPRODUCT((INDEX(Нормативы!$D$2:$L$71,L346,0)&lt;K346)*ISNUMBER(INDEX(Нормативы!$D$2:$L$71,L346,0))))</f>
        <v/>
      </c>
    </row>
    <row r="347" customFormat="false" ht="15" hidden="false" customHeight="false" outlineLevel="0" collapsed="false">
      <c r="A347" s="5"/>
      <c r="B347" s="5"/>
      <c r="C347" s="5"/>
      <c r="D347" s="5"/>
      <c r="E347" s="14"/>
      <c r="F347" s="4" t="str">
        <f aca="false">IF(OR(J347="",K347="",N(J347)=0,N(K347)&lt;=0),"",ROUNDDOWN(1000*(J347/K347)^3,0))</f>
        <v/>
      </c>
      <c r="G347" s="4" t="str">
        <f aca="false">IF(M347="","",IF(M347+1&gt;COUNT(INDEX(Нормативы!$D$2:$L$71,L347,0)),"Разряда нет",INDEX(Нормативы!$D$1:$L$1,1,M347+1)))</f>
        <v/>
      </c>
      <c r="H347" s="2" t="str">
        <f aca="false">IF(M347="","",IF(M347=0,"—",INDEX(Нормативы!$D$1:$L$1,1,M347)))</f>
        <v/>
      </c>
      <c r="I347" s="7" t="str">
        <f aca="false">IF(M347="","",IF(M347=0,"",IF(INT(ROUND(INDEX(Нормативы!$D$2:$L$71,L347,M347)*100,0)/6000)&gt;0,INT(ROUND(INDEX(Нормативы!$D$2:$L$71,L347,M347)*100,0)/6000)&amp;":"&amp;RIGHT("0"&amp;INT(MOD(ROUND(INDEX(Нормативы!$D$2:$L$71,L347,M347)*100,0),6000)/100),2),INT(MOD(ROUND(INDEX(Нормативы!$D$2:$L$71,L347,M347)*100,0),6000)/100))&amp;"."&amp;RIGHT("0"&amp;MOD(ROUND(INDEX(Нормативы!$D$2:$L$71,L347,M347)*100,0),100),2)))</f>
        <v/>
      </c>
      <c r="J347" s="12" t="str">
        <f aca="false">IF(D347="","",SUMIFS('Базовые времена'!$D$2:$D$71,'Базовые времена'!$A$2:$A$71,B347,'Базовые времена'!$B$2:$B$71,C347,'Базовые времена'!$C$2:$C$71,D347))</f>
        <v/>
      </c>
      <c r="K347" s="12" t="str">
        <f aca="false">IF(E347="","",IF(ISNUMBER(E347),IF(E347&lt;1,E347*86400,E347),IFERROR(IF(ISNUMBER(FIND(":",SUBSTITUTE(TRIM(E347),",","."))),VALUE(LEFT(SUBSTITUTE(TRIM(E347),",","."),FIND(":",SUBSTITUTE(TRIM(E347),",","."))-1))*60+_xlfn.NUMBERVALUE(MID(SUBSTITUTE(TRIM(E347),",","."),FIND(":",SUBSTITUTE(TRIM(E347),",","."))+1,99),"."),_xlfn.NUMBERVALUE(SUBSTITUTE(TRIM(E347),",","."),".")),0)))</f>
        <v/>
      </c>
      <c r="L347" s="3" t="str">
        <f aca="false">IF(OR(D347="",N(K347)&lt;=0),"",IFERROR(MATCH(B347&amp;"|"&amp;C347&amp;"|"&amp;D347,Нормативы!$M$2:$M$71,0),""))</f>
        <v/>
      </c>
      <c r="M347" s="3" t="str">
        <f aca="false">IF(L347="","",SUMPRODUCT((INDEX(Нормативы!$D$2:$L$71,L347,0)&lt;K347)*ISNUMBER(INDEX(Нормативы!$D$2:$L$71,L347,0))))</f>
        <v/>
      </c>
    </row>
    <row r="348" customFormat="false" ht="15" hidden="false" customHeight="false" outlineLevel="0" collapsed="false">
      <c r="A348" s="5"/>
      <c r="B348" s="5"/>
      <c r="C348" s="5"/>
      <c r="D348" s="5"/>
      <c r="E348" s="14"/>
      <c r="F348" s="4" t="str">
        <f aca="false">IF(OR(J348="",K348="",N(J348)=0,N(K348)&lt;=0),"",ROUNDDOWN(1000*(J348/K348)^3,0))</f>
        <v/>
      </c>
      <c r="G348" s="4" t="str">
        <f aca="false">IF(M348="","",IF(M348+1&gt;COUNT(INDEX(Нормативы!$D$2:$L$71,L348,0)),"Разряда нет",INDEX(Нормативы!$D$1:$L$1,1,M348+1)))</f>
        <v/>
      </c>
      <c r="H348" s="2" t="str">
        <f aca="false">IF(M348="","",IF(M348=0,"—",INDEX(Нормативы!$D$1:$L$1,1,M348)))</f>
        <v/>
      </c>
      <c r="I348" s="7" t="str">
        <f aca="false">IF(M348="","",IF(M348=0,"",IF(INT(ROUND(INDEX(Нормативы!$D$2:$L$71,L348,M348)*100,0)/6000)&gt;0,INT(ROUND(INDEX(Нормативы!$D$2:$L$71,L348,M348)*100,0)/6000)&amp;":"&amp;RIGHT("0"&amp;INT(MOD(ROUND(INDEX(Нормативы!$D$2:$L$71,L348,M348)*100,0),6000)/100),2),INT(MOD(ROUND(INDEX(Нормативы!$D$2:$L$71,L348,M348)*100,0),6000)/100))&amp;"."&amp;RIGHT("0"&amp;MOD(ROUND(INDEX(Нормативы!$D$2:$L$71,L348,M348)*100,0),100),2)))</f>
        <v/>
      </c>
      <c r="J348" s="12" t="str">
        <f aca="false">IF(D348="","",SUMIFS('Базовые времена'!$D$2:$D$71,'Базовые времена'!$A$2:$A$71,B348,'Базовые времена'!$B$2:$B$71,C348,'Базовые времена'!$C$2:$C$71,D348))</f>
        <v/>
      </c>
      <c r="K348" s="12" t="str">
        <f aca="false">IF(E348="","",IF(ISNUMBER(E348),IF(E348&lt;1,E348*86400,E348),IFERROR(IF(ISNUMBER(FIND(":",SUBSTITUTE(TRIM(E348),",","."))),VALUE(LEFT(SUBSTITUTE(TRIM(E348),",","."),FIND(":",SUBSTITUTE(TRIM(E348),",","."))-1))*60+_xlfn.NUMBERVALUE(MID(SUBSTITUTE(TRIM(E348),",","."),FIND(":",SUBSTITUTE(TRIM(E348),",","."))+1,99),"."),_xlfn.NUMBERVALUE(SUBSTITUTE(TRIM(E348),",","."),".")),0)))</f>
        <v/>
      </c>
      <c r="L348" s="3" t="str">
        <f aca="false">IF(OR(D348="",N(K348)&lt;=0),"",IFERROR(MATCH(B348&amp;"|"&amp;C348&amp;"|"&amp;D348,Нормативы!$M$2:$M$71,0),""))</f>
        <v/>
      </c>
      <c r="M348" s="3" t="str">
        <f aca="false">IF(L348="","",SUMPRODUCT((INDEX(Нормативы!$D$2:$L$71,L348,0)&lt;K348)*ISNUMBER(INDEX(Нормативы!$D$2:$L$71,L348,0))))</f>
        <v/>
      </c>
    </row>
    <row r="349" customFormat="false" ht="15" hidden="false" customHeight="false" outlineLevel="0" collapsed="false">
      <c r="A349" s="5"/>
      <c r="B349" s="5"/>
      <c r="C349" s="5"/>
      <c r="D349" s="5"/>
      <c r="E349" s="14"/>
      <c r="F349" s="4" t="str">
        <f aca="false">IF(OR(J349="",K349="",N(J349)=0,N(K349)&lt;=0),"",ROUNDDOWN(1000*(J349/K349)^3,0))</f>
        <v/>
      </c>
      <c r="G349" s="4" t="str">
        <f aca="false">IF(M349="","",IF(M349+1&gt;COUNT(INDEX(Нормативы!$D$2:$L$71,L349,0)),"Разряда нет",INDEX(Нормативы!$D$1:$L$1,1,M349+1)))</f>
        <v/>
      </c>
      <c r="H349" s="2" t="str">
        <f aca="false">IF(M349="","",IF(M349=0,"—",INDEX(Нормативы!$D$1:$L$1,1,M349)))</f>
        <v/>
      </c>
      <c r="I349" s="7" t="str">
        <f aca="false">IF(M349="","",IF(M349=0,"",IF(INT(ROUND(INDEX(Нормативы!$D$2:$L$71,L349,M349)*100,0)/6000)&gt;0,INT(ROUND(INDEX(Нормативы!$D$2:$L$71,L349,M349)*100,0)/6000)&amp;":"&amp;RIGHT("0"&amp;INT(MOD(ROUND(INDEX(Нормативы!$D$2:$L$71,L349,M349)*100,0),6000)/100),2),INT(MOD(ROUND(INDEX(Нормативы!$D$2:$L$71,L349,M349)*100,0),6000)/100))&amp;"."&amp;RIGHT("0"&amp;MOD(ROUND(INDEX(Нормативы!$D$2:$L$71,L349,M349)*100,0),100),2)))</f>
        <v/>
      </c>
      <c r="J349" s="12" t="str">
        <f aca="false">IF(D349="","",SUMIFS('Базовые времена'!$D$2:$D$71,'Базовые времена'!$A$2:$A$71,B349,'Базовые времена'!$B$2:$B$71,C349,'Базовые времена'!$C$2:$C$71,D349))</f>
        <v/>
      </c>
      <c r="K349" s="12" t="str">
        <f aca="false">IF(E349="","",IF(ISNUMBER(E349),IF(E349&lt;1,E349*86400,E349),IFERROR(IF(ISNUMBER(FIND(":",SUBSTITUTE(TRIM(E349),",","."))),VALUE(LEFT(SUBSTITUTE(TRIM(E349),",","."),FIND(":",SUBSTITUTE(TRIM(E349),",","."))-1))*60+_xlfn.NUMBERVALUE(MID(SUBSTITUTE(TRIM(E349),",","."),FIND(":",SUBSTITUTE(TRIM(E349),",","."))+1,99),"."),_xlfn.NUMBERVALUE(SUBSTITUTE(TRIM(E349),",","."),".")),0)))</f>
        <v/>
      </c>
      <c r="L349" s="3" t="str">
        <f aca="false">IF(OR(D349="",N(K349)&lt;=0),"",IFERROR(MATCH(B349&amp;"|"&amp;C349&amp;"|"&amp;D349,Нормативы!$M$2:$M$71,0),""))</f>
        <v/>
      </c>
      <c r="M349" s="3" t="str">
        <f aca="false">IF(L349="","",SUMPRODUCT((INDEX(Нормативы!$D$2:$L$71,L349,0)&lt;K349)*ISNUMBER(INDEX(Нормативы!$D$2:$L$71,L349,0))))</f>
        <v/>
      </c>
    </row>
    <row r="350" customFormat="false" ht="15" hidden="false" customHeight="false" outlineLevel="0" collapsed="false">
      <c r="A350" s="5"/>
      <c r="B350" s="5"/>
      <c r="C350" s="5"/>
      <c r="D350" s="5"/>
      <c r="E350" s="14"/>
      <c r="F350" s="4" t="str">
        <f aca="false">IF(OR(J350="",K350="",N(J350)=0,N(K350)&lt;=0),"",ROUNDDOWN(1000*(J350/K350)^3,0))</f>
        <v/>
      </c>
      <c r="G350" s="4" t="str">
        <f aca="false">IF(M350="","",IF(M350+1&gt;COUNT(INDEX(Нормативы!$D$2:$L$71,L350,0)),"Разряда нет",INDEX(Нормативы!$D$1:$L$1,1,M350+1)))</f>
        <v/>
      </c>
      <c r="H350" s="2" t="str">
        <f aca="false">IF(M350="","",IF(M350=0,"—",INDEX(Нормативы!$D$1:$L$1,1,M350)))</f>
        <v/>
      </c>
      <c r="I350" s="7" t="str">
        <f aca="false">IF(M350="","",IF(M350=0,"",IF(INT(ROUND(INDEX(Нормативы!$D$2:$L$71,L350,M350)*100,0)/6000)&gt;0,INT(ROUND(INDEX(Нормативы!$D$2:$L$71,L350,M350)*100,0)/6000)&amp;":"&amp;RIGHT("0"&amp;INT(MOD(ROUND(INDEX(Нормативы!$D$2:$L$71,L350,M350)*100,0),6000)/100),2),INT(MOD(ROUND(INDEX(Нормативы!$D$2:$L$71,L350,M350)*100,0),6000)/100))&amp;"."&amp;RIGHT("0"&amp;MOD(ROUND(INDEX(Нормативы!$D$2:$L$71,L350,M350)*100,0),100),2)))</f>
        <v/>
      </c>
      <c r="J350" s="12" t="str">
        <f aca="false">IF(D350="","",SUMIFS('Базовые времена'!$D$2:$D$71,'Базовые времена'!$A$2:$A$71,B350,'Базовые времена'!$B$2:$B$71,C350,'Базовые времена'!$C$2:$C$71,D350))</f>
        <v/>
      </c>
      <c r="K350" s="12" t="str">
        <f aca="false">IF(E350="","",IF(ISNUMBER(E350),IF(E350&lt;1,E350*86400,E350),IFERROR(IF(ISNUMBER(FIND(":",SUBSTITUTE(TRIM(E350),",","."))),VALUE(LEFT(SUBSTITUTE(TRIM(E350),",","."),FIND(":",SUBSTITUTE(TRIM(E350),",","."))-1))*60+_xlfn.NUMBERVALUE(MID(SUBSTITUTE(TRIM(E350),",","."),FIND(":",SUBSTITUTE(TRIM(E350),",","."))+1,99),"."),_xlfn.NUMBERVALUE(SUBSTITUTE(TRIM(E350),",","."),".")),0)))</f>
        <v/>
      </c>
      <c r="L350" s="3" t="str">
        <f aca="false">IF(OR(D350="",N(K350)&lt;=0),"",IFERROR(MATCH(B350&amp;"|"&amp;C350&amp;"|"&amp;D350,Нормативы!$M$2:$M$71,0),""))</f>
        <v/>
      </c>
      <c r="M350" s="3" t="str">
        <f aca="false">IF(L350="","",SUMPRODUCT((INDEX(Нормативы!$D$2:$L$71,L350,0)&lt;K350)*ISNUMBER(INDEX(Нормативы!$D$2:$L$71,L350,0))))</f>
        <v/>
      </c>
    </row>
    <row r="351" customFormat="false" ht="15" hidden="false" customHeight="false" outlineLevel="0" collapsed="false">
      <c r="A351" s="5"/>
      <c r="B351" s="5"/>
      <c r="C351" s="5"/>
      <c r="D351" s="5"/>
      <c r="E351" s="14"/>
      <c r="F351" s="4" t="str">
        <f aca="false">IF(OR(J351="",K351="",N(J351)=0,N(K351)&lt;=0),"",ROUNDDOWN(1000*(J351/K351)^3,0))</f>
        <v/>
      </c>
      <c r="G351" s="4" t="str">
        <f aca="false">IF(M351="","",IF(M351+1&gt;COUNT(INDEX(Нормативы!$D$2:$L$71,L351,0)),"Разряда нет",INDEX(Нормативы!$D$1:$L$1,1,M351+1)))</f>
        <v/>
      </c>
      <c r="H351" s="2" t="str">
        <f aca="false">IF(M351="","",IF(M351=0,"—",INDEX(Нормативы!$D$1:$L$1,1,M351)))</f>
        <v/>
      </c>
      <c r="I351" s="7" t="str">
        <f aca="false">IF(M351="","",IF(M351=0,"",IF(INT(ROUND(INDEX(Нормативы!$D$2:$L$71,L351,M351)*100,0)/6000)&gt;0,INT(ROUND(INDEX(Нормативы!$D$2:$L$71,L351,M351)*100,0)/6000)&amp;":"&amp;RIGHT("0"&amp;INT(MOD(ROUND(INDEX(Нормативы!$D$2:$L$71,L351,M351)*100,0),6000)/100),2),INT(MOD(ROUND(INDEX(Нормативы!$D$2:$L$71,L351,M351)*100,0),6000)/100))&amp;"."&amp;RIGHT("0"&amp;MOD(ROUND(INDEX(Нормативы!$D$2:$L$71,L351,M351)*100,0),100),2)))</f>
        <v/>
      </c>
      <c r="J351" s="12" t="str">
        <f aca="false">IF(D351="","",SUMIFS('Базовые времена'!$D$2:$D$71,'Базовые времена'!$A$2:$A$71,B351,'Базовые времена'!$B$2:$B$71,C351,'Базовые времена'!$C$2:$C$71,D351))</f>
        <v/>
      </c>
      <c r="K351" s="12" t="str">
        <f aca="false">IF(E351="","",IF(ISNUMBER(E351),IF(E351&lt;1,E351*86400,E351),IFERROR(IF(ISNUMBER(FIND(":",SUBSTITUTE(TRIM(E351),",","."))),VALUE(LEFT(SUBSTITUTE(TRIM(E351),",","."),FIND(":",SUBSTITUTE(TRIM(E351),",","."))-1))*60+_xlfn.NUMBERVALUE(MID(SUBSTITUTE(TRIM(E351),",","."),FIND(":",SUBSTITUTE(TRIM(E351),",","."))+1,99),"."),_xlfn.NUMBERVALUE(SUBSTITUTE(TRIM(E351),",","."),".")),0)))</f>
        <v/>
      </c>
      <c r="L351" s="3" t="str">
        <f aca="false">IF(OR(D351="",N(K351)&lt;=0),"",IFERROR(MATCH(B351&amp;"|"&amp;C351&amp;"|"&amp;D351,Нормативы!$M$2:$M$71,0),""))</f>
        <v/>
      </c>
      <c r="M351" s="3" t="str">
        <f aca="false">IF(L351="","",SUMPRODUCT((INDEX(Нормативы!$D$2:$L$71,L351,0)&lt;K351)*ISNUMBER(INDEX(Нормативы!$D$2:$L$71,L351,0))))</f>
        <v/>
      </c>
    </row>
    <row r="352" customFormat="false" ht="15" hidden="false" customHeight="false" outlineLevel="0" collapsed="false">
      <c r="A352" s="5"/>
      <c r="B352" s="5"/>
      <c r="C352" s="5"/>
      <c r="D352" s="5"/>
      <c r="E352" s="14"/>
      <c r="F352" s="4" t="str">
        <f aca="false">IF(OR(J352="",K352="",N(J352)=0,N(K352)&lt;=0),"",ROUNDDOWN(1000*(J352/K352)^3,0))</f>
        <v/>
      </c>
      <c r="G352" s="4" t="str">
        <f aca="false">IF(M352="","",IF(M352+1&gt;COUNT(INDEX(Нормативы!$D$2:$L$71,L352,0)),"Разряда нет",INDEX(Нормативы!$D$1:$L$1,1,M352+1)))</f>
        <v/>
      </c>
      <c r="H352" s="2" t="str">
        <f aca="false">IF(M352="","",IF(M352=0,"—",INDEX(Нормативы!$D$1:$L$1,1,M352)))</f>
        <v/>
      </c>
      <c r="I352" s="7" t="str">
        <f aca="false">IF(M352="","",IF(M352=0,"",IF(INT(ROUND(INDEX(Нормативы!$D$2:$L$71,L352,M352)*100,0)/6000)&gt;0,INT(ROUND(INDEX(Нормативы!$D$2:$L$71,L352,M352)*100,0)/6000)&amp;":"&amp;RIGHT("0"&amp;INT(MOD(ROUND(INDEX(Нормативы!$D$2:$L$71,L352,M352)*100,0),6000)/100),2),INT(MOD(ROUND(INDEX(Нормативы!$D$2:$L$71,L352,M352)*100,0),6000)/100))&amp;"."&amp;RIGHT("0"&amp;MOD(ROUND(INDEX(Нормативы!$D$2:$L$71,L352,M352)*100,0),100),2)))</f>
        <v/>
      </c>
      <c r="J352" s="12" t="str">
        <f aca="false">IF(D352="","",SUMIFS('Базовые времена'!$D$2:$D$71,'Базовые времена'!$A$2:$A$71,B352,'Базовые времена'!$B$2:$B$71,C352,'Базовые времена'!$C$2:$C$71,D352))</f>
        <v/>
      </c>
      <c r="K352" s="12" t="str">
        <f aca="false">IF(E352="","",IF(ISNUMBER(E352),IF(E352&lt;1,E352*86400,E352),IFERROR(IF(ISNUMBER(FIND(":",SUBSTITUTE(TRIM(E352),",","."))),VALUE(LEFT(SUBSTITUTE(TRIM(E352),",","."),FIND(":",SUBSTITUTE(TRIM(E352),",","."))-1))*60+_xlfn.NUMBERVALUE(MID(SUBSTITUTE(TRIM(E352),",","."),FIND(":",SUBSTITUTE(TRIM(E352),",","."))+1,99),"."),_xlfn.NUMBERVALUE(SUBSTITUTE(TRIM(E352),",","."),".")),0)))</f>
        <v/>
      </c>
      <c r="L352" s="3" t="str">
        <f aca="false">IF(OR(D352="",N(K352)&lt;=0),"",IFERROR(MATCH(B352&amp;"|"&amp;C352&amp;"|"&amp;D352,Нормативы!$M$2:$M$71,0),""))</f>
        <v/>
      </c>
      <c r="M352" s="3" t="str">
        <f aca="false">IF(L352="","",SUMPRODUCT((INDEX(Нормативы!$D$2:$L$71,L352,0)&lt;K352)*ISNUMBER(INDEX(Нормативы!$D$2:$L$71,L352,0))))</f>
        <v/>
      </c>
    </row>
    <row r="353" customFormat="false" ht="15" hidden="false" customHeight="false" outlineLevel="0" collapsed="false">
      <c r="A353" s="5"/>
      <c r="B353" s="5"/>
      <c r="C353" s="5"/>
      <c r="D353" s="5"/>
      <c r="E353" s="14"/>
      <c r="F353" s="4" t="str">
        <f aca="false">IF(OR(J353="",K353="",N(J353)=0,N(K353)&lt;=0),"",ROUNDDOWN(1000*(J353/K353)^3,0))</f>
        <v/>
      </c>
      <c r="G353" s="4" t="str">
        <f aca="false">IF(M353="","",IF(M353+1&gt;COUNT(INDEX(Нормативы!$D$2:$L$71,L353,0)),"Разряда нет",INDEX(Нормативы!$D$1:$L$1,1,M353+1)))</f>
        <v/>
      </c>
      <c r="H353" s="2" t="str">
        <f aca="false">IF(M353="","",IF(M353=0,"—",INDEX(Нормативы!$D$1:$L$1,1,M353)))</f>
        <v/>
      </c>
      <c r="I353" s="7" t="str">
        <f aca="false">IF(M353="","",IF(M353=0,"",IF(INT(ROUND(INDEX(Нормативы!$D$2:$L$71,L353,M353)*100,0)/6000)&gt;0,INT(ROUND(INDEX(Нормативы!$D$2:$L$71,L353,M353)*100,0)/6000)&amp;":"&amp;RIGHT("0"&amp;INT(MOD(ROUND(INDEX(Нормативы!$D$2:$L$71,L353,M353)*100,0),6000)/100),2),INT(MOD(ROUND(INDEX(Нормативы!$D$2:$L$71,L353,M353)*100,0),6000)/100))&amp;"."&amp;RIGHT("0"&amp;MOD(ROUND(INDEX(Нормативы!$D$2:$L$71,L353,M353)*100,0),100),2)))</f>
        <v/>
      </c>
      <c r="J353" s="12" t="str">
        <f aca="false">IF(D353="","",SUMIFS('Базовые времена'!$D$2:$D$71,'Базовые времена'!$A$2:$A$71,B353,'Базовые времена'!$B$2:$B$71,C353,'Базовые времена'!$C$2:$C$71,D353))</f>
        <v/>
      </c>
      <c r="K353" s="12" t="str">
        <f aca="false">IF(E353="","",IF(ISNUMBER(E353),IF(E353&lt;1,E353*86400,E353),IFERROR(IF(ISNUMBER(FIND(":",SUBSTITUTE(TRIM(E353),",","."))),VALUE(LEFT(SUBSTITUTE(TRIM(E353),",","."),FIND(":",SUBSTITUTE(TRIM(E353),",","."))-1))*60+_xlfn.NUMBERVALUE(MID(SUBSTITUTE(TRIM(E353),",","."),FIND(":",SUBSTITUTE(TRIM(E353),",","."))+1,99),"."),_xlfn.NUMBERVALUE(SUBSTITUTE(TRIM(E353),",","."),".")),0)))</f>
        <v/>
      </c>
      <c r="L353" s="3" t="str">
        <f aca="false">IF(OR(D353="",N(K353)&lt;=0),"",IFERROR(MATCH(B353&amp;"|"&amp;C353&amp;"|"&amp;D353,Нормативы!$M$2:$M$71,0),""))</f>
        <v/>
      </c>
      <c r="M353" s="3" t="str">
        <f aca="false">IF(L353="","",SUMPRODUCT((INDEX(Нормативы!$D$2:$L$71,L353,0)&lt;K353)*ISNUMBER(INDEX(Нормативы!$D$2:$L$71,L353,0))))</f>
        <v/>
      </c>
    </row>
    <row r="354" customFormat="false" ht="15" hidden="false" customHeight="false" outlineLevel="0" collapsed="false">
      <c r="A354" s="5"/>
      <c r="B354" s="5"/>
      <c r="C354" s="5"/>
      <c r="D354" s="5"/>
      <c r="E354" s="14"/>
      <c r="F354" s="4" t="str">
        <f aca="false">IF(OR(J354="",K354="",N(J354)=0,N(K354)&lt;=0),"",ROUNDDOWN(1000*(J354/K354)^3,0))</f>
        <v/>
      </c>
      <c r="G354" s="4" t="str">
        <f aca="false">IF(M354="","",IF(M354+1&gt;COUNT(INDEX(Нормативы!$D$2:$L$71,L354,0)),"Разряда нет",INDEX(Нормативы!$D$1:$L$1,1,M354+1)))</f>
        <v/>
      </c>
      <c r="H354" s="2" t="str">
        <f aca="false">IF(M354="","",IF(M354=0,"—",INDEX(Нормативы!$D$1:$L$1,1,M354)))</f>
        <v/>
      </c>
      <c r="I354" s="7" t="str">
        <f aca="false">IF(M354="","",IF(M354=0,"",IF(INT(ROUND(INDEX(Нормативы!$D$2:$L$71,L354,M354)*100,0)/6000)&gt;0,INT(ROUND(INDEX(Нормативы!$D$2:$L$71,L354,M354)*100,0)/6000)&amp;":"&amp;RIGHT("0"&amp;INT(MOD(ROUND(INDEX(Нормативы!$D$2:$L$71,L354,M354)*100,0),6000)/100),2),INT(MOD(ROUND(INDEX(Нормативы!$D$2:$L$71,L354,M354)*100,0),6000)/100))&amp;"."&amp;RIGHT("0"&amp;MOD(ROUND(INDEX(Нормативы!$D$2:$L$71,L354,M354)*100,0),100),2)))</f>
        <v/>
      </c>
      <c r="J354" s="12" t="str">
        <f aca="false">IF(D354="","",SUMIFS('Базовые времена'!$D$2:$D$71,'Базовые времена'!$A$2:$A$71,B354,'Базовые времена'!$B$2:$B$71,C354,'Базовые времена'!$C$2:$C$71,D354))</f>
        <v/>
      </c>
      <c r="K354" s="12" t="str">
        <f aca="false">IF(E354="","",IF(ISNUMBER(E354),IF(E354&lt;1,E354*86400,E354),IFERROR(IF(ISNUMBER(FIND(":",SUBSTITUTE(TRIM(E354),",","."))),VALUE(LEFT(SUBSTITUTE(TRIM(E354),",","."),FIND(":",SUBSTITUTE(TRIM(E354),",","."))-1))*60+_xlfn.NUMBERVALUE(MID(SUBSTITUTE(TRIM(E354),",","."),FIND(":",SUBSTITUTE(TRIM(E354),",","."))+1,99),"."),_xlfn.NUMBERVALUE(SUBSTITUTE(TRIM(E354),",","."),".")),0)))</f>
        <v/>
      </c>
      <c r="L354" s="3" t="str">
        <f aca="false">IF(OR(D354="",N(K354)&lt;=0),"",IFERROR(MATCH(B354&amp;"|"&amp;C354&amp;"|"&amp;D354,Нормативы!$M$2:$M$71,0),""))</f>
        <v/>
      </c>
      <c r="M354" s="3" t="str">
        <f aca="false">IF(L354="","",SUMPRODUCT((INDEX(Нормативы!$D$2:$L$71,L354,0)&lt;K354)*ISNUMBER(INDEX(Нормативы!$D$2:$L$71,L354,0))))</f>
        <v/>
      </c>
    </row>
    <row r="355" customFormat="false" ht="15" hidden="false" customHeight="false" outlineLevel="0" collapsed="false">
      <c r="A355" s="5"/>
      <c r="B355" s="5"/>
      <c r="C355" s="5"/>
      <c r="D355" s="5"/>
      <c r="E355" s="14"/>
      <c r="F355" s="4" t="str">
        <f aca="false">IF(OR(J355="",K355="",N(J355)=0,N(K355)&lt;=0),"",ROUNDDOWN(1000*(J355/K355)^3,0))</f>
        <v/>
      </c>
      <c r="G355" s="4" t="str">
        <f aca="false">IF(M355="","",IF(M355+1&gt;COUNT(INDEX(Нормативы!$D$2:$L$71,L355,0)),"Разряда нет",INDEX(Нормативы!$D$1:$L$1,1,M355+1)))</f>
        <v/>
      </c>
      <c r="H355" s="2" t="str">
        <f aca="false">IF(M355="","",IF(M355=0,"—",INDEX(Нормативы!$D$1:$L$1,1,M355)))</f>
        <v/>
      </c>
      <c r="I355" s="7" t="str">
        <f aca="false">IF(M355="","",IF(M355=0,"",IF(INT(ROUND(INDEX(Нормативы!$D$2:$L$71,L355,M355)*100,0)/6000)&gt;0,INT(ROUND(INDEX(Нормативы!$D$2:$L$71,L355,M355)*100,0)/6000)&amp;":"&amp;RIGHT("0"&amp;INT(MOD(ROUND(INDEX(Нормативы!$D$2:$L$71,L355,M355)*100,0),6000)/100),2),INT(MOD(ROUND(INDEX(Нормативы!$D$2:$L$71,L355,M355)*100,0),6000)/100))&amp;"."&amp;RIGHT("0"&amp;MOD(ROUND(INDEX(Нормативы!$D$2:$L$71,L355,M355)*100,0),100),2)))</f>
        <v/>
      </c>
      <c r="J355" s="12" t="str">
        <f aca="false">IF(D355="","",SUMIFS('Базовые времена'!$D$2:$D$71,'Базовые времена'!$A$2:$A$71,B355,'Базовые времена'!$B$2:$B$71,C355,'Базовые времена'!$C$2:$C$71,D355))</f>
        <v/>
      </c>
      <c r="K355" s="12" t="str">
        <f aca="false">IF(E355="","",IF(ISNUMBER(E355),IF(E355&lt;1,E355*86400,E355),IFERROR(IF(ISNUMBER(FIND(":",SUBSTITUTE(TRIM(E355),",","."))),VALUE(LEFT(SUBSTITUTE(TRIM(E355),",","."),FIND(":",SUBSTITUTE(TRIM(E355),",","."))-1))*60+_xlfn.NUMBERVALUE(MID(SUBSTITUTE(TRIM(E355),",","."),FIND(":",SUBSTITUTE(TRIM(E355),",","."))+1,99),"."),_xlfn.NUMBERVALUE(SUBSTITUTE(TRIM(E355),",","."),".")),0)))</f>
        <v/>
      </c>
      <c r="L355" s="3" t="str">
        <f aca="false">IF(OR(D355="",N(K355)&lt;=0),"",IFERROR(MATCH(B355&amp;"|"&amp;C355&amp;"|"&amp;D355,Нормативы!$M$2:$M$71,0),""))</f>
        <v/>
      </c>
      <c r="M355" s="3" t="str">
        <f aca="false">IF(L355="","",SUMPRODUCT((INDEX(Нормативы!$D$2:$L$71,L355,0)&lt;K355)*ISNUMBER(INDEX(Нормативы!$D$2:$L$71,L355,0))))</f>
        <v/>
      </c>
    </row>
    <row r="356" customFormat="false" ht="15" hidden="false" customHeight="false" outlineLevel="0" collapsed="false">
      <c r="A356" s="5"/>
      <c r="B356" s="5"/>
      <c r="C356" s="5"/>
      <c r="D356" s="5"/>
      <c r="E356" s="14"/>
      <c r="F356" s="4" t="str">
        <f aca="false">IF(OR(J356="",K356="",N(J356)=0,N(K356)&lt;=0),"",ROUNDDOWN(1000*(J356/K356)^3,0))</f>
        <v/>
      </c>
      <c r="G356" s="4" t="str">
        <f aca="false">IF(M356="","",IF(M356+1&gt;COUNT(INDEX(Нормативы!$D$2:$L$71,L356,0)),"Разряда нет",INDEX(Нормативы!$D$1:$L$1,1,M356+1)))</f>
        <v/>
      </c>
      <c r="H356" s="2" t="str">
        <f aca="false">IF(M356="","",IF(M356=0,"—",INDEX(Нормативы!$D$1:$L$1,1,M356)))</f>
        <v/>
      </c>
      <c r="I356" s="7" t="str">
        <f aca="false">IF(M356="","",IF(M356=0,"",IF(INT(ROUND(INDEX(Нормативы!$D$2:$L$71,L356,M356)*100,0)/6000)&gt;0,INT(ROUND(INDEX(Нормативы!$D$2:$L$71,L356,M356)*100,0)/6000)&amp;":"&amp;RIGHT("0"&amp;INT(MOD(ROUND(INDEX(Нормативы!$D$2:$L$71,L356,M356)*100,0),6000)/100),2),INT(MOD(ROUND(INDEX(Нормативы!$D$2:$L$71,L356,M356)*100,0),6000)/100))&amp;"."&amp;RIGHT("0"&amp;MOD(ROUND(INDEX(Нормативы!$D$2:$L$71,L356,M356)*100,0),100),2)))</f>
        <v/>
      </c>
      <c r="J356" s="12" t="str">
        <f aca="false">IF(D356="","",SUMIFS('Базовые времена'!$D$2:$D$71,'Базовые времена'!$A$2:$A$71,B356,'Базовые времена'!$B$2:$B$71,C356,'Базовые времена'!$C$2:$C$71,D356))</f>
        <v/>
      </c>
      <c r="K356" s="12" t="str">
        <f aca="false">IF(E356="","",IF(ISNUMBER(E356),IF(E356&lt;1,E356*86400,E356),IFERROR(IF(ISNUMBER(FIND(":",SUBSTITUTE(TRIM(E356),",","."))),VALUE(LEFT(SUBSTITUTE(TRIM(E356),",","."),FIND(":",SUBSTITUTE(TRIM(E356),",","."))-1))*60+_xlfn.NUMBERVALUE(MID(SUBSTITUTE(TRIM(E356),",","."),FIND(":",SUBSTITUTE(TRIM(E356),",","."))+1,99),"."),_xlfn.NUMBERVALUE(SUBSTITUTE(TRIM(E356),",","."),".")),0)))</f>
        <v/>
      </c>
      <c r="L356" s="3" t="str">
        <f aca="false">IF(OR(D356="",N(K356)&lt;=0),"",IFERROR(MATCH(B356&amp;"|"&amp;C356&amp;"|"&amp;D356,Нормативы!$M$2:$M$71,0),""))</f>
        <v/>
      </c>
      <c r="M356" s="3" t="str">
        <f aca="false">IF(L356="","",SUMPRODUCT((INDEX(Нормативы!$D$2:$L$71,L356,0)&lt;K356)*ISNUMBER(INDEX(Нормативы!$D$2:$L$71,L356,0))))</f>
        <v/>
      </c>
    </row>
    <row r="357" customFormat="false" ht="15" hidden="false" customHeight="false" outlineLevel="0" collapsed="false">
      <c r="A357" s="5"/>
      <c r="B357" s="5"/>
      <c r="C357" s="5"/>
      <c r="D357" s="5"/>
      <c r="E357" s="14"/>
      <c r="F357" s="4" t="str">
        <f aca="false">IF(OR(J357="",K357="",N(J357)=0,N(K357)&lt;=0),"",ROUNDDOWN(1000*(J357/K357)^3,0))</f>
        <v/>
      </c>
      <c r="G357" s="4" t="str">
        <f aca="false">IF(M357="","",IF(M357+1&gt;COUNT(INDEX(Нормативы!$D$2:$L$71,L357,0)),"Разряда нет",INDEX(Нормативы!$D$1:$L$1,1,M357+1)))</f>
        <v/>
      </c>
      <c r="H357" s="2" t="str">
        <f aca="false">IF(M357="","",IF(M357=0,"—",INDEX(Нормативы!$D$1:$L$1,1,M357)))</f>
        <v/>
      </c>
      <c r="I357" s="7" t="str">
        <f aca="false">IF(M357="","",IF(M357=0,"",IF(INT(ROUND(INDEX(Нормативы!$D$2:$L$71,L357,M357)*100,0)/6000)&gt;0,INT(ROUND(INDEX(Нормативы!$D$2:$L$71,L357,M357)*100,0)/6000)&amp;":"&amp;RIGHT("0"&amp;INT(MOD(ROUND(INDEX(Нормативы!$D$2:$L$71,L357,M357)*100,0),6000)/100),2),INT(MOD(ROUND(INDEX(Нормативы!$D$2:$L$71,L357,M357)*100,0),6000)/100))&amp;"."&amp;RIGHT("0"&amp;MOD(ROUND(INDEX(Нормативы!$D$2:$L$71,L357,M357)*100,0),100),2)))</f>
        <v/>
      </c>
      <c r="J357" s="12" t="str">
        <f aca="false">IF(D357="","",SUMIFS('Базовые времена'!$D$2:$D$71,'Базовые времена'!$A$2:$A$71,B357,'Базовые времена'!$B$2:$B$71,C357,'Базовые времена'!$C$2:$C$71,D357))</f>
        <v/>
      </c>
      <c r="K357" s="12" t="str">
        <f aca="false">IF(E357="","",IF(ISNUMBER(E357),IF(E357&lt;1,E357*86400,E357),IFERROR(IF(ISNUMBER(FIND(":",SUBSTITUTE(TRIM(E357),",","."))),VALUE(LEFT(SUBSTITUTE(TRIM(E357),",","."),FIND(":",SUBSTITUTE(TRIM(E357),",","."))-1))*60+_xlfn.NUMBERVALUE(MID(SUBSTITUTE(TRIM(E357),",","."),FIND(":",SUBSTITUTE(TRIM(E357),",","."))+1,99),"."),_xlfn.NUMBERVALUE(SUBSTITUTE(TRIM(E357),",","."),".")),0)))</f>
        <v/>
      </c>
      <c r="L357" s="3" t="str">
        <f aca="false">IF(OR(D357="",N(K357)&lt;=0),"",IFERROR(MATCH(B357&amp;"|"&amp;C357&amp;"|"&amp;D357,Нормативы!$M$2:$M$71,0),""))</f>
        <v/>
      </c>
      <c r="M357" s="3" t="str">
        <f aca="false">IF(L357="","",SUMPRODUCT((INDEX(Нормативы!$D$2:$L$71,L357,0)&lt;K357)*ISNUMBER(INDEX(Нормативы!$D$2:$L$71,L357,0))))</f>
        <v/>
      </c>
    </row>
    <row r="358" customFormat="false" ht="15" hidden="false" customHeight="false" outlineLevel="0" collapsed="false">
      <c r="A358" s="5"/>
      <c r="B358" s="5"/>
      <c r="C358" s="5"/>
      <c r="D358" s="5"/>
      <c r="E358" s="14"/>
      <c r="F358" s="4" t="str">
        <f aca="false">IF(OR(J358="",K358="",N(J358)=0,N(K358)&lt;=0),"",ROUNDDOWN(1000*(J358/K358)^3,0))</f>
        <v/>
      </c>
      <c r="G358" s="4" t="str">
        <f aca="false">IF(M358="","",IF(M358+1&gt;COUNT(INDEX(Нормативы!$D$2:$L$71,L358,0)),"Разряда нет",INDEX(Нормативы!$D$1:$L$1,1,M358+1)))</f>
        <v/>
      </c>
      <c r="H358" s="2" t="str">
        <f aca="false">IF(M358="","",IF(M358=0,"—",INDEX(Нормативы!$D$1:$L$1,1,M358)))</f>
        <v/>
      </c>
      <c r="I358" s="7" t="str">
        <f aca="false">IF(M358="","",IF(M358=0,"",IF(INT(ROUND(INDEX(Нормативы!$D$2:$L$71,L358,M358)*100,0)/6000)&gt;0,INT(ROUND(INDEX(Нормативы!$D$2:$L$71,L358,M358)*100,0)/6000)&amp;":"&amp;RIGHT("0"&amp;INT(MOD(ROUND(INDEX(Нормативы!$D$2:$L$71,L358,M358)*100,0),6000)/100),2),INT(MOD(ROUND(INDEX(Нормативы!$D$2:$L$71,L358,M358)*100,0),6000)/100))&amp;"."&amp;RIGHT("0"&amp;MOD(ROUND(INDEX(Нормативы!$D$2:$L$71,L358,M358)*100,0),100),2)))</f>
        <v/>
      </c>
      <c r="J358" s="12" t="str">
        <f aca="false">IF(D358="","",SUMIFS('Базовые времена'!$D$2:$D$71,'Базовые времена'!$A$2:$A$71,B358,'Базовые времена'!$B$2:$B$71,C358,'Базовые времена'!$C$2:$C$71,D358))</f>
        <v/>
      </c>
      <c r="K358" s="12" t="str">
        <f aca="false">IF(E358="","",IF(ISNUMBER(E358),IF(E358&lt;1,E358*86400,E358),IFERROR(IF(ISNUMBER(FIND(":",SUBSTITUTE(TRIM(E358),",","."))),VALUE(LEFT(SUBSTITUTE(TRIM(E358),",","."),FIND(":",SUBSTITUTE(TRIM(E358),",","."))-1))*60+_xlfn.NUMBERVALUE(MID(SUBSTITUTE(TRIM(E358),",","."),FIND(":",SUBSTITUTE(TRIM(E358),",","."))+1,99),"."),_xlfn.NUMBERVALUE(SUBSTITUTE(TRIM(E358),",","."),".")),0)))</f>
        <v/>
      </c>
      <c r="L358" s="3" t="str">
        <f aca="false">IF(OR(D358="",N(K358)&lt;=0),"",IFERROR(MATCH(B358&amp;"|"&amp;C358&amp;"|"&amp;D358,Нормативы!$M$2:$M$71,0),""))</f>
        <v/>
      </c>
      <c r="M358" s="3" t="str">
        <f aca="false">IF(L358="","",SUMPRODUCT((INDEX(Нормативы!$D$2:$L$71,L358,0)&lt;K358)*ISNUMBER(INDEX(Нормативы!$D$2:$L$71,L358,0))))</f>
        <v/>
      </c>
    </row>
    <row r="359" customFormat="false" ht="15" hidden="false" customHeight="false" outlineLevel="0" collapsed="false">
      <c r="A359" s="5"/>
      <c r="B359" s="5"/>
      <c r="C359" s="5"/>
      <c r="D359" s="5"/>
      <c r="E359" s="14"/>
      <c r="F359" s="4" t="str">
        <f aca="false">IF(OR(J359="",K359="",N(J359)=0,N(K359)&lt;=0),"",ROUNDDOWN(1000*(J359/K359)^3,0))</f>
        <v/>
      </c>
      <c r="G359" s="4" t="str">
        <f aca="false">IF(M359="","",IF(M359+1&gt;COUNT(INDEX(Нормативы!$D$2:$L$71,L359,0)),"Разряда нет",INDEX(Нормативы!$D$1:$L$1,1,M359+1)))</f>
        <v/>
      </c>
      <c r="H359" s="2" t="str">
        <f aca="false">IF(M359="","",IF(M359=0,"—",INDEX(Нормативы!$D$1:$L$1,1,M359)))</f>
        <v/>
      </c>
      <c r="I359" s="7" t="str">
        <f aca="false">IF(M359="","",IF(M359=0,"",IF(INT(ROUND(INDEX(Нормативы!$D$2:$L$71,L359,M359)*100,0)/6000)&gt;0,INT(ROUND(INDEX(Нормативы!$D$2:$L$71,L359,M359)*100,0)/6000)&amp;":"&amp;RIGHT("0"&amp;INT(MOD(ROUND(INDEX(Нормативы!$D$2:$L$71,L359,M359)*100,0),6000)/100),2),INT(MOD(ROUND(INDEX(Нормативы!$D$2:$L$71,L359,M359)*100,0),6000)/100))&amp;"."&amp;RIGHT("0"&amp;MOD(ROUND(INDEX(Нормативы!$D$2:$L$71,L359,M359)*100,0),100),2)))</f>
        <v/>
      </c>
      <c r="J359" s="12" t="str">
        <f aca="false">IF(D359="","",SUMIFS('Базовые времена'!$D$2:$D$71,'Базовые времена'!$A$2:$A$71,B359,'Базовые времена'!$B$2:$B$71,C359,'Базовые времена'!$C$2:$C$71,D359))</f>
        <v/>
      </c>
      <c r="K359" s="12" t="str">
        <f aca="false">IF(E359="","",IF(ISNUMBER(E359),IF(E359&lt;1,E359*86400,E359),IFERROR(IF(ISNUMBER(FIND(":",SUBSTITUTE(TRIM(E359),",","."))),VALUE(LEFT(SUBSTITUTE(TRIM(E359),",","."),FIND(":",SUBSTITUTE(TRIM(E359),",","."))-1))*60+_xlfn.NUMBERVALUE(MID(SUBSTITUTE(TRIM(E359),",","."),FIND(":",SUBSTITUTE(TRIM(E359),",","."))+1,99),"."),_xlfn.NUMBERVALUE(SUBSTITUTE(TRIM(E359),",","."),".")),0)))</f>
        <v/>
      </c>
      <c r="L359" s="3" t="str">
        <f aca="false">IF(OR(D359="",N(K359)&lt;=0),"",IFERROR(MATCH(B359&amp;"|"&amp;C359&amp;"|"&amp;D359,Нормативы!$M$2:$M$71,0),""))</f>
        <v/>
      </c>
      <c r="M359" s="3" t="str">
        <f aca="false">IF(L359="","",SUMPRODUCT((INDEX(Нормативы!$D$2:$L$71,L359,0)&lt;K359)*ISNUMBER(INDEX(Нормативы!$D$2:$L$71,L359,0))))</f>
        <v/>
      </c>
    </row>
    <row r="360" customFormat="false" ht="15" hidden="false" customHeight="false" outlineLevel="0" collapsed="false">
      <c r="A360" s="5"/>
      <c r="B360" s="5"/>
      <c r="C360" s="5"/>
      <c r="D360" s="5"/>
      <c r="E360" s="14"/>
      <c r="F360" s="4" t="str">
        <f aca="false">IF(OR(J360="",K360="",N(J360)=0,N(K360)&lt;=0),"",ROUNDDOWN(1000*(J360/K360)^3,0))</f>
        <v/>
      </c>
      <c r="G360" s="4" t="str">
        <f aca="false">IF(M360="","",IF(M360+1&gt;COUNT(INDEX(Нормативы!$D$2:$L$71,L360,0)),"Разряда нет",INDEX(Нормативы!$D$1:$L$1,1,M360+1)))</f>
        <v/>
      </c>
      <c r="H360" s="2" t="str">
        <f aca="false">IF(M360="","",IF(M360=0,"—",INDEX(Нормативы!$D$1:$L$1,1,M360)))</f>
        <v/>
      </c>
      <c r="I360" s="7" t="str">
        <f aca="false">IF(M360="","",IF(M360=0,"",IF(INT(ROUND(INDEX(Нормативы!$D$2:$L$71,L360,M360)*100,0)/6000)&gt;0,INT(ROUND(INDEX(Нормативы!$D$2:$L$71,L360,M360)*100,0)/6000)&amp;":"&amp;RIGHT("0"&amp;INT(MOD(ROUND(INDEX(Нормативы!$D$2:$L$71,L360,M360)*100,0),6000)/100),2),INT(MOD(ROUND(INDEX(Нормативы!$D$2:$L$71,L360,M360)*100,0),6000)/100))&amp;"."&amp;RIGHT("0"&amp;MOD(ROUND(INDEX(Нормативы!$D$2:$L$71,L360,M360)*100,0),100),2)))</f>
        <v/>
      </c>
      <c r="J360" s="12" t="str">
        <f aca="false">IF(D360="","",SUMIFS('Базовые времена'!$D$2:$D$71,'Базовые времена'!$A$2:$A$71,B360,'Базовые времена'!$B$2:$B$71,C360,'Базовые времена'!$C$2:$C$71,D360))</f>
        <v/>
      </c>
      <c r="K360" s="12" t="str">
        <f aca="false">IF(E360="","",IF(ISNUMBER(E360),IF(E360&lt;1,E360*86400,E360),IFERROR(IF(ISNUMBER(FIND(":",SUBSTITUTE(TRIM(E360),",","."))),VALUE(LEFT(SUBSTITUTE(TRIM(E360),",","."),FIND(":",SUBSTITUTE(TRIM(E360),",","."))-1))*60+_xlfn.NUMBERVALUE(MID(SUBSTITUTE(TRIM(E360),",","."),FIND(":",SUBSTITUTE(TRIM(E360),",","."))+1,99),"."),_xlfn.NUMBERVALUE(SUBSTITUTE(TRIM(E360),",","."),".")),0)))</f>
        <v/>
      </c>
      <c r="L360" s="3" t="str">
        <f aca="false">IF(OR(D360="",N(K360)&lt;=0),"",IFERROR(MATCH(B360&amp;"|"&amp;C360&amp;"|"&amp;D360,Нормативы!$M$2:$M$71,0),""))</f>
        <v/>
      </c>
      <c r="M360" s="3" t="str">
        <f aca="false">IF(L360="","",SUMPRODUCT((INDEX(Нормативы!$D$2:$L$71,L360,0)&lt;K360)*ISNUMBER(INDEX(Нормативы!$D$2:$L$71,L360,0))))</f>
        <v/>
      </c>
    </row>
    <row r="361" customFormat="false" ht="15" hidden="false" customHeight="false" outlineLevel="0" collapsed="false">
      <c r="A361" s="5"/>
      <c r="B361" s="5"/>
      <c r="C361" s="5"/>
      <c r="D361" s="5"/>
      <c r="E361" s="14"/>
      <c r="F361" s="4" t="str">
        <f aca="false">IF(OR(J361="",K361="",N(J361)=0,N(K361)&lt;=0),"",ROUNDDOWN(1000*(J361/K361)^3,0))</f>
        <v/>
      </c>
      <c r="G361" s="4" t="str">
        <f aca="false">IF(M361="","",IF(M361+1&gt;COUNT(INDEX(Нормативы!$D$2:$L$71,L361,0)),"Разряда нет",INDEX(Нормативы!$D$1:$L$1,1,M361+1)))</f>
        <v/>
      </c>
      <c r="H361" s="2" t="str">
        <f aca="false">IF(M361="","",IF(M361=0,"—",INDEX(Нормативы!$D$1:$L$1,1,M361)))</f>
        <v/>
      </c>
      <c r="I361" s="7" t="str">
        <f aca="false">IF(M361="","",IF(M361=0,"",IF(INT(ROUND(INDEX(Нормативы!$D$2:$L$71,L361,M361)*100,0)/6000)&gt;0,INT(ROUND(INDEX(Нормативы!$D$2:$L$71,L361,M361)*100,0)/6000)&amp;":"&amp;RIGHT("0"&amp;INT(MOD(ROUND(INDEX(Нормативы!$D$2:$L$71,L361,M361)*100,0),6000)/100),2),INT(MOD(ROUND(INDEX(Нормативы!$D$2:$L$71,L361,M361)*100,0),6000)/100))&amp;"."&amp;RIGHT("0"&amp;MOD(ROUND(INDEX(Нормативы!$D$2:$L$71,L361,M361)*100,0),100),2)))</f>
        <v/>
      </c>
      <c r="J361" s="12" t="str">
        <f aca="false">IF(D361="","",SUMIFS('Базовые времена'!$D$2:$D$71,'Базовые времена'!$A$2:$A$71,B361,'Базовые времена'!$B$2:$B$71,C361,'Базовые времена'!$C$2:$C$71,D361))</f>
        <v/>
      </c>
      <c r="K361" s="12" t="str">
        <f aca="false">IF(E361="","",IF(ISNUMBER(E361),IF(E361&lt;1,E361*86400,E361),IFERROR(IF(ISNUMBER(FIND(":",SUBSTITUTE(TRIM(E361),",","."))),VALUE(LEFT(SUBSTITUTE(TRIM(E361),",","."),FIND(":",SUBSTITUTE(TRIM(E361),",","."))-1))*60+_xlfn.NUMBERVALUE(MID(SUBSTITUTE(TRIM(E361),",","."),FIND(":",SUBSTITUTE(TRIM(E361),",","."))+1,99),"."),_xlfn.NUMBERVALUE(SUBSTITUTE(TRIM(E361),",","."),".")),0)))</f>
        <v/>
      </c>
      <c r="L361" s="3" t="str">
        <f aca="false">IF(OR(D361="",N(K361)&lt;=0),"",IFERROR(MATCH(B361&amp;"|"&amp;C361&amp;"|"&amp;D361,Нормативы!$M$2:$M$71,0),""))</f>
        <v/>
      </c>
      <c r="M361" s="3" t="str">
        <f aca="false">IF(L361="","",SUMPRODUCT((INDEX(Нормативы!$D$2:$L$71,L361,0)&lt;K361)*ISNUMBER(INDEX(Нормативы!$D$2:$L$71,L361,0))))</f>
        <v/>
      </c>
    </row>
    <row r="362" customFormat="false" ht="15" hidden="false" customHeight="false" outlineLevel="0" collapsed="false">
      <c r="A362" s="5"/>
      <c r="B362" s="5"/>
      <c r="C362" s="5"/>
      <c r="D362" s="5"/>
      <c r="E362" s="14"/>
      <c r="F362" s="4" t="str">
        <f aca="false">IF(OR(J362="",K362="",N(J362)=0,N(K362)&lt;=0),"",ROUNDDOWN(1000*(J362/K362)^3,0))</f>
        <v/>
      </c>
      <c r="G362" s="4" t="str">
        <f aca="false">IF(M362="","",IF(M362+1&gt;COUNT(INDEX(Нормативы!$D$2:$L$71,L362,0)),"Разряда нет",INDEX(Нормативы!$D$1:$L$1,1,M362+1)))</f>
        <v/>
      </c>
      <c r="H362" s="2" t="str">
        <f aca="false">IF(M362="","",IF(M362=0,"—",INDEX(Нормативы!$D$1:$L$1,1,M362)))</f>
        <v/>
      </c>
      <c r="I362" s="7" t="str">
        <f aca="false">IF(M362="","",IF(M362=0,"",IF(INT(ROUND(INDEX(Нормативы!$D$2:$L$71,L362,M362)*100,0)/6000)&gt;0,INT(ROUND(INDEX(Нормативы!$D$2:$L$71,L362,M362)*100,0)/6000)&amp;":"&amp;RIGHT("0"&amp;INT(MOD(ROUND(INDEX(Нормативы!$D$2:$L$71,L362,M362)*100,0),6000)/100),2),INT(MOD(ROUND(INDEX(Нормативы!$D$2:$L$71,L362,M362)*100,0),6000)/100))&amp;"."&amp;RIGHT("0"&amp;MOD(ROUND(INDEX(Нормативы!$D$2:$L$71,L362,M362)*100,0),100),2)))</f>
        <v/>
      </c>
      <c r="J362" s="12" t="str">
        <f aca="false">IF(D362="","",SUMIFS('Базовые времена'!$D$2:$D$71,'Базовые времена'!$A$2:$A$71,B362,'Базовые времена'!$B$2:$B$71,C362,'Базовые времена'!$C$2:$C$71,D362))</f>
        <v/>
      </c>
      <c r="K362" s="12" t="str">
        <f aca="false">IF(E362="","",IF(ISNUMBER(E362),IF(E362&lt;1,E362*86400,E362),IFERROR(IF(ISNUMBER(FIND(":",SUBSTITUTE(TRIM(E362),",","."))),VALUE(LEFT(SUBSTITUTE(TRIM(E362),",","."),FIND(":",SUBSTITUTE(TRIM(E362),",","."))-1))*60+_xlfn.NUMBERVALUE(MID(SUBSTITUTE(TRIM(E362),",","."),FIND(":",SUBSTITUTE(TRIM(E362),",","."))+1,99),"."),_xlfn.NUMBERVALUE(SUBSTITUTE(TRIM(E362),",","."),".")),0)))</f>
        <v/>
      </c>
      <c r="L362" s="3" t="str">
        <f aca="false">IF(OR(D362="",N(K362)&lt;=0),"",IFERROR(MATCH(B362&amp;"|"&amp;C362&amp;"|"&amp;D362,Нормативы!$M$2:$M$71,0),""))</f>
        <v/>
      </c>
      <c r="M362" s="3" t="str">
        <f aca="false">IF(L362="","",SUMPRODUCT((INDEX(Нормативы!$D$2:$L$71,L362,0)&lt;K362)*ISNUMBER(INDEX(Нормативы!$D$2:$L$71,L362,0))))</f>
        <v/>
      </c>
    </row>
    <row r="363" customFormat="false" ht="15" hidden="false" customHeight="false" outlineLevel="0" collapsed="false">
      <c r="A363" s="5"/>
      <c r="B363" s="5"/>
      <c r="C363" s="5"/>
      <c r="D363" s="5"/>
      <c r="E363" s="14"/>
      <c r="F363" s="4" t="str">
        <f aca="false">IF(OR(J363="",K363="",N(J363)=0,N(K363)&lt;=0),"",ROUNDDOWN(1000*(J363/K363)^3,0))</f>
        <v/>
      </c>
      <c r="G363" s="4" t="str">
        <f aca="false">IF(M363="","",IF(M363+1&gt;COUNT(INDEX(Нормативы!$D$2:$L$71,L363,0)),"Разряда нет",INDEX(Нормативы!$D$1:$L$1,1,M363+1)))</f>
        <v/>
      </c>
      <c r="H363" s="2" t="str">
        <f aca="false">IF(M363="","",IF(M363=0,"—",INDEX(Нормативы!$D$1:$L$1,1,M363)))</f>
        <v/>
      </c>
      <c r="I363" s="7" t="str">
        <f aca="false">IF(M363="","",IF(M363=0,"",IF(INT(ROUND(INDEX(Нормативы!$D$2:$L$71,L363,M363)*100,0)/6000)&gt;0,INT(ROUND(INDEX(Нормативы!$D$2:$L$71,L363,M363)*100,0)/6000)&amp;":"&amp;RIGHT("0"&amp;INT(MOD(ROUND(INDEX(Нормативы!$D$2:$L$71,L363,M363)*100,0),6000)/100),2),INT(MOD(ROUND(INDEX(Нормативы!$D$2:$L$71,L363,M363)*100,0),6000)/100))&amp;"."&amp;RIGHT("0"&amp;MOD(ROUND(INDEX(Нормативы!$D$2:$L$71,L363,M363)*100,0),100),2)))</f>
        <v/>
      </c>
      <c r="J363" s="12" t="str">
        <f aca="false">IF(D363="","",SUMIFS('Базовые времена'!$D$2:$D$71,'Базовые времена'!$A$2:$A$71,B363,'Базовые времена'!$B$2:$B$71,C363,'Базовые времена'!$C$2:$C$71,D363))</f>
        <v/>
      </c>
      <c r="K363" s="12" t="str">
        <f aca="false">IF(E363="","",IF(ISNUMBER(E363),IF(E363&lt;1,E363*86400,E363),IFERROR(IF(ISNUMBER(FIND(":",SUBSTITUTE(TRIM(E363),",","."))),VALUE(LEFT(SUBSTITUTE(TRIM(E363),",","."),FIND(":",SUBSTITUTE(TRIM(E363),",","."))-1))*60+_xlfn.NUMBERVALUE(MID(SUBSTITUTE(TRIM(E363),",","."),FIND(":",SUBSTITUTE(TRIM(E363),",","."))+1,99),"."),_xlfn.NUMBERVALUE(SUBSTITUTE(TRIM(E363),",","."),".")),0)))</f>
        <v/>
      </c>
      <c r="L363" s="3" t="str">
        <f aca="false">IF(OR(D363="",N(K363)&lt;=0),"",IFERROR(MATCH(B363&amp;"|"&amp;C363&amp;"|"&amp;D363,Нормативы!$M$2:$M$71,0),""))</f>
        <v/>
      </c>
      <c r="M363" s="3" t="str">
        <f aca="false">IF(L363="","",SUMPRODUCT((INDEX(Нормативы!$D$2:$L$71,L363,0)&lt;K363)*ISNUMBER(INDEX(Нормативы!$D$2:$L$71,L363,0))))</f>
        <v/>
      </c>
    </row>
    <row r="364" customFormat="false" ht="15" hidden="false" customHeight="false" outlineLevel="0" collapsed="false">
      <c r="A364" s="5"/>
      <c r="B364" s="5"/>
      <c r="C364" s="5"/>
      <c r="D364" s="5"/>
      <c r="E364" s="14"/>
      <c r="F364" s="4" t="str">
        <f aca="false">IF(OR(J364="",K364="",N(J364)=0,N(K364)&lt;=0),"",ROUNDDOWN(1000*(J364/K364)^3,0))</f>
        <v/>
      </c>
      <c r="G364" s="4" t="str">
        <f aca="false">IF(M364="","",IF(M364+1&gt;COUNT(INDEX(Нормативы!$D$2:$L$71,L364,0)),"Разряда нет",INDEX(Нормативы!$D$1:$L$1,1,M364+1)))</f>
        <v/>
      </c>
      <c r="H364" s="2" t="str">
        <f aca="false">IF(M364="","",IF(M364=0,"—",INDEX(Нормативы!$D$1:$L$1,1,M364)))</f>
        <v/>
      </c>
      <c r="I364" s="7" t="str">
        <f aca="false">IF(M364="","",IF(M364=0,"",IF(INT(ROUND(INDEX(Нормативы!$D$2:$L$71,L364,M364)*100,0)/6000)&gt;0,INT(ROUND(INDEX(Нормативы!$D$2:$L$71,L364,M364)*100,0)/6000)&amp;":"&amp;RIGHT("0"&amp;INT(MOD(ROUND(INDEX(Нормативы!$D$2:$L$71,L364,M364)*100,0),6000)/100),2),INT(MOD(ROUND(INDEX(Нормативы!$D$2:$L$71,L364,M364)*100,0),6000)/100))&amp;"."&amp;RIGHT("0"&amp;MOD(ROUND(INDEX(Нормативы!$D$2:$L$71,L364,M364)*100,0),100),2)))</f>
        <v/>
      </c>
      <c r="J364" s="12" t="str">
        <f aca="false">IF(D364="","",SUMIFS('Базовые времена'!$D$2:$D$71,'Базовые времена'!$A$2:$A$71,B364,'Базовые времена'!$B$2:$B$71,C364,'Базовые времена'!$C$2:$C$71,D364))</f>
        <v/>
      </c>
      <c r="K364" s="12" t="str">
        <f aca="false">IF(E364="","",IF(ISNUMBER(E364),IF(E364&lt;1,E364*86400,E364),IFERROR(IF(ISNUMBER(FIND(":",SUBSTITUTE(TRIM(E364),",","."))),VALUE(LEFT(SUBSTITUTE(TRIM(E364),",","."),FIND(":",SUBSTITUTE(TRIM(E364),",","."))-1))*60+_xlfn.NUMBERVALUE(MID(SUBSTITUTE(TRIM(E364),",","."),FIND(":",SUBSTITUTE(TRIM(E364),",","."))+1,99),"."),_xlfn.NUMBERVALUE(SUBSTITUTE(TRIM(E364),",","."),".")),0)))</f>
        <v/>
      </c>
      <c r="L364" s="3" t="str">
        <f aca="false">IF(OR(D364="",N(K364)&lt;=0),"",IFERROR(MATCH(B364&amp;"|"&amp;C364&amp;"|"&amp;D364,Нормативы!$M$2:$M$71,0),""))</f>
        <v/>
      </c>
      <c r="M364" s="3" t="str">
        <f aca="false">IF(L364="","",SUMPRODUCT((INDEX(Нормативы!$D$2:$L$71,L364,0)&lt;K364)*ISNUMBER(INDEX(Нормативы!$D$2:$L$71,L364,0))))</f>
        <v/>
      </c>
    </row>
    <row r="365" customFormat="false" ht="15" hidden="false" customHeight="false" outlineLevel="0" collapsed="false">
      <c r="A365" s="5"/>
      <c r="B365" s="5"/>
      <c r="C365" s="5"/>
      <c r="D365" s="5"/>
      <c r="E365" s="14"/>
      <c r="F365" s="4" t="str">
        <f aca="false">IF(OR(J365="",K365="",N(J365)=0,N(K365)&lt;=0),"",ROUNDDOWN(1000*(J365/K365)^3,0))</f>
        <v/>
      </c>
      <c r="G365" s="4" t="str">
        <f aca="false">IF(M365="","",IF(M365+1&gt;COUNT(INDEX(Нормативы!$D$2:$L$71,L365,0)),"Разряда нет",INDEX(Нормативы!$D$1:$L$1,1,M365+1)))</f>
        <v/>
      </c>
      <c r="H365" s="2" t="str">
        <f aca="false">IF(M365="","",IF(M365=0,"—",INDEX(Нормативы!$D$1:$L$1,1,M365)))</f>
        <v/>
      </c>
      <c r="I365" s="7" t="str">
        <f aca="false">IF(M365="","",IF(M365=0,"",IF(INT(ROUND(INDEX(Нормативы!$D$2:$L$71,L365,M365)*100,0)/6000)&gt;0,INT(ROUND(INDEX(Нормативы!$D$2:$L$71,L365,M365)*100,0)/6000)&amp;":"&amp;RIGHT("0"&amp;INT(MOD(ROUND(INDEX(Нормативы!$D$2:$L$71,L365,M365)*100,0),6000)/100),2),INT(MOD(ROUND(INDEX(Нормативы!$D$2:$L$71,L365,M365)*100,0),6000)/100))&amp;"."&amp;RIGHT("0"&amp;MOD(ROUND(INDEX(Нормативы!$D$2:$L$71,L365,M365)*100,0),100),2)))</f>
        <v/>
      </c>
      <c r="J365" s="12" t="str">
        <f aca="false">IF(D365="","",SUMIFS('Базовые времена'!$D$2:$D$71,'Базовые времена'!$A$2:$A$71,B365,'Базовые времена'!$B$2:$B$71,C365,'Базовые времена'!$C$2:$C$71,D365))</f>
        <v/>
      </c>
      <c r="K365" s="12" t="str">
        <f aca="false">IF(E365="","",IF(ISNUMBER(E365),IF(E365&lt;1,E365*86400,E365),IFERROR(IF(ISNUMBER(FIND(":",SUBSTITUTE(TRIM(E365),",","."))),VALUE(LEFT(SUBSTITUTE(TRIM(E365),",","."),FIND(":",SUBSTITUTE(TRIM(E365),",","."))-1))*60+_xlfn.NUMBERVALUE(MID(SUBSTITUTE(TRIM(E365),",","."),FIND(":",SUBSTITUTE(TRIM(E365),",","."))+1,99),"."),_xlfn.NUMBERVALUE(SUBSTITUTE(TRIM(E365),",","."),".")),0)))</f>
        <v/>
      </c>
      <c r="L365" s="3" t="str">
        <f aca="false">IF(OR(D365="",N(K365)&lt;=0),"",IFERROR(MATCH(B365&amp;"|"&amp;C365&amp;"|"&amp;D365,Нормативы!$M$2:$M$71,0),""))</f>
        <v/>
      </c>
      <c r="M365" s="3" t="str">
        <f aca="false">IF(L365="","",SUMPRODUCT((INDEX(Нормативы!$D$2:$L$71,L365,0)&lt;K365)*ISNUMBER(INDEX(Нормативы!$D$2:$L$71,L365,0))))</f>
        <v/>
      </c>
    </row>
    <row r="366" customFormat="false" ht="15" hidden="false" customHeight="false" outlineLevel="0" collapsed="false">
      <c r="A366" s="5"/>
      <c r="B366" s="5"/>
      <c r="C366" s="5"/>
      <c r="D366" s="5"/>
      <c r="E366" s="14"/>
      <c r="F366" s="4" t="str">
        <f aca="false">IF(OR(J366="",K366="",N(J366)=0,N(K366)&lt;=0),"",ROUNDDOWN(1000*(J366/K366)^3,0))</f>
        <v/>
      </c>
      <c r="G366" s="4" t="str">
        <f aca="false">IF(M366="","",IF(M366+1&gt;COUNT(INDEX(Нормативы!$D$2:$L$71,L366,0)),"Разряда нет",INDEX(Нормативы!$D$1:$L$1,1,M366+1)))</f>
        <v/>
      </c>
      <c r="H366" s="2" t="str">
        <f aca="false">IF(M366="","",IF(M366=0,"—",INDEX(Нормативы!$D$1:$L$1,1,M366)))</f>
        <v/>
      </c>
      <c r="I366" s="7" t="str">
        <f aca="false">IF(M366="","",IF(M366=0,"",IF(INT(ROUND(INDEX(Нормативы!$D$2:$L$71,L366,M366)*100,0)/6000)&gt;0,INT(ROUND(INDEX(Нормативы!$D$2:$L$71,L366,M366)*100,0)/6000)&amp;":"&amp;RIGHT("0"&amp;INT(MOD(ROUND(INDEX(Нормативы!$D$2:$L$71,L366,M366)*100,0),6000)/100),2),INT(MOD(ROUND(INDEX(Нормативы!$D$2:$L$71,L366,M366)*100,0),6000)/100))&amp;"."&amp;RIGHT("0"&amp;MOD(ROUND(INDEX(Нормативы!$D$2:$L$71,L366,M366)*100,0),100),2)))</f>
        <v/>
      </c>
      <c r="J366" s="12" t="str">
        <f aca="false">IF(D366="","",SUMIFS('Базовые времена'!$D$2:$D$71,'Базовые времена'!$A$2:$A$71,B366,'Базовые времена'!$B$2:$B$71,C366,'Базовые времена'!$C$2:$C$71,D366))</f>
        <v/>
      </c>
      <c r="K366" s="12" t="str">
        <f aca="false">IF(E366="","",IF(ISNUMBER(E366),IF(E366&lt;1,E366*86400,E366),IFERROR(IF(ISNUMBER(FIND(":",SUBSTITUTE(TRIM(E366),",","."))),VALUE(LEFT(SUBSTITUTE(TRIM(E366),",","."),FIND(":",SUBSTITUTE(TRIM(E366),",","."))-1))*60+_xlfn.NUMBERVALUE(MID(SUBSTITUTE(TRIM(E366),",","."),FIND(":",SUBSTITUTE(TRIM(E366),",","."))+1,99),"."),_xlfn.NUMBERVALUE(SUBSTITUTE(TRIM(E366),",","."),".")),0)))</f>
        <v/>
      </c>
      <c r="L366" s="3" t="str">
        <f aca="false">IF(OR(D366="",N(K366)&lt;=0),"",IFERROR(MATCH(B366&amp;"|"&amp;C366&amp;"|"&amp;D366,Нормативы!$M$2:$M$71,0),""))</f>
        <v/>
      </c>
      <c r="M366" s="3" t="str">
        <f aca="false">IF(L366="","",SUMPRODUCT((INDEX(Нормативы!$D$2:$L$71,L366,0)&lt;K366)*ISNUMBER(INDEX(Нормативы!$D$2:$L$71,L366,0))))</f>
        <v/>
      </c>
    </row>
    <row r="367" customFormat="false" ht="15" hidden="false" customHeight="false" outlineLevel="0" collapsed="false">
      <c r="A367" s="5"/>
      <c r="B367" s="5"/>
      <c r="C367" s="5"/>
      <c r="D367" s="5"/>
      <c r="E367" s="14"/>
      <c r="F367" s="4" t="str">
        <f aca="false">IF(OR(J367="",K367="",N(J367)=0,N(K367)&lt;=0),"",ROUNDDOWN(1000*(J367/K367)^3,0))</f>
        <v/>
      </c>
      <c r="G367" s="4" t="str">
        <f aca="false">IF(M367="","",IF(M367+1&gt;COUNT(INDEX(Нормативы!$D$2:$L$71,L367,0)),"Разряда нет",INDEX(Нормативы!$D$1:$L$1,1,M367+1)))</f>
        <v/>
      </c>
      <c r="H367" s="2" t="str">
        <f aca="false">IF(M367="","",IF(M367=0,"—",INDEX(Нормативы!$D$1:$L$1,1,M367)))</f>
        <v/>
      </c>
      <c r="I367" s="7" t="str">
        <f aca="false">IF(M367="","",IF(M367=0,"",IF(INT(ROUND(INDEX(Нормативы!$D$2:$L$71,L367,M367)*100,0)/6000)&gt;0,INT(ROUND(INDEX(Нормативы!$D$2:$L$71,L367,M367)*100,0)/6000)&amp;":"&amp;RIGHT("0"&amp;INT(MOD(ROUND(INDEX(Нормативы!$D$2:$L$71,L367,M367)*100,0),6000)/100),2),INT(MOD(ROUND(INDEX(Нормативы!$D$2:$L$71,L367,M367)*100,0),6000)/100))&amp;"."&amp;RIGHT("0"&amp;MOD(ROUND(INDEX(Нормативы!$D$2:$L$71,L367,M367)*100,0),100),2)))</f>
        <v/>
      </c>
      <c r="J367" s="12" t="str">
        <f aca="false">IF(D367="","",SUMIFS('Базовые времена'!$D$2:$D$71,'Базовые времена'!$A$2:$A$71,B367,'Базовые времена'!$B$2:$B$71,C367,'Базовые времена'!$C$2:$C$71,D367))</f>
        <v/>
      </c>
      <c r="K367" s="12" t="str">
        <f aca="false">IF(E367="","",IF(ISNUMBER(E367),IF(E367&lt;1,E367*86400,E367),IFERROR(IF(ISNUMBER(FIND(":",SUBSTITUTE(TRIM(E367),",","."))),VALUE(LEFT(SUBSTITUTE(TRIM(E367),",","."),FIND(":",SUBSTITUTE(TRIM(E367),",","."))-1))*60+_xlfn.NUMBERVALUE(MID(SUBSTITUTE(TRIM(E367),",","."),FIND(":",SUBSTITUTE(TRIM(E367),",","."))+1,99),"."),_xlfn.NUMBERVALUE(SUBSTITUTE(TRIM(E367),",","."),".")),0)))</f>
        <v/>
      </c>
      <c r="L367" s="3" t="str">
        <f aca="false">IF(OR(D367="",N(K367)&lt;=0),"",IFERROR(MATCH(B367&amp;"|"&amp;C367&amp;"|"&amp;D367,Нормативы!$M$2:$M$71,0),""))</f>
        <v/>
      </c>
      <c r="M367" s="3" t="str">
        <f aca="false">IF(L367="","",SUMPRODUCT((INDEX(Нормативы!$D$2:$L$71,L367,0)&lt;K367)*ISNUMBER(INDEX(Нормативы!$D$2:$L$71,L367,0))))</f>
        <v/>
      </c>
    </row>
    <row r="368" customFormat="false" ht="15" hidden="false" customHeight="false" outlineLevel="0" collapsed="false">
      <c r="A368" s="5"/>
      <c r="B368" s="5"/>
      <c r="C368" s="5"/>
      <c r="D368" s="5"/>
      <c r="E368" s="14"/>
      <c r="F368" s="4" t="str">
        <f aca="false">IF(OR(J368="",K368="",N(J368)=0,N(K368)&lt;=0),"",ROUNDDOWN(1000*(J368/K368)^3,0))</f>
        <v/>
      </c>
      <c r="G368" s="4" t="str">
        <f aca="false">IF(M368="","",IF(M368+1&gt;COUNT(INDEX(Нормативы!$D$2:$L$71,L368,0)),"Разряда нет",INDEX(Нормативы!$D$1:$L$1,1,M368+1)))</f>
        <v/>
      </c>
      <c r="H368" s="2" t="str">
        <f aca="false">IF(M368="","",IF(M368=0,"—",INDEX(Нормативы!$D$1:$L$1,1,M368)))</f>
        <v/>
      </c>
      <c r="I368" s="7" t="str">
        <f aca="false">IF(M368="","",IF(M368=0,"",IF(INT(ROUND(INDEX(Нормативы!$D$2:$L$71,L368,M368)*100,0)/6000)&gt;0,INT(ROUND(INDEX(Нормативы!$D$2:$L$71,L368,M368)*100,0)/6000)&amp;":"&amp;RIGHT("0"&amp;INT(MOD(ROUND(INDEX(Нормативы!$D$2:$L$71,L368,M368)*100,0),6000)/100),2),INT(MOD(ROUND(INDEX(Нормативы!$D$2:$L$71,L368,M368)*100,0),6000)/100))&amp;"."&amp;RIGHT("0"&amp;MOD(ROUND(INDEX(Нормативы!$D$2:$L$71,L368,M368)*100,0),100),2)))</f>
        <v/>
      </c>
      <c r="J368" s="12" t="str">
        <f aca="false">IF(D368="","",SUMIFS('Базовые времена'!$D$2:$D$71,'Базовые времена'!$A$2:$A$71,B368,'Базовые времена'!$B$2:$B$71,C368,'Базовые времена'!$C$2:$C$71,D368))</f>
        <v/>
      </c>
      <c r="K368" s="12" t="str">
        <f aca="false">IF(E368="","",IF(ISNUMBER(E368),IF(E368&lt;1,E368*86400,E368),IFERROR(IF(ISNUMBER(FIND(":",SUBSTITUTE(TRIM(E368),",","."))),VALUE(LEFT(SUBSTITUTE(TRIM(E368),",","."),FIND(":",SUBSTITUTE(TRIM(E368),",","."))-1))*60+_xlfn.NUMBERVALUE(MID(SUBSTITUTE(TRIM(E368),",","."),FIND(":",SUBSTITUTE(TRIM(E368),",","."))+1,99),"."),_xlfn.NUMBERVALUE(SUBSTITUTE(TRIM(E368),",","."),".")),0)))</f>
        <v/>
      </c>
      <c r="L368" s="3" t="str">
        <f aca="false">IF(OR(D368="",N(K368)&lt;=0),"",IFERROR(MATCH(B368&amp;"|"&amp;C368&amp;"|"&amp;D368,Нормативы!$M$2:$M$71,0),""))</f>
        <v/>
      </c>
      <c r="M368" s="3" t="str">
        <f aca="false">IF(L368="","",SUMPRODUCT((INDEX(Нормативы!$D$2:$L$71,L368,0)&lt;K368)*ISNUMBER(INDEX(Нормативы!$D$2:$L$71,L368,0))))</f>
        <v/>
      </c>
    </row>
    <row r="369" customFormat="false" ht="15" hidden="false" customHeight="false" outlineLevel="0" collapsed="false">
      <c r="A369" s="5"/>
      <c r="B369" s="5"/>
      <c r="C369" s="5"/>
      <c r="D369" s="5"/>
      <c r="E369" s="14"/>
      <c r="F369" s="4" t="str">
        <f aca="false">IF(OR(J369="",K369="",N(J369)=0,N(K369)&lt;=0),"",ROUNDDOWN(1000*(J369/K369)^3,0))</f>
        <v/>
      </c>
      <c r="G369" s="4" t="str">
        <f aca="false">IF(M369="","",IF(M369+1&gt;COUNT(INDEX(Нормативы!$D$2:$L$71,L369,0)),"Разряда нет",INDEX(Нормативы!$D$1:$L$1,1,M369+1)))</f>
        <v/>
      </c>
      <c r="H369" s="2" t="str">
        <f aca="false">IF(M369="","",IF(M369=0,"—",INDEX(Нормативы!$D$1:$L$1,1,M369)))</f>
        <v/>
      </c>
      <c r="I369" s="7" t="str">
        <f aca="false">IF(M369="","",IF(M369=0,"",IF(INT(ROUND(INDEX(Нормативы!$D$2:$L$71,L369,M369)*100,0)/6000)&gt;0,INT(ROUND(INDEX(Нормативы!$D$2:$L$71,L369,M369)*100,0)/6000)&amp;":"&amp;RIGHT("0"&amp;INT(MOD(ROUND(INDEX(Нормативы!$D$2:$L$71,L369,M369)*100,0),6000)/100),2),INT(MOD(ROUND(INDEX(Нормативы!$D$2:$L$71,L369,M369)*100,0),6000)/100))&amp;"."&amp;RIGHT("0"&amp;MOD(ROUND(INDEX(Нормативы!$D$2:$L$71,L369,M369)*100,0),100),2)))</f>
        <v/>
      </c>
      <c r="J369" s="12" t="str">
        <f aca="false">IF(D369="","",SUMIFS('Базовые времена'!$D$2:$D$71,'Базовые времена'!$A$2:$A$71,B369,'Базовые времена'!$B$2:$B$71,C369,'Базовые времена'!$C$2:$C$71,D369))</f>
        <v/>
      </c>
      <c r="K369" s="12" t="str">
        <f aca="false">IF(E369="","",IF(ISNUMBER(E369),IF(E369&lt;1,E369*86400,E369),IFERROR(IF(ISNUMBER(FIND(":",SUBSTITUTE(TRIM(E369),",","."))),VALUE(LEFT(SUBSTITUTE(TRIM(E369),",","."),FIND(":",SUBSTITUTE(TRIM(E369),",","."))-1))*60+_xlfn.NUMBERVALUE(MID(SUBSTITUTE(TRIM(E369),",","."),FIND(":",SUBSTITUTE(TRIM(E369),",","."))+1,99),"."),_xlfn.NUMBERVALUE(SUBSTITUTE(TRIM(E369),",","."),".")),0)))</f>
        <v/>
      </c>
      <c r="L369" s="3" t="str">
        <f aca="false">IF(OR(D369="",N(K369)&lt;=0),"",IFERROR(MATCH(B369&amp;"|"&amp;C369&amp;"|"&amp;D369,Нормативы!$M$2:$M$71,0),""))</f>
        <v/>
      </c>
      <c r="M369" s="3" t="str">
        <f aca="false">IF(L369="","",SUMPRODUCT((INDEX(Нормативы!$D$2:$L$71,L369,0)&lt;K369)*ISNUMBER(INDEX(Нормативы!$D$2:$L$71,L369,0))))</f>
        <v/>
      </c>
    </row>
    <row r="370" customFormat="false" ht="15" hidden="false" customHeight="false" outlineLevel="0" collapsed="false">
      <c r="A370" s="5"/>
      <c r="B370" s="5"/>
      <c r="C370" s="5"/>
      <c r="D370" s="5"/>
      <c r="E370" s="14"/>
      <c r="F370" s="4" t="str">
        <f aca="false">IF(OR(J370="",K370="",N(J370)=0,N(K370)&lt;=0),"",ROUNDDOWN(1000*(J370/K370)^3,0))</f>
        <v/>
      </c>
      <c r="G370" s="4" t="str">
        <f aca="false">IF(M370="","",IF(M370+1&gt;COUNT(INDEX(Нормативы!$D$2:$L$71,L370,0)),"Разряда нет",INDEX(Нормативы!$D$1:$L$1,1,M370+1)))</f>
        <v/>
      </c>
      <c r="H370" s="2" t="str">
        <f aca="false">IF(M370="","",IF(M370=0,"—",INDEX(Нормативы!$D$1:$L$1,1,M370)))</f>
        <v/>
      </c>
      <c r="I370" s="7" t="str">
        <f aca="false">IF(M370="","",IF(M370=0,"",IF(INT(ROUND(INDEX(Нормативы!$D$2:$L$71,L370,M370)*100,0)/6000)&gt;0,INT(ROUND(INDEX(Нормативы!$D$2:$L$71,L370,M370)*100,0)/6000)&amp;":"&amp;RIGHT("0"&amp;INT(MOD(ROUND(INDEX(Нормативы!$D$2:$L$71,L370,M370)*100,0),6000)/100),2),INT(MOD(ROUND(INDEX(Нормативы!$D$2:$L$71,L370,M370)*100,0),6000)/100))&amp;"."&amp;RIGHT("0"&amp;MOD(ROUND(INDEX(Нормативы!$D$2:$L$71,L370,M370)*100,0),100),2)))</f>
        <v/>
      </c>
      <c r="J370" s="12" t="str">
        <f aca="false">IF(D370="","",SUMIFS('Базовые времена'!$D$2:$D$71,'Базовые времена'!$A$2:$A$71,B370,'Базовые времена'!$B$2:$B$71,C370,'Базовые времена'!$C$2:$C$71,D370))</f>
        <v/>
      </c>
      <c r="K370" s="12" t="str">
        <f aca="false">IF(E370="","",IF(ISNUMBER(E370),IF(E370&lt;1,E370*86400,E370),IFERROR(IF(ISNUMBER(FIND(":",SUBSTITUTE(TRIM(E370),",","."))),VALUE(LEFT(SUBSTITUTE(TRIM(E370),",","."),FIND(":",SUBSTITUTE(TRIM(E370),",","."))-1))*60+_xlfn.NUMBERVALUE(MID(SUBSTITUTE(TRIM(E370),",","."),FIND(":",SUBSTITUTE(TRIM(E370),",","."))+1,99),"."),_xlfn.NUMBERVALUE(SUBSTITUTE(TRIM(E370),",","."),".")),0)))</f>
        <v/>
      </c>
      <c r="L370" s="3" t="str">
        <f aca="false">IF(OR(D370="",N(K370)&lt;=0),"",IFERROR(MATCH(B370&amp;"|"&amp;C370&amp;"|"&amp;D370,Нормативы!$M$2:$M$71,0),""))</f>
        <v/>
      </c>
      <c r="M370" s="3" t="str">
        <f aca="false">IF(L370="","",SUMPRODUCT((INDEX(Нормативы!$D$2:$L$71,L370,0)&lt;K370)*ISNUMBER(INDEX(Нормативы!$D$2:$L$71,L370,0))))</f>
        <v/>
      </c>
    </row>
    <row r="371" customFormat="false" ht="15" hidden="false" customHeight="false" outlineLevel="0" collapsed="false">
      <c r="A371" s="5"/>
      <c r="B371" s="5"/>
      <c r="C371" s="5"/>
      <c r="D371" s="5"/>
      <c r="E371" s="14"/>
      <c r="F371" s="4" t="str">
        <f aca="false">IF(OR(J371="",K371="",N(J371)=0,N(K371)&lt;=0),"",ROUNDDOWN(1000*(J371/K371)^3,0))</f>
        <v/>
      </c>
      <c r="G371" s="4" t="str">
        <f aca="false">IF(M371="","",IF(M371+1&gt;COUNT(INDEX(Нормативы!$D$2:$L$71,L371,0)),"Разряда нет",INDEX(Нормативы!$D$1:$L$1,1,M371+1)))</f>
        <v/>
      </c>
      <c r="H371" s="2" t="str">
        <f aca="false">IF(M371="","",IF(M371=0,"—",INDEX(Нормативы!$D$1:$L$1,1,M371)))</f>
        <v/>
      </c>
      <c r="I371" s="7" t="str">
        <f aca="false">IF(M371="","",IF(M371=0,"",IF(INT(ROUND(INDEX(Нормативы!$D$2:$L$71,L371,M371)*100,0)/6000)&gt;0,INT(ROUND(INDEX(Нормативы!$D$2:$L$71,L371,M371)*100,0)/6000)&amp;":"&amp;RIGHT("0"&amp;INT(MOD(ROUND(INDEX(Нормативы!$D$2:$L$71,L371,M371)*100,0),6000)/100),2),INT(MOD(ROUND(INDEX(Нормативы!$D$2:$L$71,L371,M371)*100,0),6000)/100))&amp;"."&amp;RIGHT("0"&amp;MOD(ROUND(INDEX(Нормативы!$D$2:$L$71,L371,M371)*100,0),100),2)))</f>
        <v/>
      </c>
      <c r="J371" s="12" t="str">
        <f aca="false">IF(D371="","",SUMIFS('Базовые времена'!$D$2:$D$71,'Базовые времена'!$A$2:$A$71,B371,'Базовые времена'!$B$2:$B$71,C371,'Базовые времена'!$C$2:$C$71,D371))</f>
        <v/>
      </c>
      <c r="K371" s="12" t="str">
        <f aca="false">IF(E371="","",IF(ISNUMBER(E371),IF(E371&lt;1,E371*86400,E371),IFERROR(IF(ISNUMBER(FIND(":",SUBSTITUTE(TRIM(E371),",","."))),VALUE(LEFT(SUBSTITUTE(TRIM(E371),",","."),FIND(":",SUBSTITUTE(TRIM(E371),",","."))-1))*60+_xlfn.NUMBERVALUE(MID(SUBSTITUTE(TRIM(E371),",","."),FIND(":",SUBSTITUTE(TRIM(E371),",","."))+1,99),"."),_xlfn.NUMBERVALUE(SUBSTITUTE(TRIM(E371),",","."),".")),0)))</f>
        <v/>
      </c>
      <c r="L371" s="3" t="str">
        <f aca="false">IF(OR(D371="",N(K371)&lt;=0),"",IFERROR(MATCH(B371&amp;"|"&amp;C371&amp;"|"&amp;D371,Нормативы!$M$2:$M$71,0),""))</f>
        <v/>
      </c>
      <c r="M371" s="3" t="str">
        <f aca="false">IF(L371="","",SUMPRODUCT((INDEX(Нормативы!$D$2:$L$71,L371,0)&lt;K371)*ISNUMBER(INDEX(Нормативы!$D$2:$L$71,L371,0))))</f>
        <v/>
      </c>
    </row>
    <row r="372" customFormat="false" ht="15" hidden="false" customHeight="false" outlineLevel="0" collapsed="false">
      <c r="A372" s="5"/>
      <c r="B372" s="5"/>
      <c r="C372" s="5"/>
      <c r="D372" s="5"/>
      <c r="E372" s="14"/>
      <c r="F372" s="4" t="str">
        <f aca="false">IF(OR(J372="",K372="",N(J372)=0,N(K372)&lt;=0),"",ROUNDDOWN(1000*(J372/K372)^3,0))</f>
        <v/>
      </c>
      <c r="G372" s="4" t="str">
        <f aca="false">IF(M372="","",IF(M372+1&gt;COUNT(INDEX(Нормативы!$D$2:$L$71,L372,0)),"Разряда нет",INDEX(Нормативы!$D$1:$L$1,1,M372+1)))</f>
        <v/>
      </c>
      <c r="H372" s="2" t="str">
        <f aca="false">IF(M372="","",IF(M372=0,"—",INDEX(Нормативы!$D$1:$L$1,1,M372)))</f>
        <v/>
      </c>
      <c r="I372" s="7" t="str">
        <f aca="false">IF(M372="","",IF(M372=0,"",IF(INT(ROUND(INDEX(Нормативы!$D$2:$L$71,L372,M372)*100,0)/6000)&gt;0,INT(ROUND(INDEX(Нормативы!$D$2:$L$71,L372,M372)*100,0)/6000)&amp;":"&amp;RIGHT("0"&amp;INT(MOD(ROUND(INDEX(Нормативы!$D$2:$L$71,L372,M372)*100,0),6000)/100),2),INT(MOD(ROUND(INDEX(Нормативы!$D$2:$L$71,L372,M372)*100,0),6000)/100))&amp;"."&amp;RIGHT("0"&amp;MOD(ROUND(INDEX(Нормативы!$D$2:$L$71,L372,M372)*100,0),100),2)))</f>
        <v/>
      </c>
      <c r="J372" s="12" t="str">
        <f aca="false">IF(D372="","",SUMIFS('Базовые времена'!$D$2:$D$71,'Базовые времена'!$A$2:$A$71,B372,'Базовые времена'!$B$2:$B$71,C372,'Базовые времена'!$C$2:$C$71,D372))</f>
        <v/>
      </c>
      <c r="K372" s="12" t="str">
        <f aca="false">IF(E372="","",IF(ISNUMBER(E372),IF(E372&lt;1,E372*86400,E372),IFERROR(IF(ISNUMBER(FIND(":",SUBSTITUTE(TRIM(E372),",","."))),VALUE(LEFT(SUBSTITUTE(TRIM(E372),",","."),FIND(":",SUBSTITUTE(TRIM(E372),",","."))-1))*60+_xlfn.NUMBERVALUE(MID(SUBSTITUTE(TRIM(E372),",","."),FIND(":",SUBSTITUTE(TRIM(E372),",","."))+1,99),"."),_xlfn.NUMBERVALUE(SUBSTITUTE(TRIM(E372),",","."),".")),0)))</f>
        <v/>
      </c>
      <c r="L372" s="3" t="str">
        <f aca="false">IF(OR(D372="",N(K372)&lt;=0),"",IFERROR(MATCH(B372&amp;"|"&amp;C372&amp;"|"&amp;D372,Нормативы!$M$2:$M$71,0),""))</f>
        <v/>
      </c>
      <c r="M372" s="3" t="str">
        <f aca="false">IF(L372="","",SUMPRODUCT((INDEX(Нормативы!$D$2:$L$71,L372,0)&lt;K372)*ISNUMBER(INDEX(Нормативы!$D$2:$L$71,L372,0))))</f>
        <v/>
      </c>
    </row>
    <row r="373" customFormat="false" ht="15" hidden="false" customHeight="false" outlineLevel="0" collapsed="false">
      <c r="A373" s="5"/>
      <c r="B373" s="5"/>
      <c r="C373" s="5"/>
      <c r="D373" s="5"/>
      <c r="E373" s="14"/>
      <c r="F373" s="4" t="str">
        <f aca="false">IF(OR(J373="",K373="",N(J373)=0,N(K373)&lt;=0),"",ROUNDDOWN(1000*(J373/K373)^3,0))</f>
        <v/>
      </c>
      <c r="G373" s="4" t="str">
        <f aca="false">IF(M373="","",IF(M373+1&gt;COUNT(INDEX(Нормативы!$D$2:$L$71,L373,0)),"Разряда нет",INDEX(Нормативы!$D$1:$L$1,1,M373+1)))</f>
        <v/>
      </c>
      <c r="H373" s="2" t="str">
        <f aca="false">IF(M373="","",IF(M373=0,"—",INDEX(Нормативы!$D$1:$L$1,1,M373)))</f>
        <v/>
      </c>
      <c r="I373" s="7" t="str">
        <f aca="false">IF(M373="","",IF(M373=0,"",IF(INT(ROUND(INDEX(Нормативы!$D$2:$L$71,L373,M373)*100,0)/6000)&gt;0,INT(ROUND(INDEX(Нормативы!$D$2:$L$71,L373,M373)*100,0)/6000)&amp;":"&amp;RIGHT("0"&amp;INT(MOD(ROUND(INDEX(Нормативы!$D$2:$L$71,L373,M373)*100,0),6000)/100),2),INT(MOD(ROUND(INDEX(Нормативы!$D$2:$L$71,L373,M373)*100,0),6000)/100))&amp;"."&amp;RIGHT("0"&amp;MOD(ROUND(INDEX(Нормативы!$D$2:$L$71,L373,M373)*100,0),100),2)))</f>
        <v/>
      </c>
      <c r="J373" s="12" t="str">
        <f aca="false">IF(D373="","",SUMIFS('Базовые времена'!$D$2:$D$71,'Базовые времена'!$A$2:$A$71,B373,'Базовые времена'!$B$2:$B$71,C373,'Базовые времена'!$C$2:$C$71,D373))</f>
        <v/>
      </c>
      <c r="K373" s="12" t="str">
        <f aca="false">IF(E373="","",IF(ISNUMBER(E373),IF(E373&lt;1,E373*86400,E373),IFERROR(IF(ISNUMBER(FIND(":",SUBSTITUTE(TRIM(E373),",","."))),VALUE(LEFT(SUBSTITUTE(TRIM(E373),",","."),FIND(":",SUBSTITUTE(TRIM(E373),",","."))-1))*60+_xlfn.NUMBERVALUE(MID(SUBSTITUTE(TRIM(E373),",","."),FIND(":",SUBSTITUTE(TRIM(E373),",","."))+1,99),"."),_xlfn.NUMBERVALUE(SUBSTITUTE(TRIM(E373),",","."),".")),0)))</f>
        <v/>
      </c>
      <c r="L373" s="3" t="str">
        <f aca="false">IF(OR(D373="",N(K373)&lt;=0),"",IFERROR(MATCH(B373&amp;"|"&amp;C373&amp;"|"&amp;D373,Нормативы!$M$2:$M$71,0),""))</f>
        <v/>
      </c>
      <c r="M373" s="3" t="str">
        <f aca="false">IF(L373="","",SUMPRODUCT((INDEX(Нормативы!$D$2:$L$71,L373,0)&lt;K373)*ISNUMBER(INDEX(Нормативы!$D$2:$L$71,L373,0))))</f>
        <v/>
      </c>
    </row>
    <row r="374" customFormat="false" ht="15" hidden="false" customHeight="false" outlineLevel="0" collapsed="false">
      <c r="A374" s="5"/>
      <c r="B374" s="5"/>
      <c r="C374" s="5"/>
      <c r="D374" s="5"/>
      <c r="E374" s="14"/>
      <c r="F374" s="4" t="str">
        <f aca="false">IF(OR(J374="",K374="",N(J374)=0,N(K374)&lt;=0),"",ROUNDDOWN(1000*(J374/K374)^3,0))</f>
        <v/>
      </c>
      <c r="G374" s="4" t="str">
        <f aca="false">IF(M374="","",IF(M374+1&gt;COUNT(INDEX(Нормативы!$D$2:$L$71,L374,0)),"Разряда нет",INDEX(Нормативы!$D$1:$L$1,1,M374+1)))</f>
        <v/>
      </c>
      <c r="H374" s="2" t="str">
        <f aca="false">IF(M374="","",IF(M374=0,"—",INDEX(Нормативы!$D$1:$L$1,1,M374)))</f>
        <v/>
      </c>
      <c r="I374" s="7" t="str">
        <f aca="false">IF(M374="","",IF(M374=0,"",IF(INT(ROUND(INDEX(Нормативы!$D$2:$L$71,L374,M374)*100,0)/6000)&gt;0,INT(ROUND(INDEX(Нормативы!$D$2:$L$71,L374,M374)*100,0)/6000)&amp;":"&amp;RIGHT("0"&amp;INT(MOD(ROUND(INDEX(Нормативы!$D$2:$L$71,L374,M374)*100,0),6000)/100),2),INT(MOD(ROUND(INDEX(Нормативы!$D$2:$L$71,L374,M374)*100,0),6000)/100))&amp;"."&amp;RIGHT("0"&amp;MOD(ROUND(INDEX(Нормативы!$D$2:$L$71,L374,M374)*100,0),100),2)))</f>
        <v/>
      </c>
      <c r="J374" s="12" t="str">
        <f aca="false">IF(D374="","",SUMIFS('Базовые времена'!$D$2:$D$71,'Базовые времена'!$A$2:$A$71,B374,'Базовые времена'!$B$2:$B$71,C374,'Базовые времена'!$C$2:$C$71,D374))</f>
        <v/>
      </c>
      <c r="K374" s="12" t="str">
        <f aca="false">IF(E374="","",IF(ISNUMBER(E374),IF(E374&lt;1,E374*86400,E374),IFERROR(IF(ISNUMBER(FIND(":",SUBSTITUTE(TRIM(E374),",","."))),VALUE(LEFT(SUBSTITUTE(TRIM(E374),",","."),FIND(":",SUBSTITUTE(TRIM(E374),",","."))-1))*60+_xlfn.NUMBERVALUE(MID(SUBSTITUTE(TRIM(E374),",","."),FIND(":",SUBSTITUTE(TRIM(E374),",","."))+1,99),"."),_xlfn.NUMBERVALUE(SUBSTITUTE(TRIM(E374),",","."),".")),0)))</f>
        <v/>
      </c>
      <c r="L374" s="3" t="str">
        <f aca="false">IF(OR(D374="",N(K374)&lt;=0),"",IFERROR(MATCH(B374&amp;"|"&amp;C374&amp;"|"&amp;D374,Нормативы!$M$2:$M$71,0),""))</f>
        <v/>
      </c>
      <c r="M374" s="3" t="str">
        <f aca="false">IF(L374="","",SUMPRODUCT((INDEX(Нормативы!$D$2:$L$71,L374,0)&lt;K374)*ISNUMBER(INDEX(Нормативы!$D$2:$L$71,L374,0))))</f>
        <v/>
      </c>
    </row>
    <row r="375" customFormat="false" ht="15" hidden="false" customHeight="false" outlineLevel="0" collapsed="false">
      <c r="A375" s="5"/>
      <c r="B375" s="5"/>
      <c r="C375" s="5"/>
      <c r="D375" s="5"/>
      <c r="E375" s="14"/>
      <c r="F375" s="4" t="str">
        <f aca="false">IF(OR(J375="",K375="",N(J375)=0,N(K375)&lt;=0),"",ROUNDDOWN(1000*(J375/K375)^3,0))</f>
        <v/>
      </c>
      <c r="G375" s="4" t="str">
        <f aca="false">IF(M375="","",IF(M375+1&gt;COUNT(INDEX(Нормативы!$D$2:$L$71,L375,0)),"Разряда нет",INDEX(Нормативы!$D$1:$L$1,1,M375+1)))</f>
        <v/>
      </c>
      <c r="H375" s="2" t="str">
        <f aca="false">IF(M375="","",IF(M375=0,"—",INDEX(Нормативы!$D$1:$L$1,1,M375)))</f>
        <v/>
      </c>
      <c r="I375" s="7" t="str">
        <f aca="false">IF(M375="","",IF(M375=0,"",IF(INT(ROUND(INDEX(Нормативы!$D$2:$L$71,L375,M375)*100,0)/6000)&gt;0,INT(ROUND(INDEX(Нормативы!$D$2:$L$71,L375,M375)*100,0)/6000)&amp;":"&amp;RIGHT("0"&amp;INT(MOD(ROUND(INDEX(Нормативы!$D$2:$L$71,L375,M375)*100,0),6000)/100),2),INT(MOD(ROUND(INDEX(Нормативы!$D$2:$L$71,L375,M375)*100,0),6000)/100))&amp;"."&amp;RIGHT("0"&amp;MOD(ROUND(INDEX(Нормативы!$D$2:$L$71,L375,M375)*100,0),100),2)))</f>
        <v/>
      </c>
      <c r="J375" s="12" t="str">
        <f aca="false">IF(D375="","",SUMIFS('Базовые времена'!$D$2:$D$71,'Базовые времена'!$A$2:$A$71,B375,'Базовые времена'!$B$2:$B$71,C375,'Базовые времена'!$C$2:$C$71,D375))</f>
        <v/>
      </c>
      <c r="K375" s="12" t="str">
        <f aca="false">IF(E375="","",IF(ISNUMBER(E375),IF(E375&lt;1,E375*86400,E375),IFERROR(IF(ISNUMBER(FIND(":",SUBSTITUTE(TRIM(E375),",","."))),VALUE(LEFT(SUBSTITUTE(TRIM(E375),",","."),FIND(":",SUBSTITUTE(TRIM(E375),",","."))-1))*60+_xlfn.NUMBERVALUE(MID(SUBSTITUTE(TRIM(E375),",","."),FIND(":",SUBSTITUTE(TRIM(E375),",","."))+1,99),"."),_xlfn.NUMBERVALUE(SUBSTITUTE(TRIM(E375),",","."),".")),0)))</f>
        <v/>
      </c>
      <c r="L375" s="3" t="str">
        <f aca="false">IF(OR(D375="",N(K375)&lt;=0),"",IFERROR(MATCH(B375&amp;"|"&amp;C375&amp;"|"&amp;D375,Нормативы!$M$2:$M$71,0),""))</f>
        <v/>
      </c>
      <c r="M375" s="3" t="str">
        <f aca="false">IF(L375="","",SUMPRODUCT((INDEX(Нормативы!$D$2:$L$71,L375,0)&lt;K375)*ISNUMBER(INDEX(Нормативы!$D$2:$L$71,L375,0))))</f>
        <v/>
      </c>
    </row>
    <row r="376" customFormat="false" ht="15" hidden="false" customHeight="false" outlineLevel="0" collapsed="false">
      <c r="A376" s="5"/>
      <c r="B376" s="5"/>
      <c r="C376" s="5"/>
      <c r="D376" s="5"/>
      <c r="E376" s="14"/>
      <c r="F376" s="4" t="str">
        <f aca="false">IF(OR(J376="",K376="",N(J376)=0,N(K376)&lt;=0),"",ROUNDDOWN(1000*(J376/K376)^3,0))</f>
        <v/>
      </c>
      <c r="G376" s="4" t="str">
        <f aca="false">IF(M376="","",IF(M376+1&gt;COUNT(INDEX(Нормативы!$D$2:$L$71,L376,0)),"Разряда нет",INDEX(Нормативы!$D$1:$L$1,1,M376+1)))</f>
        <v/>
      </c>
      <c r="H376" s="2" t="str">
        <f aca="false">IF(M376="","",IF(M376=0,"—",INDEX(Нормативы!$D$1:$L$1,1,M376)))</f>
        <v/>
      </c>
      <c r="I376" s="7" t="str">
        <f aca="false">IF(M376="","",IF(M376=0,"",IF(INT(ROUND(INDEX(Нормативы!$D$2:$L$71,L376,M376)*100,0)/6000)&gt;0,INT(ROUND(INDEX(Нормативы!$D$2:$L$71,L376,M376)*100,0)/6000)&amp;":"&amp;RIGHT("0"&amp;INT(MOD(ROUND(INDEX(Нормативы!$D$2:$L$71,L376,M376)*100,0),6000)/100),2),INT(MOD(ROUND(INDEX(Нормативы!$D$2:$L$71,L376,M376)*100,0),6000)/100))&amp;"."&amp;RIGHT("0"&amp;MOD(ROUND(INDEX(Нормативы!$D$2:$L$71,L376,M376)*100,0),100),2)))</f>
        <v/>
      </c>
      <c r="J376" s="12" t="str">
        <f aca="false">IF(D376="","",SUMIFS('Базовые времена'!$D$2:$D$71,'Базовые времена'!$A$2:$A$71,B376,'Базовые времена'!$B$2:$B$71,C376,'Базовые времена'!$C$2:$C$71,D376))</f>
        <v/>
      </c>
      <c r="K376" s="12" t="str">
        <f aca="false">IF(E376="","",IF(ISNUMBER(E376),IF(E376&lt;1,E376*86400,E376),IFERROR(IF(ISNUMBER(FIND(":",SUBSTITUTE(TRIM(E376),",","."))),VALUE(LEFT(SUBSTITUTE(TRIM(E376),",","."),FIND(":",SUBSTITUTE(TRIM(E376),",","."))-1))*60+_xlfn.NUMBERVALUE(MID(SUBSTITUTE(TRIM(E376),",","."),FIND(":",SUBSTITUTE(TRIM(E376),",","."))+1,99),"."),_xlfn.NUMBERVALUE(SUBSTITUTE(TRIM(E376),",","."),".")),0)))</f>
        <v/>
      </c>
      <c r="L376" s="3" t="str">
        <f aca="false">IF(OR(D376="",N(K376)&lt;=0),"",IFERROR(MATCH(B376&amp;"|"&amp;C376&amp;"|"&amp;D376,Нормативы!$M$2:$M$71,0),""))</f>
        <v/>
      </c>
      <c r="M376" s="3" t="str">
        <f aca="false">IF(L376="","",SUMPRODUCT((INDEX(Нормативы!$D$2:$L$71,L376,0)&lt;K376)*ISNUMBER(INDEX(Нормативы!$D$2:$L$71,L376,0))))</f>
        <v/>
      </c>
    </row>
    <row r="377" customFormat="false" ht="15" hidden="false" customHeight="false" outlineLevel="0" collapsed="false">
      <c r="A377" s="5"/>
      <c r="B377" s="5"/>
      <c r="C377" s="5"/>
      <c r="D377" s="5"/>
      <c r="E377" s="14"/>
      <c r="F377" s="4" t="str">
        <f aca="false">IF(OR(J377="",K377="",N(J377)=0,N(K377)&lt;=0),"",ROUNDDOWN(1000*(J377/K377)^3,0))</f>
        <v/>
      </c>
      <c r="G377" s="4" t="str">
        <f aca="false">IF(M377="","",IF(M377+1&gt;COUNT(INDEX(Нормативы!$D$2:$L$71,L377,0)),"Разряда нет",INDEX(Нормативы!$D$1:$L$1,1,M377+1)))</f>
        <v/>
      </c>
      <c r="H377" s="2" t="str">
        <f aca="false">IF(M377="","",IF(M377=0,"—",INDEX(Нормативы!$D$1:$L$1,1,M377)))</f>
        <v/>
      </c>
      <c r="I377" s="7" t="str">
        <f aca="false">IF(M377="","",IF(M377=0,"",IF(INT(ROUND(INDEX(Нормативы!$D$2:$L$71,L377,M377)*100,0)/6000)&gt;0,INT(ROUND(INDEX(Нормативы!$D$2:$L$71,L377,M377)*100,0)/6000)&amp;":"&amp;RIGHT("0"&amp;INT(MOD(ROUND(INDEX(Нормативы!$D$2:$L$71,L377,M377)*100,0),6000)/100),2),INT(MOD(ROUND(INDEX(Нормативы!$D$2:$L$71,L377,M377)*100,0),6000)/100))&amp;"."&amp;RIGHT("0"&amp;MOD(ROUND(INDEX(Нормативы!$D$2:$L$71,L377,M377)*100,0),100),2)))</f>
        <v/>
      </c>
      <c r="J377" s="12" t="str">
        <f aca="false">IF(D377="","",SUMIFS('Базовые времена'!$D$2:$D$71,'Базовые времена'!$A$2:$A$71,B377,'Базовые времена'!$B$2:$B$71,C377,'Базовые времена'!$C$2:$C$71,D377))</f>
        <v/>
      </c>
      <c r="K377" s="12" t="str">
        <f aca="false">IF(E377="","",IF(ISNUMBER(E377),IF(E377&lt;1,E377*86400,E377),IFERROR(IF(ISNUMBER(FIND(":",SUBSTITUTE(TRIM(E377),",","."))),VALUE(LEFT(SUBSTITUTE(TRIM(E377),",","."),FIND(":",SUBSTITUTE(TRIM(E377),",","."))-1))*60+_xlfn.NUMBERVALUE(MID(SUBSTITUTE(TRIM(E377),",","."),FIND(":",SUBSTITUTE(TRIM(E377),",","."))+1,99),"."),_xlfn.NUMBERVALUE(SUBSTITUTE(TRIM(E377),",","."),".")),0)))</f>
        <v/>
      </c>
      <c r="L377" s="3" t="str">
        <f aca="false">IF(OR(D377="",N(K377)&lt;=0),"",IFERROR(MATCH(B377&amp;"|"&amp;C377&amp;"|"&amp;D377,Нормативы!$M$2:$M$71,0),""))</f>
        <v/>
      </c>
      <c r="M377" s="3" t="str">
        <f aca="false">IF(L377="","",SUMPRODUCT((INDEX(Нормативы!$D$2:$L$71,L377,0)&lt;K377)*ISNUMBER(INDEX(Нормативы!$D$2:$L$71,L377,0))))</f>
        <v/>
      </c>
    </row>
    <row r="378" customFormat="false" ht="15" hidden="false" customHeight="false" outlineLevel="0" collapsed="false">
      <c r="A378" s="5"/>
      <c r="B378" s="5"/>
      <c r="C378" s="5"/>
      <c r="D378" s="5"/>
      <c r="E378" s="14"/>
      <c r="F378" s="4" t="str">
        <f aca="false">IF(OR(J378="",K378="",N(J378)=0,N(K378)&lt;=0),"",ROUNDDOWN(1000*(J378/K378)^3,0))</f>
        <v/>
      </c>
      <c r="G378" s="4" t="str">
        <f aca="false">IF(M378="","",IF(M378+1&gt;COUNT(INDEX(Нормативы!$D$2:$L$71,L378,0)),"Разряда нет",INDEX(Нормативы!$D$1:$L$1,1,M378+1)))</f>
        <v/>
      </c>
      <c r="H378" s="2" t="str">
        <f aca="false">IF(M378="","",IF(M378=0,"—",INDEX(Нормативы!$D$1:$L$1,1,M378)))</f>
        <v/>
      </c>
      <c r="I378" s="7" t="str">
        <f aca="false">IF(M378="","",IF(M378=0,"",IF(INT(ROUND(INDEX(Нормативы!$D$2:$L$71,L378,M378)*100,0)/6000)&gt;0,INT(ROUND(INDEX(Нормативы!$D$2:$L$71,L378,M378)*100,0)/6000)&amp;":"&amp;RIGHT("0"&amp;INT(MOD(ROUND(INDEX(Нормативы!$D$2:$L$71,L378,M378)*100,0),6000)/100),2),INT(MOD(ROUND(INDEX(Нормативы!$D$2:$L$71,L378,M378)*100,0),6000)/100))&amp;"."&amp;RIGHT("0"&amp;MOD(ROUND(INDEX(Нормативы!$D$2:$L$71,L378,M378)*100,0),100),2)))</f>
        <v/>
      </c>
      <c r="J378" s="12" t="str">
        <f aca="false">IF(D378="","",SUMIFS('Базовые времена'!$D$2:$D$71,'Базовые времена'!$A$2:$A$71,B378,'Базовые времена'!$B$2:$B$71,C378,'Базовые времена'!$C$2:$C$71,D378))</f>
        <v/>
      </c>
      <c r="K378" s="12" t="str">
        <f aca="false">IF(E378="","",IF(ISNUMBER(E378),IF(E378&lt;1,E378*86400,E378),IFERROR(IF(ISNUMBER(FIND(":",SUBSTITUTE(TRIM(E378),",","."))),VALUE(LEFT(SUBSTITUTE(TRIM(E378),",","."),FIND(":",SUBSTITUTE(TRIM(E378),",","."))-1))*60+_xlfn.NUMBERVALUE(MID(SUBSTITUTE(TRIM(E378),",","."),FIND(":",SUBSTITUTE(TRIM(E378),",","."))+1,99),"."),_xlfn.NUMBERVALUE(SUBSTITUTE(TRIM(E378),",","."),".")),0)))</f>
        <v/>
      </c>
      <c r="L378" s="3" t="str">
        <f aca="false">IF(OR(D378="",N(K378)&lt;=0),"",IFERROR(MATCH(B378&amp;"|"&amp;C378&amp;"|"&amp;D378,Нормативы!$M$2:$M$71,0),""))</f>
        <v/>
      </c>
      <c r="M378" s="3" t="str">
        <f aca="false">IF(L378="","",SUMPRODUCT((INDEX(Нормативы!$D$2:$L$71,L378,0)&lt;K378)*ISNUMBER(INDEX(Нормативы!$D$2:$L$71,L378,0))))</f>
        <v/>
      </c>
    </row>
    <row r="379" customFormat="false" ht="15" hidden="false" customHeight="false" outlineLevel="0" collapsed="false">
      <c r="A379" s="5"/>
      <c r="B379" s="5"/>
      <c r="C379" s="5"/>
      <c r="D379" s="5"/>
      <c r="E379" s="14"/>
      <c r="F379" s="4" t="str">
        <f aca="false">IF(OR(J379="",K379="",N(J379)=0,N(K379)&lt;=0),"",ROUNDDOWN(1000*(J379/K379)^3,0))</f>
        <v/>
      </c>
      <c r="G379" s="4" t="str">
        <f aca="false">IF(M379="","",IF(M379+1&gt;COUNT(INDEX(Нормативы!$D$2:$L$71,L379,0)),"Разряда нет",INDEX(Нормативы!$D$1:$L$1,1,M379+1)))</f>
        <v/>
      </c>
      <c r="H379" s="2" t="str">
        <f aca="false">IF(M379="","",IF(M379=0,"—",INDEX(Нормативы!$D$1:$L$1,1,M379)))</f>
        <v/>
      </c>
      <c r="I379" s="7" t="str">
        <f aca="false">IF(M379="","",IF(M379=0,"",IF(INT(ROUND(INDEX(Нормативы!$D$2:$L$71,L379,M379)*100,0)/6000)&gt;0,INT(ROUND(INDEX(Нормативы!$D$2:$L$71,L379,M379)*100,0)/6000)&amp;":"&amp;RIGHT("0"&amp;INT(MOD(ROUND(INDEX(Нормативы!$D$2:$L$71,L379,M379)*100,0),6000)/100),2),INT(MOD(ROUND(INDEX(Нормативы!$D$2:$L$71,L379,M379)*100,0),6000)/100))&amp;"."&amp;RIGHT("0"&amp;MOD(ROUND(INDEX(Нормативы!$D$2:$L$71,L379,M379)*100,0),100),2)))</f>
        <v/>
      </c>
      <c r="J379" s="12" t="str">
        <f aca="false">IF(D379="","",SUMIFS('Базовые времена'!$D$2:$D$71,'Базовые времена'!$A$2:$A$71,B379,'Базовые времена'!$B$2:$B$71,C379,'Базовые времена'!$C$2:$C$71,D379))</f>
        <v/>
      </c>
      <c r="K379" s="12" t="str">
        <f aca="false">IF(E379="","",IF(ISNUMBER(E379),IF(E379&lt;1,E379*86400,E379),IFERROR(IF(ISNUMBER(FIND(":",SUBSTITUTE(TRIM(E379),",","."))),VALUE(LEFT(SUBSTITUTE(TRIM(E379),",","."),FIND(":",SUBSTITUTE(TRIM(E379),",","."))-1))*60+_xlfn.NUMBERVALUE(MID(SUBSTITUTE(TRIM(E379),",","."),FIND(":",SUBSTITUTE(TRIM(E379),",","."))+1,99),"."),_xlfn.NUMBERVALUE(SUBSTITUTE(TRIM(E379),",","."),".")),0)))</f>
        <v/>
      </c>
      <c r="L379" s="3" t="str">
        <f aca="false">IF(OR(D379="",N(K379)&lt;=0),"",IFERROR(MATCH(B379&amp;"|"&amp;C379&amp;"|"&amp;D379,Нормативы!$M$2:$M$71,0),""))</f>
        <v/>
      </c>
      <c r="M379" s="3" t="str">
        <f aca="false">IF(L379="","",SUMPRODUCT((INDEX(Нормативы!$D$2:$L$71,L379,0)&lt;K379)*ISNUMBER(INDEX(Нормативы!$D$2:$L$71,L379,0))))</f>
        <v/>
      </c>
    </row>
    <row r="380" customFormat="false" ht="15" hidden="false" customHeight="false" outlineLevel="0" collapsed="false">
      <c r="A380" s="5"/>
      <c r="B380" s="5"/>
      <c r="C380" s="5"/>
      <c r="D380" s="5"/>
      <c r="E380" s="14"/>
      <c r="F380" s="4" t="str">
        <f aca="false">IF(OR(J380="",K380="",N(J380)=0,N(K380)&lt;=0),"",ROUNDDOWN(1000*(J380/K380)^3,0))</f>
        <v/>
      </c>
      <c r="G380" s="4" t="str">
        <f aca="false">IF(M380="","",IF(M380+1&gt;COUNT(INDEX(Нормативы!$D$2:$L$71,L380,0)),"Разряда нет",INDEX(Нормативы!$D$1:$L$1,1,M380+1)))</f>
        <v/>
      </c>
      <c r="H380" s="2" t="str">
        <f aca="false">IF(M380="","",IF(M380=0,"—",INDEX(Нормативы!$D$1:$L$1,1,M380)))</f>
        <v/>
      </c>
      <c r="I380" s="7" t="str">
        <f aca="false">IF(M380="","",IF(M380=0,"",IF(INT(ROUND(INDEX(Нормативы!$D$2:$L$71,L380,M380)*100,0)/6000)&gt;0,INT(ROUND(INDEX(Нормативы!$D$2:$L$71,L380,M380)*100,0)/6000)&amp;":"&amp;RIGHT("0"&amp;INT(MOD(ROUND(INDEX(Нормативы!$D$2:$L$71,L380,M380)*100,0),6000)/100),2),INT(MOD(ROUND(INDEX(Нормативы!$D$2:$L$71,L380,M380)*100,0),6000)/100))&amp;"."&amp;RIGHT("0"&amp;MOD(ROUND(INDEX(Нормативы!$D$2:$L$71,L380,M380)*100,0),100),2)))</f>
        <v/>
      </c>
      <c r="J380" s="12" t="str">
        <f aca="false">IF(D380="","",SUMIFS('Базовые времена'!$D$2:$D$71,'Базовые времена'!$A$2:$A$71,B380,'Базовые времена'!$B$2:$B$71,C380,'Базовые времена'!$C$2:$C$71,D380))</f>
        <v/>
      </c>
      <c r="K380" s="12" t="str">
        <f aca="false">IF(E380="","",IF(ISNUMBER(E380),IF(E380&lt;1,E380*86400,E380),IFERROR(IF(ISNUMBER(FIND(":",SUBSTITUTE(TRIM(E380),",","."))),VALUE(LEFT(SUBSTITUTE(TRIM(E380),",","."),FIND(":",SUBSTITUTE(TRIM(E380),",","."))-1))*60+_xlfn.NUMBERVALUE(MID(SUBSTITUTE(TRIM(E380),",","."),FIND(":",SUBSTITUTE(TRIM(E380),",","."))+1,99),"."),_xlfn.NUMBERVALUE(SUBSTITUTE(TRIM(E380),",","."),".")),0)))</f>
        <v/>
      </c>
      <c r="L380" s="3" t="str">
        <f aca="false">IF(OR(D380="",N(K380)&lt;=0),"",IFERROR(MATCH(B380&amp;"|"&amp;C380&amp;"|"&amp;D380,Нормативы!$M$2:$M$71,0),""))</f>
        <v/>
      </c>
      <c r="M380" s="3" t="str">
        <f aca="false">IF(L380="","",SUMPRODUCT((INDEX(Нормативы!$D$2:$L$71,L380,0)&lt;K380)*ISNUMBER(INDEX(Нормативы!$D$2:$L$71,L380,0))))</f>
        <v/>
      </c>
    </row>
    <row r="381" customFormat="false" ht="15" hidden="false" customHeight="false" outlineLevel="0" collapsed="false">
      <c r="A381" s="5"/>
      <c r="B381" s="5"/>
      <c r="C381" s="5"/>
      <c r="D381" s="5"/>
      <c r="E381" s="14"/>
      <c r="F381" s="4" t="str">
        <f aca="false">IF(OR(J381="",K381="",N(J381)=0,N(K381)&lt;=0),"",ROUNDDOWN(1000*(J381/K381)^3,0))</f>
        <v/>
      </c>
      <c r="G381" s="4" t="str">
        <f aca="false">IF(M381="","",IF(M381+1&gt;COUNT(INDEX(Нормативы!$D$2:$L$71,L381,0)),"Разряда нет",INDEX(Нормативы!$D$1:$L$1,1,M381+1)))</f>
        <v/>
      </c>
      <c r="H381" s="2" t="str">
        <f aca="false">IF(M381="","",IF(M381=0,"—",INDEX(Нормативы!$D$1:$L$1,1,M381)))</f>
        <v/>
      </c>
      <c r="I381" s="7" t="str">
        <f aca="false">IF(M381="","",IF(M381=0,"",IF(INT(ROUND(INDEX(Нормативы!$D$2:$L$71,L381,M381)*100,0)/6000)&gt;0,INT(ROUND(INDEX(Нормативы!$D$2:$L$71,L381,M381)*100,0)/6000)&amp;":"&amp;RIGHT("0"&amp;INT(MOD(ROUND(INDEX(Нормативы!$D$2:$L$71,L381,M381)*100,0),6000)/100),2),INT(MOD(ROUND(INDEX(Нормативы!$D$2:$L$71,L381,M381)*100,0),6000)/100))&amp;"."&amp;RIGHT("0"&amp;MOD(ROUND(INDEX(Нормативы!$D$2:$L$71,L381,M381)*100,0),100),2)))</f>
        <v/>
      </c>
      <c r="J381" s="12" t="str">
        <f aca="false">IF(D381="","",SUMIFS('Базовые времена'!$D$2:$D$71,'Базовые времена'!$A$2:$A$71,B381,'Базовые времена'!$B$2:$B$71,C381,'Базовые времена'!$C$2:$C$71,D381))</f>
        <v/>
      </c>
      <c r="K381" s="12" t="str">
        <f aca="false">IF(E381="","",IF(ISNUMBER(E381),IF(E381&lt;1,E381*86400,E381),IFERROR(IF(ISNUMBER(FIND(":",SUBSTITUTE(TRIM(E381),",","."))),VALUE(LEFT(SUBSTITUTE(TRIM(E381),",","."),FIND(":",SUBSTITUTE(TRIM(E381),",","."))-1))*60+_xlfn.NUMBERVALUE(MID(SUBSTITUTE(TRIM(E381),",","."),FIND(":",SUBSTITUTE(TRIM(E381),",","."))+1,99),"."),_xlfn.NUMBERVALUE(SUBSTITUTE(TRIM(E381),",","."),".")),0)))</f>
        <v/>
      </c>
      <c r="L381" s="3" t="str">
        <f aca="false">IF(OR(D381="",N(K381)&lt;=0),"",IFERROR(MATCH(B381&amp;"|"&amp;C381&amp;"|"&amp;D381,Нормативы!$M$2:$M$71,0),""))</f>
        <v/>
      </c>
      <c r="M381" s="3" t="str">
        <f aca="false">IF(L381="","",SUMPRODUCT((INDEX(Нормативы!$D$2:$L$71,L381,0)&lt;K381)*ISNUMBER(INDEX(Нормативы!$D$2:$L$71,L381,0))))</f>
        <v/>
      </c>
    </row>
    <row r="382" customFormat="false" ht="15" hidden="false" customHeight="false" outlineLevel="0" collapsed="false">
      <c r="A382" s="5"/>
      <c r="B382" s="5"/>
      <c r="C382" s="5"/>
      <c r="D382" s="5"/>
      <c r="E382" s="14"/>
      <c r="F382" s="4" t="str">
        <f aca="false">IF(OR(J382="",K382="",N(J382)=0,N(K382)&lt;=0),"",ROUNDDOWN(1000*(J382/K382)^3,0))</f>
        <v/>
      </c>
      <c r="G382" s="4" t="str">
        <f aca="false">IF(M382="","",IF(M382+1&gt;COUNT(INDEX(Нормативы!$D$2:$L$71,L382,0)),"Разряда нет",INDEX(Нормативы!$D$1:$L$1,1,M382+1)))</f>
        <v/>
      </c>
      <c r="H382" s="2" t="str">
        <f aca="false">IF(M382="","",IF(M382=0,"—",INDEX(Нормативы!$D$1:$L$1,1,M382)))</f>
        <v/>
      </c>
      <c r="I382" s="7" t="str">
        <f aca="false">IF(M382="","",IF(M382=0,"",IF(INT(ROUND(INDEX(Нормативы!$D$2:$L$71,L382,M382)*100,0)/6000)&gt;0,INT(ROUND(INDEX(Нормативы!$D$2:$L$71,L382,M382)*100,0)/6000)&amp;":"&amp;RIGHT("0"&amp;INT(MOD(ROUND(INDEX(Нормативы!$D$2:$L$71,L382,M382)*100,0),6000)/100),2),INT(MOD(ROUND(INDEX(Нормативы!$D$2:$L$71,L382,M382)*100,0),6000)/100))&amp;"."&amp;RIGHT("0"&amp;MOD(ROUND(INDEX(Нормативы!$D$2:$L$71,L382,M382)*100,0),100),2)))</f>
        <v/>
      </c>
      <c r="J382" s="12" t="str">
        <f aca="false">IF(D382="","",SUMIFS('Базовые времена'!$D$2:$D$71,'Базовые времена'!$A$2:$A$71,B382,'Базовые времена'!$B$2:$B$71,C382,'Базовые времена'!$C$2:$C$71,D382))</f>
        <v/>
      </c>
      <c r="K382" s="12" t="str">
        <f aca="false">IF(E382="","",IF(ISNUMBER(E382),IF(E382&lt;1,E382*86400,E382),IFERROR(IF(ISNUMBER(FIND(":",SUBSTITUTE(TRIM(E382),",","."))),VALUE(LEFT(SUBSTITUTE(TRIM(E382),",","."),FIND(":",SUBSTITUTE(TRIM(E382),",","."))-1))*60+_xlfn.NUMBERVALUE(MID(SUBSTITUTE(TRIM(E382),",","."),FIND(":",SUBSTITUTE(TRIM(E382),",","."))+1,99),"."),_xlfn.NUMBERVALUE(SUBSTITUTE(TRIM(E382),",","."),".")),0)))</f>
        <v/>
      </c>
      <c r="L382" s="3" t="str">
        <f aca="false">IF(OR(D382="",N(K382)&lt;=0),"",IFERROR(MATCH(B382&amp;"|"&amp;C382&amp;"|"&amp;D382,Нормативы!$M$2:$M$71,0),""))</f>
        <v/>
      </c>
      <c r="M382" s="3" t="str">
        <f aca="false">IF(L382="","",SUMPRODUCT((INDEX(Нормативы!$D$2:$L$71,L382,0)&lt;K382)*ISNUMBER(INDEX(Нормативы!$D$2:$L$71,L382,0))))</f>
        <v/>
      </c>
    </row>
    <row r="383" customFormat="false" ht="15" hidden="false" customHeight="false" outlineLevel="0" collapsed="false">
      <c r="A383" s="5"/>
      <c r="B383" s="5"/>
      <c r="C383" s="5"/>
      <c r="D383" s="5"/>
      <c r="E383" s="14"/>
      <c r="F383" s="4" t="str">
        <f aca="false">IF(OR(J383="",K383="",N(J383)=0,N(K383)&lt;=0),"",ROUNDDOWN(1000*(J383/K383)^3,0))</f>
        <v/>
      </c>
      <c r="G383" s="4" t="str">
        <f aca="false">IF(M383="","",IF(M383+1&gt;COUNT(INDEX(Нормативы!$D$2:$L$71,L383,0)),"Разряда нет",INDEX(Нормативы!$D$1:$L$1,1,M383+1)))</f>
        <v/>
      </c>
      <c r="H383" s="2" t="str">
        <f aca="false">IF(M383="","",IF(M383=0,"—",INDEX(Нормативы!$D$1:$L$1,1,M383)))</f>
        <v/>
      </c>
      <c r="I383" s="7" t="str">
        <f aca="false">IF(M383="","",IF(M383=0,"",IF(INT(ROUND(INDEX(Нормативы!$D$2:$L$71,L383,M383)*100,0)/6000)&gt;0,INT(ROUND(INDEX(Нормативы!$D$2:$L$71,L383,M383)*100,0)/6000)&amp;":"&amp;RIGHT("0"&amp;INT(MOD(ROUND(INDEX(Нормативы!$D$2:$L$71,L383,M383)*100,0),6000)/100),2),INT(MOD(ROUND(INDEX(Нормативы!$D$2:$L$71,L383,M383)*100,0),6000)/100))&amp;"."&amp;RIGHT("0"&amp;MOD(ROUND(INDEX(Нормативы!$D$2:$L$71,L383,M383)*100,0),100),2)))</f>
        <v/>
      </c>
      <c r="J383" s="12" t="str">
        <f aca="false">IF(D383="","",SUMIFS('Базовые времена'!$D$2:$D$71,'Базовые времена'!$A$2:$A$71,B383,'Базовые времена'!$B$2:$B$71,C383,'Базовые времена'!$C$2:$C$71,D383))</f>
        <v/>
      </c>
      <c r="K383" s="12" t="str">
        <f aca="false">IF(E383="","",IF(ISNUMBER(E383),IF(E383&lt;1,E383*86400,E383),IFERROR(IF(ISNUMBER(FIND(":",SUBSTITUTE(TRIM(E383),",","."))),VALUE(LEFT(SUBSTITUTE(TRIM(E383),",","."),FIND(":",SUBSTITUTE(TRIM(E383),",","."))-1))*60+_xlfn.NUMBERVALUE(MID(SUBSTITUTE(TRIM(E383),",","."),FIND(":",SUBSTITUTE(TRIM(E383),",","."))+1,99),"."),_xlfn.NUMBERVALUE(SUBSTITUTE(TRIM(E383),",","."),".")),0)))</f>
        <v/>
      </c>
      <c r="L383" s="3" t="str">
        <f aca="false">IF(OR(D383="",N(K383)&lt;=0),"",IFERROR(MATCH(B383&amp;"|"&amp;C383&amp;"|"&amp;D383,Нормативы!$M$2:$M$71,0),""))</f>
        <v/>
      </c>
      <c r="M383" s="3" t="str">
        <f aca="false">IF(L383="","",SUMPRODUCT((INDEX(Нормативы!$D$2:$L$71,L383,0)&lt;K383)*ISNUMBER(INDEX(Нормативы!$D$2:$L$71,L383,0))))</f>
        <v/>
      </c>
    </row>
    <row r="384" customFormat="false" ht="15" hidden="false" customHeight="false" outlineLevel="0" collapsed="false">
      <c r="A384" s="5"/>
      <c r="B384" s="5"/>
      <c r="C384" s="5"/>
      <c r="D384" s="5"/>
      <c r="E384" s="14"/>
      <c r="F384" s="4" t="str">
        <f aca="false">IF(OR(J384="",K384="",N(J384)=0,N(K384)&lt;=0),"",ROUNDDOWN(1000*(J384/K384)^3,0))</f>
        <v/>
      </c>
      <c r="G384" s="4" t="str">
        <f aca="false">IF(M384="","",IF(M384+1&gt;COUNT(INDEX(Нормативы!$D$2:$L$71,L384,0)),"Разряда нет",INDEX(Нормативы!$D$1:$L$1,1,M384+1)))</f>
        <v/>
      </c>
      <c r="H384" s="2" t="str">
        <f aca="false">IF(M384="","",IF(M384=0,"—",INDEX(Нормативы!$D$1:$L$1,1,M384)))</f>
        <v/>
      </c>
      <c r="I384" s="7" t="str">
        <f aca="false">IF(M384="","",IF(M384=0,"",IF(INT(ROUND(INDEX(Нормативы!$D$2:$L$71,L384,M384)*100,0)/6000)&gt;0,INT(ROUND(INDEX(Нормативы!$D$2:$L$71,L384,M384)*100,0)/6000)&amp;":"&amp;RIGHT("0"&amp;INT(MOD(ROUND(INDEX(Нормативы!$D$2:$L$71,L384,M384)*100,0),6000)/100),2),INT(MOD(ROUND(INDEX(Нормативы!$D$2:$L$71,L384,M384)*100,0),6000)/100))&amp;"."&amp;RIGHT("0"&amp;MOD(ROUND(INDEX(Нормативы!$D$2:$L$71,L384,M384)*100,0),100),2)))</f>
        <v/>
      </c>
      <c r="J384" s="12" t="str">
        <f aca="false">IF(D384="","",SUMIFS('Базовые времена'!$D$2:$D$71,'Базовые времена'!$A$2:$A$71,B384,'Базовые времена'!$B$2:$B$71,C384,'Базовые времена'!$C$2:$C$71,D384))</f>
        <v/>
      </c>
      <c r="K384" s="12" t="str">
        <f aca="false">IF(E384="","",IF(ISNUMBER(E384),IF(E384&lt;1,E384*86400,E384),IFERROR(IF(ISNUMBER(FIND(":",SUBSTITUTE(TRIM(E384),",","."))),VALUE(LEFT(SUBSTITUTE(TRIM(E384),",","."),FIND(":",SUBSTITUTE(TRIM(E384),",","."))-1))*60+_xlfn.NUMBERVALUE(MID(SUBSTITUTE(TRIM(E384),",","."),FIND(":",SUBSTITUTE(TRIM(E384),",","."))+1,99),"."),_xlfn.NUMBERVALUE(SUBSTITUTE(TRIM(E384),",","."),".")),0)))</f>
        <v/>
      </c>
      <c r="L384" s="3" t="str">
        <f aca="false">IF(OR(D384="",N(K384)&lt;=0),"",IFERROR(MATCH(B384&amp;"|"&amp;C384&amp;"|"&amp;D384,Нормативы!$M$2:$M$71,0),""))</f>
        <v/>
      </c>
      <c r="M384" s="3" t="str">
        <f aca="false">IF(L384="","",SUMPRODUCT((INDEX(Нормативы!$D$2:$L$71,L384,0)&lt;K384)*ISNUMBER(INDEX(Нормативы!$D$2:$L$71,L384,0))))</f>
        <v/>
      </c>
    </row>
    <row r="385" customFormat="false" ht="15" hidden="false" customHeight="false" outlineLevel="0" collapsed="false">
      <c r="A385" s="5"/>
      <c r="B385" s="5"/>
      <c r="C385" s="5"/>
      <c r="D385" s="5"/>
      <c r="E385" s="14"/>
      <c r="F385" s="4" t="str">
        <f aca="false">IF(OR(J385="",K385="",N(J385)=0,N(K385)&lt;=0),"",ROUNDDOWN(1000*(J385/K385)^3,0))</f>
        <v/>
      </c>
      <c r="G385" s="4" t="str">
        <f aca="false">IF(M385="","",IF(M385+1&gt;COUNT(INDEX(Нормативы!$D$2:$L$71,L385,0)),"Разряда нет",INDEX(Нормативы!$D$1:$L$1,1,M385+1)))</f>
        <v/>
      </c>
      <c r="H385" s="2" t="str">
        <f aca="false">IF(M385="","",IF(M385=0,"—",INDEX(Нормативы!$D$1:$L$1,1,M385)))</f>
        <v/>
      </c>
      <c r="I385" s="7" t="str">
        <f aca="false">IF(M385="","",IF(M385=0,"",IF(INT(ROUND(INDEX(Нормативы!$D$2:$L$71,L385,M385)*100,0)/6000)&gt;0,INT(ROUND(INDEX(Нормативы!$D$2:$L$71,L385,M385)*100,0)/6000)&amp;":"&amp;RIGHT("0"&amp;INT(MOD(ROUND(INDEX(Нормативы!$D$2:$L$71,L385,M385)*100,0),6000)/100),2),INT(MOD(ROUND(INDEX(Нормативы!$D$2:$L$71,L385,M385)*100,0),6000)/100))&amp;"."&amp;RIGHT("0"&amp;MOD(ROUND(INDEX(Нормативы!$D$2:$L$71,L385,M385)*100,0),100),2)))</f>
        <v/>
      </c>
      <c r="J385" s="12" t="str">
        <f aca="false">IF(D385="","",SUMIFS('Базовые времена'!$D$2:$D$71,'Базовые времена'!$A$2:$A$71,B385,'Базовые времена'!$B$2:$B$71,C385,'Базовые времена'!$C$2:$C$71,D385))</f>
        <v/>
      </c>
      <c r="K385" s="12" t="str">
        <f aca="false">IF(E385="","",IF(ISNUMBER(E385),IF(E385&lt;1,E385*86400,E385),IFERROR(IF(ISNUMBER(FIND(":",SUBSTITUTE(TRIM(E385),",","."))),VALUE(LEFT(SUBSTITUTE(TRIM(E385),",","."),FIND(":",SUBSTITUTE(TRIM(E385),",","."))-1))*60+_xlfn.NUMBERVALUE(MID(SUBSTITUTE(TRIM(E385),",","."),FIND(":",SUBSTITUTE(TRIM(E385),",","."))+1,99),"."),_xlfn.NUMBERVALUE(SUBSTITUTE(TRIM(E385),",","."),".")),0)))</f>
        <v/>
      </c>
      <c r="L385" s="3" t="str">
        <f aca="false">IF(OR(D385="",N(K385)&lt;=0),"",IFERROR(MATCH(B385&amp;"|"&amp;C385&amp;"|"&amp;D385,Нормативы!$M$2:$M$71,0),""))</f>
        <v/>
      </c>
      <c r="M385" s="3" t="str">
        <f aca="false">IF(L385="","",SUMPRODUCT((INDEX(Нормативы!$D$2:$L$71,L385,0)&lt;K385)*ISNUMBER(INDEX(Нормативы!$D$2:$L$71,L385,0))))</f>
        <v/>
      </c>
    </row>
    <row r="386" customFormat="false" ht="15" hidden="false" customHeight="false" outlineLevel="0" collapsed="false">
      <c r="A386" s="5"/>
      <c r="B386" s="5"/>
      <c r="C386" s="5"/>
      <c r="D386" s="5"/>
      <c r="E386" s="14"/>
      <c r="F386" s="4" t="str">
        <f aca="false">IF(OR(J386="",K386="",N(J386)=0,N(K386)&lt;=0),"",ROUNDDOWN(1000*(J386/K386)^3,0))</f>
        <v/>
      </c>
      <c r="G386" s="4" t="str">
        <f aca="false">IF(M386="","",IF(M386+1&gt;COUNT(INDEX(Нормативы!$D$2:$L$71,L386,0)),"Разряда нет",INDEX(Нормативы!$D$1:$L$1,1,M386+1)))</f>
        <v/>
      </c>
      <c r="H386" s="2" t="str">
        <f aca="false">IF(M386="","",IF(M386=0,"—",INDEX(Нормативы!$D$1:$L$1,1,M386)))</f>
        <v/>
      </c>
      <c r="I386" s="7" t="str">
        <f aca="false">IF(M386="","",IF(M386=0,"",IF(INT(ROUND(INDEX(Нормативы!$D$2:$L$71,L386,M386)*100,0)/6000)&gt;0,INT(ROUND(INDEX(Нормативы!$D$2:$L$71,L386,M386)*100,0)/6000)&amp;":"&amp;RIGHT("0"&amp;INT(MOD(ROUND(INDEX(Нормативы!$D$2:$L$71,L386,M386)*100,0),6000)/100),2),INT(MOD(ROUND(INDEX(Нормативы!$D$2:$L$71,L386,M386)*100,0),6000)/100))&amp;"."&amp;RIGHT("0"&amp;MOD(ROUND(INDEX(Нормативы!$D$2:$L$71,L386,M386)*100,0),100),2)))</f>
        <v/>
      </c>
      <c r="J386" s="12" t="str">
        <f aca="false">IF(D386="","",SUMIFS('Базовые времена'!$D$2:$D$71,'Базовые времена'!$A$2:$A$71,B386,'Базовые времена'!$B$2:$B$71,C386,'Базовые времена'!$C$2:$C$71,D386))</f>
        <v/>
      </c>
      <c r="K386" s="12" t="str">
        <f aca="false">IF(E386="","",IF(ISNUMBER(E386),IF(E386&lt;1,E386*86400,E386),IFERROR(IF(ISNUMBER(FIND(":",SUBSTITUTE(TRIM(E386),",","."))),VALUE(LEFT(SUBSTITUTE(TRIM(E386),",","."),FIND(":",SUBSTITUTE(TRIM(E386),",","."))-1))*60+_xlfn.NUMBERVALUE(MID(SUBSTITUTE(TRIM(E386),",","."),FIND(":",SUBSTITUTE(TRIM(E386),",","."))+1,99),"."),_xlfn.NUMBERVALUE(SUBSTITUTE(TRIM(E386),",","."),".")),0)))</f>
        <v/>
      </c>
      <c r="L386" s="3" t="str">
        <f aca="false">IF(OR(D386="",N(K386)&lt;=0),"",IFERROR(MATCH(B386&amp;"|"&amp;C386&amp;"|"&amp;D386,Нормативы!$M$2:$M$71,0),""))</f>
        <v/>
      </c>
      <c r="M386" s="3" t="str">
        <f aca="false">IF(L386="","",SUMPRODUCT((INDEX(Нормативы!$D$2:$L$71,L386,0)&lt;K386)*ISNUMBER(INDEX(Нормативы!$D$2:$L$71,L386,0))))</f>
        <v/>
      </c>
    </row>
    <row r="387" customFormat="false" ht="15" hidden="false" customHeight="false" outlineLevel="0" collapsed="false">
      <c r="A387" s="5"/>
      <c r="B387" s="5"/>
      <c r="C387" s="5"/>
      <c r="D387" s="5"/>
      <c r="E387" s="14"/>
      <c r="F387" s="4" t="str">
        <f aca="false">IF(OR(J387="",K387="",N(J387)=0,N(K387)&lt;=0),"",ROUNDDOWN(1000*(J387/K387)^3,0))</f>
        <v/>
      </c>
      <c r="G387" s="4" t="str">
        <f aca="false">IF(M387="","",IF(M387+1&gt;COUNT(INDEX(Нормативы!$D$2:$L$71,L387,0)),"Разряда нет",INDEX(Нормативы!$D$1:$L$1,1,M387+1)))</f>
        <v/>
      </c>
      <c r="H387" s="2" t="str">
        <f aca="false">IF(M387="","",IF(M387=0,"—",INDEX(Нормативы!$D$1:$L$1,1,M387)))</f>
        <v/>
      </c>
      <c r="I387" s="7" t="str">
        <f aca="false">IF(M387="","",IF(M387=0,"",IF(INT(ROUND(INDEX(Нормативы!$D$2:$L$71,L387,M387)*100,0)/6000)&gt;0,INT(ROUND(INDEX(Нормативы!$D$2:$L$71,L387,M387)*100,0)/6000)&amp;":"&amp;RIGHT("0"&amp;INT(MOD(ROUND(INDEX(Нормативы!$D$2:$L$71,L387,M387)*100,0),6000)/100),2),INT(MOD(ROUND(INDEX(Нормативы!$D$2:$L$71,L387,M387)*100,0),6000)/100))&amp;"."&amp;RIGHT("0"&amp;MOD(ROUND(INDEX(Нормативы!$D$2:$L$71,L387,M387)*100,0),100),2)))</f>
        <v/>
      </c>
      <c r="J387" s="12" t="str">
        <f aca="false">IF(D387="","",SUMIFS('Базовые времена'!$D$2:$D$71,'Базовые времена'!$A$2:$A$71,B387,'Базовые времена'!$B$2:$B$71,C387,'Базовые времена'!$C$2:$C$71,D387))</f>
        <v/>
      </c>
      <c r="K387" s="12" t="str">
        <f aca="false">IF(E387="","",IF(ISNUMBER(E387),IF(E387&lt;1,E387*86400,E387),IFERROR(IF(ISNUMBER(FIND(":",SUBSTITUTE(TRIM(E387),",","."))),VALUE(LEFT(SUBSTITUTE(TRIM(E387),",","."),FIND(":",SUBSTITUTE(TRIM(E387),",","."))-1))*60+_xlfn.NUMBERVALUE(MID(SUBSTITUTE(TRIM(E387),",","."),FIND(":",SUBSTITUTE(TRIM(E387),",","."))+1,99),"."),_xlfn.NUMBERVALUE(SUBSTITUTE(TRIM(E387),",","."),".")),0)))</f>
        <v/>
      </c>
      <c r="L387" s="3" t="str">
        <f aca="false">IF(OR(D387="",N(K387)&lt;=0),"",IFERROR(MATCH(B387&amp;"|"&amp;C387&amp;"|"&amp;D387,Нормативы!$M$2:$M$71,0),""))</f>
        <v/>
      </c>
      <c r="M387" s="3" t="str">
        <f aca="false">IF(L387="","",SUMPRODUCT((INDEX(Нормативы!$D$2:$L$71,L387,0)&lt;K387)*ISNUMBER(INDEX(Нормативы!$D$2:$L$71,L387,0))))</f>
        <v/>
      </c>
    </row>
    <row r="388" customFormat="false" ht="15" hidden="false" customHeight="false" outlineLevel="0" collapsed="false">
      <c r="A388" s="5"/>
      <c r="B388" s="5"/>
      <c r="C388" s="5"/>
      <c r="D388" s="5"/>
      <c r="E388" s="14"/>
      <c r="F388" s="4" t="str">
        <f aca="false">IF(OR(J388="",K388="",N(J388)=0,N(K388)&lt;=0),"",ROUNDDOWN(1000*(J388/K388)^3,0))</f>
        <v/>
      </c>
      <c r="G388" s="4" t="str">
        <f aca="false">IF(M388="","",IF(M388+1&gt;COUNT(INDEX(Нормативы!$D$2:$L$71,L388,0)),"Разряда нет",INDEX(Нормативы!$D$1:$L$1,1,M388+1)))</f>
        <v/>
      </c>
      <c r="H388" s="2" t="str">
        <f aca="false">IF(M388="","",IF(M388=0,"—",INDEX(Нормативы!$D$1:$L$1,1,M388)))</f>
        <v/>
      </c>
      <c r="I388" s="7" t="str">
        <f aca="false">IF(M388="","",IF(M388=0,"",IF(INT(ROUND(INDEX(Нормативы!$D$2:$L$71,L388,M388)*100,0)/6000)&gt;0,INT(ROUND(INDEX(Нормативы!$D$2:$L$71,L388,M388)*100,0)/6000)&amp;":"&amp;RIGHT("0"&amp;INT(MOD(ROUND(INDEX(Нормативы!$D$2:$L$71,L388,M388)*100,0),6000)/100),2),INT(MOD(ROUND(INDEX(Нормативы!$D$2:$L$71,L388,M388)*100,0),6000)/100))&amp;"."&amp;RIGHT("0"&amp;MOD(ROUND(INDEX(Нормативы!$D$2:$L$71,L388,M388)*100,0),100),2)))</f>
        <v/>
      </c>
      <c r="J388" s="12" t="str">
        <f aca="false">IF(D388="","",SUMIFS('Базовые времена'!$D$2:$D$71,'Базовые времена'!$A$2:$A$71,B388,'Базовые времена'!$B$2:$B$71,C388,'Базовые времена'!$C$2:$C$71,D388))</f>
        <v/>
      </c>
      <c r="K388" s="12" t="str">
        <f aca="false">IF(E388="","",IF(ISNUMBER(E388),IF(E388&lt;1,E388*86400,E388),IFERROR(IF(ISNUMBER(FIND(":",SUBSTITUTE(TRIM(E388),",","."))),VALUE(LEFT(SUBSTITUTE(TRIM(E388),",","."),FIND(":",SUBSTITUTE(TRIM(E388),",","."))-1))*60+_xlfn.NUMBERVALUE(MID(SUBSTITUTE(TRIM(E388),",","."),FIND(":",SUBSTITUTE(TRIM(E388),",","."))+1,99),"."),_xlfn.NUMBERVALUE(SUBSTITUTE(TRIM(E388),",","."),".")),0)))</f>
        <v/>
      </c>
      <c r="L388" s="3" t="str">
        <f aca="false">IF(OR(D388="",N(K388)&lt;=0),"",IFERROR(MATCH(B388&amp;"|"&amp;C388&amp;"|"&amp;D388,Нормативы!$M$2:$M$71,0),""))</f>
        <v/>
      </c>
      <c r="M388" s="3" t="str">
        <f aca="false">IF(L388="","",SUMPRODUCT((INDEX(Нормативы!$D$2:$L$71,L388,0)&lt;K388)*ISNUMBER(INDEX(Нормативы!$D$2:$L$71,L388,0))))</f>
        <v/>
      </c>
    </row>
    <row r="389" customFormat="false" ht="15" hidden="false" customHeight="false" outlineLevel="0" collapsed="false">
      <c r="A389" s="5"/>
      <c r="B389" s="5"/>
      <c r="C389" s="5"/>
      <c r="D389" s="5"/>
      <c r="E389" s="14"/>
      <c r="F389" s="4" t="str">
        <f aca="false">IF(OR(J389="",K389="",N(J389)=0,N(K389)&lt;=0),"",ROUNDDOWN(1000*(J389/K389)^3,0))</f>
        <v/>
      </c>
      <c r="G389" s="4" t="str">
        <f aca="false">IF(M389="","",IF(M389+1&gt;COUNT(INDEX(Нормативы!$D$2:$L$71,L389,0)),"Разряда нет",INDEX(Нормативы!$D$1:$L$1,1,M389+1)))</f>
        <v/>
      </c>
      <c r="H389" s="2" t="str">
        <f aca="false">IF(M389="","",IF(M389=0,"—",INDEX(Нормативы!$D$1:$L$1,1,M389)))</f>
        <v/>
      </c>
      <c r="I389" s="7" t="str">
        <f aca="false">IF(M389="","",IF(M389=0,"",IF(INT(ROUND(INDEX(Нормативы!$D$2:$L$71,L389,M389)*100,0)/6000)&gt;0,INT(ROUND(INDEX(Нормативы!$D$2:$L$71,L389,M389)*100,0)/6000)&amp;":"&amp;RIGHT("0"&amp;INT(MOD(ROUND(INDEX(Нормативы!$D$2:$L$71,L389,M389)*100,0),6000)/100),2),INT(MOD(ROUND(INDEX(Нормативы!$D$2:$L$71,L389,M389)*100,0),6000)/100))&amp;"."&amp;RIGHT("0"&amp;MOD(ROUND(INDEX(Нормативы!$D$2:$L$71,L389,M389)*100,0),100),2)))</f>
        <v/>
      </c>
      <c r="J389" s="12" t="str">
        <f aca="false">IF(D389="","",SUMIFS('Базовые времена'!$D$2:$D$71,'Базовые времена'!$A$2:$A$71,B389,'Базовые времена'!$B$2:$B$71,C389,'Базовые времена'!$C$2:$C$71,D389))</f>
        <v/>
      </c>
      <c r="K389" s="12" t="str">
        <f aca="false">IF(E389="","",IF(ISNUMBER(E389),IF(E389&lt;1,E389*86400,E389),IFERROR(IF(ISNUMBER(FIND(":",SUBSTITUTE(TRIM(E389),",","."))),VALUE(LEFT(SUBSTITUTE(TRIM(E389),",","."),FIND(":",SUBSTITUTE(TRIM(E389),",","."))-1))*60+_xlfn.NUMBERVALUE(MID(SUBSTITUTE(TRIM(E389),",","."),FIND(":",SUBSTITUTE(TRIM(E389),",","."))+1,99),"."),_xlfn.NUMBERVALUE(SUBSTITUTE(TRIM(E389),",","."),".")),0)))</f>
        <v/>
      </c>
      <c r="L389" s="3" t="str">
        <f aca="false">IF(OR(D389="",N(K389)&lt;=0),"",IFERROR(MATCH(B389&amp;"|"&amp;C389&amp;"|"&amp;D389,Нормативы!$M$2:$M$71,0),""))</f>
        <v/>
      </c>
      <c r="M389" s="3" t="str">
        <f aca="false">IF(L389="","",SUMPRODUCT((INDEX(Нормативы!$D$2:$L$71,L389,0)&lt;K389)*ISNUMBER(INDEX(Нормативы!$D$2:$L$71,L389,0))))</f>
        <v/>
      </c>
    </row>
    <row r="390" customFormat="false" ht="15" hidden="false" customHeight="false" outlineLevel="0" collapsed="false">
      <c r="A390" s="5"/>
      <c r="B390" s="5"/>
      <c r="C390" s="5"/>
      <c r="D390" s="5"/>
      <c r="E390" s="14"/>
      <c r="F390" s="4" t="str">
        <f aca="false">IF(OR(J390="",K390="",N(J390)=0,N(K390)&lt;=0),"",ROUNDDOWN(1000*(J390/K390)^3,0))</f>
        <v/>
      </c>
      <c r="G390" s="4" t="str">
        <f aca="false">IF(M390="","",IF(M390+1&gt;COUNT(INDEX(Нормативы!$D$2:$L$71,L390,0)),"Разряда нет",INDEX(Нормативы!$D$1:$L$1,1,M390+1)))</f>
        <v/>
      </c>
      <c r="H390" s="2" t="str">
        <f aca="false">IF(M390="","",IF(M390=0,"—",INDEX(Нормативы!$D$1:$L$1,1,M390)))</f>
        <v/>
      </c>
      <c r="I390" s="7" t="str">
        <f aca="false">IF(M390="","",IF(M390=0,"",IF(INT(ROUND(INDEX(Нормативы!$D$2:$L$71,L390,M390)*100,0)/6000)&gt;0,INT(ROUND(INDEX(Нормативы!$D$2:$L$71,L390,M390)*100,0)/6000)&amp;":"&amp;RIGHT("0"&amp;INT(MOD(ROUND(INDEX(Нормативы!$D$2:$L$71,L390,M390)*100,0),6000)/100),2),INT(MOD(ROUND(INDEX(Нормативы!$D$2:$L$71,L390,M390)*100,0),6000)/100))&amp;"."&amp;RIGHT("0"&amp;MOD(ROUND(INDEX(Нормативы!$D$2:$L$71,L390,M390)*100,0),100),2)))</f>
        <v/>
      </c>
      <c r="J390" s="12" t="str">
        <f aca="false">IF(D390="","",SUMIFS('Базовые времена'!$D$2:$D$71,'Базовые времена'!$A$2:$A$71,B390,'Базовые времена'!$B$2:$B$71,C390,'Базовые времена'!$C$2:$C$71,D390))</f>
        <v/>
      </c>
      <c r="K390" s="12" t="str">
        <f aca="false">IF(E390="","",IF(ISNUMBER(E390),IF(E390&lt;1,E390*86400,E390),IFERROR(IF(ISNUMBER(FIND(":",SUBSTITUTE(TRIM(E390),",","."))),VALUE(LEFT(SUBSTITUTE(TRIM(E390),",","."),FIND(":",SUBSTITUTE(TRIM(E390),",","."))-1))*60+_xlfn.NUMBERVALUE(MID(SUBSTITUTE(TRIM(E390),",","."),FIND(":",SUBSTITUTE(TRIM(E390),",","."))+1,99),"."),_xlfn.NUMBERVALUE(SUBSTITUTE(TRIM(E390),",","."),".")),0)))</f>
        <v/>
      </c>
      <c r="L390" s="3" t="str">
        <f aca="false">IF(OR(D390="",N(K390)&lt;=0),"",IFERROR(MATCH(B390&amp;"|"&amp;C390&amp;"|"&amp;D390,Нормативы!$M$2:$M$71,0),""))</f>
        <v/>
      </c>
      <c r="M390" s="3" t="str">
        <f aca="false">IF(L390="","",SUMPRODUCT((INDEX(Нормативы!$D$2:$L$71,L390,0)&lt;K390)*ISNUMBER(INDEX(Нормативы!$D$2:$L$71,L390,0))))</f>
        <v/>
      </c>
    </row>
    <row r="391" customFormat="false" ht="15" hidden="false" customHeight="false" outlineLevel="0" collapsed="false">
      <c r="A391" s="5"/>
      <c r="B391" s="5"/>
      <c r="C391" s="5"/>
      <c r="D391" s="5"/>
      <c r="E391" s="14"/>
      <c r="F391" s="4" t="str">
        <f aca="false">IF(OR(J391="",K391="",N(J391)=0,N(K391)&lt;=0),"",ROUNDDOWN(1000*(J391/K391)^3,0))</f>
        <v/>
      </c>
      <c r="G391" s="4" t="str">
        <f aca="false">IF(M391="","",IF(M391+1&gt;COUNT(INDEX(Нормативы!$D$2:$L$71,L391,0)),"Разряда нет",INDEX(Нормативы!$D$1:$L$1,1,M391+1)))</f>
        <v/>
      </c>
      <c r="H391" s="2" t="str">
        <f aca="false">IF(M391="","",IF(M391=0,"—",INDEX(Нормативы!$D$1:$L$1,1,M391)))</f>
        <v/>
      </c>
      <c r="I391" s="7" t="str">
        <f aca="false">IF(M391="","",IF(M391=0,"",IF(INT(ROUND(INDEX(Нормативы!$D$2:$L$71,L391,M391)*100,0)/6000)&gt;0,INT(ROUND(INDEX(Нормативы!$D$2:$L$71,L391,M391)*100,0)/6000)&amp;":"&amp;RIGHT("0"&amp;INT(MOD(ROUND(INDEX(Нормативы!$D$2:$L$71,L391,M391)*100,0),6000)/100),2),INT(MOD(ROUND(INDEX(Нормативы!$D$2:$L$71,L391,M391)*100,0),6000)/100))&amp;"."&amp;RIGHT("0"&amp;MOD(ROUND(INDEX(Нормативы!$D$2:$L$71,L391,M391)*100,0),100),2)))</f>
        <v/>
      </c>
      <c r="J391" s="12" t="str">
        <f aca="false">IF(D391="","",SUMIFS('Базовые времена'!$D$2:$D$71,'Базовые времена'!$A$2:$A$71,B391,'Базовые времена'!$B$2:$B$71,C391,'Базовые времена'!$C$2:$C$71,D391))</f>
        <v/>
      </c>
      <c r="K391" s="12" t="str">
        <f aca="false">IF(E391="","",IF(ISNUMBER(E391),IF(E391&lt;1,E391*86400,E391),IFERROR(IF(ISNUMBER(FIND(":",SUBSTITUTE(TRIM(E391),",","."))),VALUE(LEFT(SUBSTITUTE(TRIM(E391),",","."),FIND(":",SUBSTITUTE(TRIM(E391),",","."))-1))*60+_xlfn.NUMBERVALUE(MID(SUBSTITUTE(TRIM(E391),",","."),FIND(":",SUBSTITUTE(TRIM(E391),",","."))+1,99),"."),_xlfn.NUMBERVALUE(SUBSTITUTE(TRIM(E391),",","."),".")),0)))</f>
        <v/>
      </c>
      <c r="L391" s="3" t="str">
        <f aca="false">IF(OR(D391="",N(K391)&lt;=0),"",IFERROR(MATCH(B391&amp;"|"&amp;C391&amp;"|"&amp;D391,Нормативы!$M$2:$M$71,0),""))</f>
        <v/>
      </c>
      <c r="M391" s="3" t="str">
        <f aca="false">IF(L391="","",SUMPRODUCT((INDEX(Нормативы!$D$2:$L$71,L391,0)&lt;K391)*ISNUMBER(INDEX(Нормативы!$D$2:$L$71,L391,0))))</f>
        <v/>
      </c>
    </row>
    <row r="392" customFormat="false" ht="15" hidden="false" customHeight="false" outlineLevel="0" collapsed="false">
      <c r="A392" s="5"/>
      <c r="B392" s="5"/>
      <c r="C392" s="5"/>
      <c r="D392" s="5"/>
      <c r="E392" s="14"/>
      <c r="F392" s="4" t="str">
        <f aca="false">IF(OR(J392="",K392="",N(J392)=0,N(K392)&lt;=0),"",ROUNDDOWN(1000*(J392/K392)^3,0))</f>
        <v/>
      </c>
      <c r="G392" s="4" t="str">
        <f aca="false">IF(M392="","",IF(M392+1&gt;COUNT(INDEX(Нормативы!$D$2:$L$71,L392,0)),"Разряда нет",INDEX(Нормативы!$D$1:$L$1,1,M392+1)))</f>
        <v/>
      </c>
      <c r="H392" s="2" t="str">
        <f aca="false">IF(M392="","",IF(M392=0,"—",INDEX(Нормативы!$D$1:$L$1,1,M392)))</f>
        <v/>
      </c>
      <c r="I392" s="7" t="str">
        <f aca="false">IF(M392="","",IF(M392=0,"",IF(INT(ROUND(INDEX(Нормативы!$D$2:$L$71,L392,M392)*100,0)/6000)&gt;0,INT(ROUND(INDEX(Нормативы!$D$2:$L$71,L392,M392)*100,0)/6000)&amp;":"&amp;RIGHT("0"&amp;INT(MOD(ROUND(INDEX(Нормативы!$D$2:$L$71,L392,M392)*100,0),6000)/100),2),INT(MOD(ROUND(INDEX(Нормативы!$D$2:$L$71,L392,M392)*100,0),6000)/100))&amp;"."&amp;RIGHT("0"&amp;MOD(ROUND(INDEX(Нормативы!$D$2:$L$71,L392,M392)*100,0),100),2)))</f>
        <v/>
      </c>
      <c r="J392" s="12" t="str">
        <f aca="false">IF(D392="","",SUMIFS('Базовые времена'!$D$2:$D$71,'Базовые времена'!$A$2:$A$71,B392,'Базовые времена'!$B$2:$B$71,C392,'Базовые времена'!$C$2:$C$71,D392))</f>
        <v/>
      </c>
      <c r="K392" s="12" t="str">
        <f aca="false">IF(E392="","",IF(ISNUMBER(E392),IF(E392&lt;1,E392*86400,E392),IFERROR(IF(ISNUMBER(FIND(":",SUBSTITUTE(TRIM(E392),",","."))),VALUE(LEFT(SUBSTITUTE(TRIM(E392),",","."),FIND(":",SUBSTITUTE(TRIM(E392),",","."))-1))*60+_xlfn.NUMBERVALUE(MID(SUBSTITUTE(TRIM(E392),",","."),FIND(":",SUBSTITUTE(TRIM(E392),",","."))+1,99),"."),_xlfn.NUMBERVALUE(SUBSTITUTE(TRIM(E392),",","."),".")),0)))</f>
        <v/>
      </c>
      <c r="L392" s="3" t="str">
        <f aca="false">IF(OR(D392="",N(K392)&lt;=0),"",IFERROR(MATCH(B392&amp;"|"&amp;C392&amp;"|"&amp;D392,Нормативы!$M$2:$M$71,0),""))</f>
        <v/>
      </c>
      <c r="M392" s="3" t="str">
        <f aca="false">IF(L392="","",SUMPRODUCT((INDEX(Нормативы!$D$2:$L$71,L392,0)&lt;K392)*ISNUMBER(INDEX(Нормативы!$D$2:$L$71,L392,0))))</f>
        <v/>
      </c>
    </row>
    <row r="393" customFormat="false" ht="15" hidden="false" customHeight="false" outlineLevel="0" collapsed="false">
      <c r="A393" s="5"/>
      <c r="B393" s="5"/>
      <c r="C393" s="5"/>
      <c r="D393" s="5"/>
      <c r="E393" s="14"/>
      <c r="F393" s="4" t="str">
        <f aca="false">IF(OR(J393="",K393="",N(J393)=0,N(K393)&lt;=0),"",ROUNDDOWN(1000*(J393/K393)^3,0))</f>
        <v/>
      </c>
      <c r="G393" s="4" t="str">
        <f aca="false">IF(M393="","",IF(M393+1&gt;COUNT(INDEX(Нормативы!$D$2:$L$71,L393,0)),"Разряда нет",INDEX(Нормативы!$D$1:$L$1,1,M393+1)))</f>
        <v/>
      </c>
      <c r="H393" s="2" t="str">
        <f aca="false">IF(M393="","",IF(M393=0,"—",INDEX(Нормативы!$D$1:$L$1,1,M393)))</f>
        <v/>
      </c>
      <c r="I393" s="7" t="str">
        <f aca="false">IF(M393="","",IF(M393=0,"",IF(INT(ROUND(INDEX(Нормативы!$D$2:$L$71,L393,M393)*100,0)/6000)&gt;0,INT(ROUND(INDEX(Нормативы!$D$2:$L$71,L393,M393)*100,0)/6000)&amp;":"&amp;RIGHT("0"&amp;INT(MOD(ROUND(INDEX(Нормативы!$D$2:$L$71,L393,M393)*100,0),6000)/100),2),INT(MOD(ROUND(INDEX(Нормативы!$D$2:$L$71,L393,M393)*100,0),6000)/100))&amp;"."&amp;RIGHT("0"&amp;MOD(ROUND(INDEX(Нормативы!$D$2:$L$71,L393,M393)*100,0),100),2)))</f>
        <v/>
      </c>
      <c r="J393" s="12" t="str">
        <f aca="false">IF(D393="","",SUMIFS('Базовые времена'!$D$2:$D$71,'Базовые времена'!$A$2:$A$71,B393,'Базовые времена'!$B$2:$B$71,C393,'Базовые времена'!$C$2:$C$71,D393))</f>
        <v/>
      </c>
      <c r="K393" s="12" t="str">
        <f aca="false">IF(E393="","",IF(ISNUMBER(E393),IF(E393&lt;1,E393*86400,E393),IFERROR(IF(ISNUMBER(FIND(":",SUBSTITUTE(TRIM(E393),",","."))),VALUE(LEFT(SUBSTITUTE(TRIM(E393),",","."),FIND(":",SUBSTITUTE(TRIM(E393),",","."))-1))*60+_xlfn.NUMBERVALUE(MID(SUBSTITUTE(TRIM(E393),",","."),FIND(":",SUBSTITUTE(TRIM(E393),",","."))+1,99),"."),_xlfn.NUMBERVALUE(SUBSTITUTE(TRIM(E393),",","."),".")),0)))</f>
        <v/>
      </c>
      <c r="L393" s="3" t="str">
        <f aca="false">IF(OR(D393="",N(K393)&lt;=0),"",IFERROR(MATCH(B393&amp;"|"&amp;C393&amp;"|"&amp;D393,Нормативы!$M$2:$M$71,0),""))</f>
        <v/>
      </c>
      <c r="M393" s="3" t="str">
        <f aca="false">IF(L393="","",SUMPRODUCT((INDEX(Нормативы!$D$2:$L$71,L393,0)&lt;K393)*ISNUMBER(INDEX(Нормативы!$D$2:$L$71,L393,0))))</f>
        <v/>
      </c>
    </row>
    <row r="394" customFormat="false" ht="15" hidden="false" customHeight="false" outlineLevel="0" collapsed="false">
      <c r="A394" s="5"/>
      <c r="B394" s="5"/>
      <c r="C394" s="5"/>
      <c r="D394" s="5"/>
      <c r="E394" s="14"/>
      <c r="F394" s="4" t="str">
        <f aca="false">IF(OR(J394="",K394="",N(J394)=0,N(K394)&lt;=0),"",ROUNDDOWN(1000*(J394/K394)^3,0))</f>
        <v/>
      </c>
      <c r="G394" s="4" t="str">
        <f aca="false">IF(M394="","",IF(M394+1&gt;COUNT(INDEX(Нормативы!$D$2:$L$71,L394,0)),"Разряда нет",INDEX(Нормативы!$D$1:$L$1,1,M394+1)))</f>
        <v/>
      </c>
      <c r="H394" s="2" t="str">
        <f aca="false">IF(M394="","",IF(M394=0,"—",INDEX(Нормативы!$D$1:$L$1,1,M394)))</f>
        <v/>
      </c>
      <c r="I394" s="7" t="str">
        <f aca="false">IF(M394="","",IF(M394=0,"",IF(INT(ROUND(INDEX(Нормативы!$D$2:$L$71,L394,M394)*100,0)/6000)&gt;0,INT(ROUND(INDEX(Нормативы!$D$2:$L$71,L394,M394)*100,0)/6000)&amp;":"&amp;RIGHT("0"&amp;INT(MOD(ROUND(INDEX(Нормативы!$D$2:$L$71,L394,M394)*100,0),6000)/100),2),INT(MOD(ROUND(INDEX(Нормативы!$D$2:$L$71,L394,M394)*100,0),6000)/100))&amp;"."&amp;RIGHT("0"&amp;MOD(ROUND(INDEX(Нормативы!$D$2:$L$71,L394,M394)*100,0),100),2)))</f>
        <v/>
      </c>
      <c r="J394" s="12" t="str">
        <f aca="false">IF(D394="","",SUMIFS('Базовые времена'!$D$2:$D$71,'Базовые времена'!$A$2:$A$71,B394,'Базовые времена'!$B$2:$B$71,C394,'Базовые времена'!$C$2:$C$71,D394))</f>
        <v/>
      </c>
      <c r="K394" s="12" t="str">
        <f aca="false">IF(E394="","",IF(ISNUMBER(E394),IF(E394&lt;1,E394*86400,E394),IFERROR(IF(ISNUMBER(FIND(":",SUBSTITUTE(TRIM(E394),",","."))),VALUE(LEFT(SUBSTITUTE(TRIM(E394),",","."),FIND(":",SUBSTITUTE(TRIM(E394),",","."))-1))*60+_xlfn.NUMBERVALUE(MID(SUBSTITUTE(TRIM(E394),",","."),FIND(":",SUBSTITUTE(TRIM(E394),",","."))+1,99),"."),_xlfn.NUMBERVALUE(SUBSTITUTE(TRIM(E394),",","."),".")),0)))</f>
        <v/>
      </c>
      <c r="L394" s="3" t="str">
        <f aca="false">IF(OR(D394="",N(K394)&lt;=0),"",IFERROR(MATCH(B394&amp;"|"&amp;C394&amp;"|"&amp;D394,Нормативы!$M$2:$M$71,0),""))</f>
        <v/>
      </c>
      <c r="M394" s="3" t="str">
        <f aca="false">IF(L394="","",SUMPRODUCT((INDEX(Нормативы!$D$2:$L$71,L394,0)&lt;K394)*ISNUMBER(INDEX(Нормативы!$D$2:$L$71,L394,0))))</f>
        <v/>
      </c>
    </row>
    <row r="395" customFormat="false" ht="15" hidden="false" customHeight="false" outlineLevel="0" collapsed="false">
      <c r="A395" s="5"/>
      <c r="B395" s="5"/>
      <c r="C395" s="5"/>
      <c r="D395" s="5"/>
      <c r="E395" s="14"/>
      <c r="F395" s="4" t="str">
        <f aca="false">IF(OR(J395="",K395="",N(J395)=0,N(K395)&lt;=0),"",ROUNDDOWN(1000*(J395/K395)^3,0))</f>
        <v/>
      </c>
      <c r="G395" s="4" t="str">
        <f aca="false">IF(M395="","",IF(M395+1&gt;COUNT(INDEX(Нормативы!$D$2:$L$71,L395,0)),"Разряда нет",INDEX(Нормативы!$D$1:$L$1,1,M395+1)))</f>
        <v/>
      </c>
      <c r="H395" s="2" t="str">
        <f aca="false">IF(M395="","",IF(M395=0,"—",INDEX(Нормативы!$D$1:$L$1,1,M395)))</f>
        <v/>
      </c>
      <c r="I395" s="7" t="str">
        <f aca="false">IF(M395="","",IF(M395=0,"",IF(INT(ROUND(INDEX(Нормативы!$D$2:$L$71,L395,M395)*100,0)/6000)&gt;0,INT(ROUND(INDEX(Нормативы!$D$2:$L$71,L395,M395)*100,0)/6000)&amp;":"&amp;RIGHT("0"&amp;INT(MOD(ROUND(INDEX(Нормативы!$D$2:$L$71,L395,M395)*100,0),6000)/100),2),INT(MOD(ROUND(INDEX(Нормативы!$D$2:$L$71,L395,M395)*100,0),6000)/100))&amp;"."&amp;RIGHT("0"&amp;MOD(ROUND(INDEX(Нормативы!$D$2:$L$71,L395,M395)*100,0),100),2)))</f>
        <v/>
      </c>
      <c r="J395" s="12" t="str">
        <f aca="false">IF(D395="","",SUMIFS('Базовые времена'!$D$2:$D$71,'Базовые времена'!$A$2:$A$71,B395,'Базовые времена'!$B$2:$B$71,C395,'Базовые времена'!$C$2:$C$71,D395))</f>
        <v/>
      </c>
      <c r="K395" s="12" t="str">
        <f aca="false">IF(E395="","",IF(ISNUMBER(E395),IF(E395&lt;1,E395*86400,E395),IFERROR(IF(ISNUMBER(FIND(":",SUBSTITUTE(TRIM(E395),",","."))),VALUE(LEFT(SUBSTITUTE(TRIM(E395),",","."),FIND(":",SUBSTITUTE(TRIM(E395),",","."))-1))*60+_xlfn.NUMBERVALUE(MID(SUBSTITUTE(TRIM(E395),",","."),FIND(":",SUBSTITUTE(TRIM(E395),",","."))+1,99),"."),_xlfn.NUMBERVALUE(SUBSTITUTE(TRIM(E395),",","."),".")),0)))</f>
        <v/>
      </c>
      <c r="L395" s="3" t="str">
        <f aca="false">IF(OR(D395="",N(K395)&lt;=0),"",IFERROR(MATCH(B395&amp;"|"&amp;C395&amp;"|"&amp;D395,Нормативы!$M$2:$M$71,0),""))</f>
        <v/>
      </c>
      <c r="M395" s="3" t="str">
        <f aca="false">IF(L395="","",SUMPRODUCT((INDEX(Нормативы!$D$2:$L$71,L395,0)&lt;K395)*ISNUMBER(INDEX(Нормативы!$D$2:$L$71,L395,0))))</f>
        <v/>
      </c>
    </row>
    <row r="396" customFormat="false" ht="15" hidden="false" customHeight="false" outlineLevel="0" collapsed="false">
      <c r="A396" s="5"/>
      <c r="B396" s="5"/>
      <c r="C396" s="5"/>
      <c r="D396" s="5"/>
      <c r="E396" s="14"/>
      <c r="F396" s="4" t="str">
        <f aca="false">IF(OR(J396="",K396="",N(J396)=0,N(K396)&lt;=0),"",ROUNDDOWN(1000*(J396/K396)^3,0))</f>
        <v/>
      </c>
      <c r="G396" s="4" t="str">
        <f aca="false">IF(M396="","",IF(M396+1&gt;COUNT(INDEX(Нормативы!$D$2:$L$71,L396,0)),"Разряда нет",INDEX(Нормативы!$D$1:$L$1,1,M396+1)))</f>
        <v/>
      </c>
      <c r="H396" s="2" t="str">
        <f aca="false">IF(M396="","",IF(M396=0,"—",INDEX(Нормативы!$D$1:$L$1,1,M396)))</f>
        <v/>
      </c>
      <c r="I396" s="7" t="str">
        <f aca="false">IF(M396="","",IF(M396=0,"",IF(INT(ROUND(INDEX(Нормативы!$D$2:$L$71,L396,M396)*100,0)/6000)&gt;0,INT(ROUND(INDEX(Нормативы!$D$2:$L$71,L396,M396)*100,0)/6000)&amp;":"&amp;RIGHT("0"&amp;INT(MOD(ROUND(INDEX(Нормативы!$D$2:$L$71,L396,M396)*100,0),6000)/100),2),INT(MOD(ROUND(INDEX(Нормативы!$D$2:$L$71,L396,M396)*100,0),6000)/100))&amp;"."&amp;RIGHT("0"&amp;MOD(ROUND(INDEX(Нормативы!$D$2:$L$71,L396,M396)*100,0),100),2)))</f>
        <v/>
      </c>
      <c r="J396" s="12" t="str">
        <f aca="false">IF(D396="","",SUMIFS('Базовые времена'!$D$2:$D$71,'Базовые времена'!$A$2:$A$71,B396,'Базовые времена'!$B$2:$B$71,C396,'Базовые времена'!$C$2:$C$71,D396))</f>
        <v/>
      </c>
      <c r="K396" s="12" t="str">
        <f aca="false">IF(E396="","",IF(ISNUMBER(E396),IF(E396&lt;1,E396*86400,E396),IFERROR(IF(ISNUMBER(FIND(":",SUBSTITUTE(TRIM(E396),",","."))),VALUE(LEFT(SUBSTITUTE(TRIM(E396),",","."),FIND(":",SUBSTITUTE(TRIM(E396),",","."))-1))*60+_xlfn.NUMBERVALUE(MID(SUBSTITUTE(TRIM(E396),",","."),FIND(":",SUBSTITUTE(TRIM(E396),",","."))+1,99),"."),_xlfn.NUMBERVALUE(SUBSTITUTE(TRIM(E396),",","."),".")),0)))</f>
        <v/>
      </c>
      <c r="L396" s="3" t="str">
        <f aca="false">IF(OR(D396="",N(K396)&lt;=0),"",IFERROR(MATCH(B396&amp;"|"&amp;C396&amp;"|"&amp;D396,Нормативы!$M$2:$M$71,0),""))</f>
        <v/>
      </c>
      <c r="M396" s="3" t="str">
        <f aca="false">IF(L396="","",SUMPRODUCT((INDEX(Нормативы!$D$2:$L$71,L396,0)&lt;K396)*ISNUMBER(INDEX(Нормативы!$D$2:$L$71,L396,0))))</f>
        <v/>
      </c>
    </row>
    <row r="397" customFormat="false" ht="15" hidden="false" customHeight="false" outlineLevel="0" collapsed="false">
      <c r="A397" s="5"/>
      <c r="B397" s="5"/>
      <c r="C397" s="5"/>
      <c r="D397" s="5"/>
      <c r="E397" s="14"/>
      <c r="F397" s="4" t="str">
        <f aca="false">IF(OR(J397="",K397="",N(J397)=0,N(K397)&lt;=0),"",ROUNDDOWN(1000*(J397/K397)^3,0))</f>
        <v/>
      </c>
      <c r="G397" s="4" t="str">
        <f aca="false">IF(M397="","",IF(M397+1&gt;COUNT(INDEX(Нормативы!$D$2:$L$71,L397,0)),"Разряда нет",INDEX(Нормативы!$D$1:$L$1,1,M397+1)))</f>
        <v/>
      </c>
      <c r="H397" s="2" t="str">
        <f aca="false">IF(M397="","",IF(M397=0,"—",INDEX(Нормативы!$D$1:$L$1,1,M397)))</f>
        <v/>
      </c>
      <c r="I397" s="7" t="str">
        <f aca="false">IF(M397="","",IF(M397=0,"",IF(INT(ROUND(INDEX(Нормативы!$D$2:$L$71,L397,M397)*100,0)/6000)&gt;0,INT(ROUND(INDEX(Нормативы!$D$2:$L$71,L397,M397)*100,0)/6000)&amp;":"&amp;RIGHT("0"&amp;INT(MOD(ROUND(INDEX(Нормативы!$D$2:$L$71,L397,M397)*100,0),6000)/100),2),INT(MOD(ROUND(INDEX(Нормативы!$D$2:$L$71,L397,M397)*100,0),6000)/100))&amp;"."&amp;RIGHT("0"&amp;MOD(ROUND(INDEX(Нормативы!$D$2:$L$71,L397,M397)*100,0),100),2)))</f>
        <v/>
      </c>
      <c r="J397" s="12" t="str">
        <f aca="false">IF(D397="","",SUMIFS('Базовые времена'!$D$2:$D$71,'Базовые времена'!$A$2:$A$71,B397,'Базовые времена'!$B$2:$B$71,C397,'Базовые времена'!$C$2:$C$71,D397))</f>
        <v/>
      </c>
      <c r="K397" s="12" t="str">
        <f aca="false">IF(E397="","",IF(ISNUMBER(E397),IF(E397&lt;1,E397*86400,E397),IFERROR(IF(ISNUMBER(FIND(":",SUBSTITUTE(TRIM(E397),",","."))),VALUE(LEFT(SUBSTITUTE(TRIM(E397),",","."),FIND(":",SUBSTITUTE(TRIM(E397),",","."))-1))*60+_xlfn.NUMBERVALUE(MID(SUBSTITUTE(TRIM(E397),",","."),FIND(":",SUBSTITUTE(TRIM(E397),",","."))+1,99),"."),_xlfn.NUMBERVALUE(SUBSTITUTE(TRIM(E397),",","."),".")),0)))</f>
        <v/>
      </c>
      <c r="L397" s="3" t="str">
        <f aca="false">IF(OR(D397="",N(K397)&lt;=0),"",IFERROR(MATCH(B397&amp;"|"&amp;C397&amp;"|"&amp;D397,Нормативы!$M$2:$M$71,0),""))</f>
        <v/>
      </c>
      <c r="M397" s="3" t="str">
        <f aca="false">IF(L397="","",SUMPRODUCT((INDEX(Нормативы!$D$2:$L$71,L397,0)&lt;K397)*ISNUMBER(INDEX(Нормативы!$D$2:$L$71,L397,0))))</f>
        <v/>
      </c>
    </row>
    <row r="398" customFormat="false" ht="15" hidden="false" customHeight="false" outlineLevel="0" collapsed="false">
      <c r="A398" s="5"/>
      <c r="B398" s="5"/>
      <c r="C398" s="5"/>
      <c r="D398" s="5"/>
      <c r="E398" s="14"/>
      <c r="F398" s="4" t="str">
        <f aca="false">IF(OR(J398="",K398="",N(J398)=0,N(K398)&lt;=0),"",ROUNDDOWN(1000*(J398/K398)^3,0))</f>
        <v/>
      </c>
      <c r="G398" s="4" t="str">
        <f aca="false">IF(M398="","",IF(M398+1&gt;COUNT(INDEX(Нормативы!$D$2:$L$71,L398,0)),"Разряда нет",INDEX(Нормативы!$D$1:$L$1,1,M398+1)))</f>
        <v/>
      </c>
      <c r="H398" s="2" t="str">
        <f aca="false">IF(M398="","",IF(M398=0,"—",INDEX(Нормативы!$D$1:$L$1,1,M398)))</f>
        <v/>
      </c>
      <c r="I398" s="7" t="str">
        <f aca="false">IF(M398="","",IF(M398=0,"",IF(INT(ROUND(INDEX(Нормативы!$D$2:$L$71,L398,M398)*100,0)/6000)&gt;0,INT(ROUND(INDEX(Нормативы!$D$2:$L$71,L398,M398)*100,0)/6000)&amp;":"&amp;RIGHT("0"&amp;INT(MOD(ROUND(INDEX(Нормативы!$D$2:$L$71,L398,M398)*100,0),6000)/100),2),INT(MOD(ROUND(INDEX(Нормативы!$D$2:$L$71,L398,M398)*100,0),6000)/100))&amp;"."&amp;RIGHT("0"&amp;MOD(ROUND(INDEX(Нормативы!$D$2:$L$71,L398,M398)*100,0),100),2)))</f>
        <v/>
      </c>
      <c r="J398" s="12" t="str">
        <f aca="false">IF(D398="","",SUMIFS('Базовые времена'!$D$2:$D$71,'Базовые времена'!$A$2:$A$71,B398,'Базовые времена'!$B$2:$B$71,C398,'Базовые времена'!$C$2:$C$71,D398))</f>
        <v/>
      </c>
      <c r="K398" s="12" t="str">
        <f aca="false">IF(E398="","",IF(ISNUMBER(E398),IF(E398&lt;1,E398*86400,E398),IFERROR(IF(ISNUMBER(FIND(":",SUBSTITUTE(TRIM(E398),",","."))),VALUE(LEFT(SUBSTITUTE(TRIM(E398),",","."),FIND(":",SUBSTITUTE(TRIM(E398),",","."))-1))*60+_xlfn.NUMBERVALUE(MID(SUBSTITUTE(TRIM(E398),",","."),FIND(":",SUBSTITUTE(TRIM(E398),",","."))+1,99),"."),_xlfn.NUMBERVALUE(SUBSTITUTE(TRIM(E398),",","."),".")),0)))</f>
        <v/>
      </c>
      <c r="L398" s="3" t="str">
        <f aca="false">IF(OR(D398="",N(K398)&lt;=0),"",IFERROR(MATCH(B398&amp;"|"&amp;C398&amp;"|"&amp;D398,Нормативы!$M$2:$M$71,0),""))</f>
        <v/>
      </c>
      <c r="M398" s="3" t="str">
        <f aca="false">IF(L398="","",SUMPRODUCT((INDEX(Нормативы!$D$2:$L$71,L398,0)&lt;K398)*ISNUMBER(INDEX(Нормативы!$D$2:$L$71,L398,0))))</f>
        <v/>
      </c>
    </row>
    <row r="399" customFormat="false" ht="15" hidden="false" customHeight="false" outlineLevel="0" collapsed="false">
      <c r="A399" s="5"/>
      <c r="B399" s="5"/>
      <c r="C399" s="5"/>
      <c r="D399" s="5"/>
      <c r="E399" s="14"/>
      <c r="F399" s="4" t="str">
        <f aca="false">IF(OR(J399="",K399="",N(J399)=0,N(K399)&lt;=0),"",ROUNDDOWN(1000*(J399/K399)^3,0))</f>
        <v/>
      </c>
      <c r="G399" s="4" t="str">
        <f aca="false">IF(M399="","",IF(M399+1&gt;COUNT(INDEX(Нормативы!$D$2:$L$71,L399,0)),"Разряда нет",INDEX(Нормативы!$D$1:$L$1,1,M399+1)))</f>
        <v/>
      </c>
      <c r="H399" s="2" t="str">
        <f aca="false">IF(M399="","",IF(M399=0,"—",INDEX(Нормативы!$D$1:$L$1,1,M399)))</f>
        <v/>
      </c>
      <c r="I399" s="7" t="str">
        <f aca="false">IF(M399="","",IF(M399=0,"",IF(INT(ROUND(INDEX(Нормативы!$D$2:$L$71,L399,M399)*100,0)/6000)&gt;0,INT(ROUND(INDEX(Нормативы!$D$2:$L$71,L399,M399)*100,0)/6000)&amp;":"&amp;RIGHT("0"&amp;INT(MOD(ROUND(INDEX(Нормативы!$D$2:$L$71,L399,M399)*100,0),6000)/100),2),INT(MOD(ROUND(INDEX(Нормативы!$D$2:$L$71,L399,M399)*100,0),6000)/100))&amp;"."&amp;RIGHT("0"&amp;MOD(ROUND(INDEX(Нормативы!$D$2:$L$71,L399,M399)*100,0),100),2)))</f>
        <v/>
      </c>
      <c r="J399" s="12" t="str">
        <f aca="false">IF(D399="","",SUMIFS('Базовые времена'!$D$2:$D$71,'Базовые времена'!$A$2:$A$71,B399,'Базовые времена'!$B$2:$B$71,C399,'Базовые времена'!$C$2:$C$71,D399))</f>
        <v/>
      </c>
      <c r="K399" s="12" t="str">
        <f aca="false">IF(E399="","",IF(ISNUMBER(E399),IF(E399&lt;1,E399*86400,E399),IFERROR(IF(ISNUMBER(FIND(":",SUBSTITUTE(TRIM(E399),",","."))),VALUE(LEFT(SUBSTITUTE(TRIM(E399),",","."),FIND(":",SUBSTITUTE(TRIM(E399),",","."))-1))*60+_xlfn.NUMBERVALUE(MID(SUBSTITUTE(TRIM(E399),",","."),FIND(":",SUBSTITUTE(TRIM(E399),",","."))+1,99),"."),_xlfn.NUMBERVALUE(SUBSTITUTE(TRIM(E399),",","."),".")),0)))</f>
        <v/>
      </c>
      <c r="L399" s="3" t="str">
        <f aca="false">IF(OR(D399="",N(K399)&lt;=0),"",IFERROR(MATCH(B399&amp;"|"&amp;C399&amp;"|"&amp;D399,Нормативы!$M$2:$M$71,0),""))</f>
        <v/>
      </c>
      <c r="M399" s="3" t="str">
        <f aca="false">IF(L399="","",SUMPRODUCT((INDEX(Нормативы!$D$2:$L$71,L399,0)&lt;K399)*ISNUMBER(INDEX(Нормативы!$D$2:$L$71,L399,0))))</f>
        <v/>
      </c>
    </row>
    <row r="400" customFormat="false" ht="15" hidden="false" customHeight="false" outlineLevel="0" collapsed="false">
      <c r="A400" s="5"/>
      <c r="B400" s="5"/>
      <c r="C400" s="5"/>
      <c r="D400" s="5"/>
      <c r="E400" s="14"/>
      <c r="F400" s="4" t="str">
        <f aca="false">IF(OR(J400="",K400="",N(J400)=0,N(K400)&lt;=0),"",ROUNDDOWN(1000*(J400/K400)^3,0))</f>
        <v/>
      </c>
      <c r="G400" s="4" t="str">
        <f aca="false">IF(M400="","",IF(M400+1&gt;COUNT(INDEX(Нормативы!$D$2:$L$71,L400,0)),"Разряда нет",INDEX(Нормативы!$D$1:$L$1,1,M400+1)))</f>
        <v/>
      </c>
      <c r="H400" s="2" t="str">
        <f aca="false">IF(M400="","",IF(M400=0,"—",INDEX(Нормативы!$D$1:$L$1,1,M400)))</f>
        <v/>
      </c>
      <c r="I400" s="7" t="str">
        <f aca="false">IF(M400="","",IF(M400=0,"",IF(INT(ROUND(INDEX(Нормативы!$D$2:$L$71,L400,M400)*100,0)/6000)&gt;0,INT(ROUND(INDEX(Нормативы!$D$2:$L$71,L400,M400)*100,0)/6000)&amp;":"&amp;RIGHT("0"&amp;INT(MOD(ROUND(INDEX(Нормативы!$D$2:$L$71,L400,M400)*100,0),6000)/100),2),INT(MOD(ROUND(INDEX(Нормативы!$D$2:$L$71,L400,M400)*100,0),6000)/100))&amp;"."&amp;RIGHT("0"&amp;MOD(ROUND(INDEX(Нормативы!$D$2:$L$71,L400,M400)*100,0),100),2)))</f>
        <v/>
      </c>
      <c r="J400" s="12" t="str">
        <f aca="false">IF(D400="","",SUMIFS('Базовые времена'!$D$2:$D$71,'Базовые времена'!$A$2:$A$71,B400,'Базовые времена'!$B$2:$B$71,C400,'Базовые времена'!$C$2:$C$71,D400))</f>
        <v/>
      </c>
      <c r="K400" s="12" t="str">
        <f aca="false">IF(E400="","",IF(ISNUMBER(E400),IF(E400&lt;1,E400*86400,E400),IFERROR(IF(ISNUMBER(FIND(":",SUBSTITUTE(TRIM(E400),",","."))),VALUE(LEFT(SUBSTITUTE(TRIM(E400),",","."),FIND(":",SUBSTITUTE(TRIM(E400),",","."))-1))*60+_xlfn.NUMBERVALUE(MID(SUBSTITUTE(TRIM(E400),",","."),FIND(":",SUBSTITUTE(TRIM(E400),",","."))+1,99),"."),_xlfn.NUMBERVALUE(SUBSTITUTE(TRIM(E400),",","."),".")),0)))</f>
        <v/>
      </c>
      <c r="L400" s="3" t="str">
        <f aca="false">IF(OR(D400="",N(K400)&lt;=0),"",IFERROR(MATCH(B400&amp;"|"&amp;C400&amp;"|"&amp;D400,Нормативы!$M$2:$M$71,0),""))</f>
        <v/>
      </c>
      <c r="M400" s="3" t="str">
        <f aca="false">IF(L400="","",SUMPRODUCT((INDEX(Нормативы!$D$2:$L$71,L400,0)&lt;K400)*ISNUMBER(INDEX(Нормативы!$D$2:$L$71,L400,0))))</f>
        <v/>
      </c>
    </row>
    <row r="401" customFormat="false" ht="15" hidden="false" customHeight="false" outlineLevel="0" collapsed="false">
      <c r="A401" s="5"/>
      <c r="B401" s="5"/>
      <c r="C401" s="5"/>
      <c r="D401" s="5"/>
      <c r="E401" s="14"/>
      <c r="F401" s="4" t="str">
        <f aca="false">IF(OR(J401="",K401="",N(J401)=0,N(K401)&lt;=0),"",ROUNDDOWN(1000*(J401/K401)^3,0))</f>
        <v/>
      </c>
      <c r="G401" s="4" t="str">
        <f aca="false">IF(M401="","",IF(M401+1&gt;COUNT(INDEX(Нормативы!$D$2:$L$71,L401,0)),"Разряда нет",INDEX(Нормативы!$D$1:$L$1,1,M401+1)))</f>
        <v/>
      </c>
      <c r="H401" s="2" t="str">
        <f aca="false">IF(M401="","",IF(M401=0,"—",INDEX(Нормативы!$D$1:$L$1,1,M401)))</f>
        <v/>
      </c>
      <c r="I401" s="7" t="str">
        <f aca="false">IF(M401="","",IF(M401=0,"",IF(INT(ROUND(INDEX(Нормативы!$D$2:$L$71,L401,M401)*100,0)/6000)&gt;0,INT(ROUND(INDEX(Нормативы!$D$2:$L$71,L401,M401)*100,0)/6000)&amp;":"&amp;RIGHT("0"&amp;INT(MOD(ROUND(INDEX(Нормативы!$D$2:$L$71,L401,M401)*100,0),6000)/100),2),INT(MOD(ROUND(INDEX(Нормативы!$D$2:$L$71,L401,M401)*100,0),6000)/100))&amp;"."&amp;RIGHT("0"&amp;MOD(ROUND(INDEX(Нормативы!$D$2:$L$71,L401,M401)*100,0),100),2)))</f>
        <v/>
      </c>
      <c r="J401" s="12" t="str">
        <f aca="false">IF(D401="","",SUMIFS('Базовые времена'!$D$2:$D$71,'Базовые времена'!$A$2:$A$71,B401,'Базовые времена'!$B$2:$B$71,C401,'Базовые времена'!$C$2:$C$71,D401))</f>
        <v/>
      </c>
      <c r="K401" s="12" t="str">
        <f aca="false">IF(E401="","",IF(ISNUMBER(E401),IF(E401&lt;1,E401*86400,E401),IFERROR(IF(ISNUMBER(FIND(":",SUBSTITUTE(TRIM(E401),",","."))),VALUE(LEFT(SUBSTITUTE(TRIM(E401),",","."),FIND(":",SUBSTITUTE(TRIM(E401),",","."))-1))*60+_xlfn.NUMBERVALUE(MID(SUBSTITUTE(TRIM(E401),",","."),FIND(":",SUBSTITUTE(TRIM(E401),",","."))+1,99),"."),_xlfn.NUMBERVALUE(SUBSTITUTE(TRIM(E401),",","."),".")),0)))</f>
        <v/>
      </c>
      <c r="L401" s="3" t="str">
        <f aca="false">IF(OR(D401="",N(K401)&lt;=0),"",IFERROR(MATCH(B401&amp;"|"&amp;C401&amp;"|"&amp;D401,Нормативы!$M$2:$M$71,0),""))</f>
        <v/>
      </c>
      <c r="M401" s="3" t="str">
        <f aca="false">IF(L401="","",SUMPRODUCT((INDEX(Нормативы!$D$2:$L$71,L401,0)&lt;K401)*ISNUMBER(INDEX(Нормативы!$D$2:$L$71,L401,0))))</f>
        <v/>
      </c>
    </row>
    <row r="402" customFormat="false" ht="15" hidden="false" customHeight="false" outlineLevel="0" collapsed="false">
      <c r="A402" s="5"/>
      <c r="B402" s="5"/>
      <c r="C402" s="5"/>
      <c r="D402" s="5"/>
      <c r="E402" s="14"/>
      <c r="F402" s="4" t="str">
        <f aca="false">IF(OR(J402="",K402="",N(J402)=0,N(K402)&lt;=0),"",ROUNDDOWN(1000*(J402/K402)^3,0))</f>
        <v/>
      </c>
      <c r="G402" s="4" t="str">
        <f aca="false">IF(M402="","",IF(M402+1&gt;COUNT(INDEX(Нормативы!$D$2:$L$71,L402,0)),"Разряда нет",INDEX(Нормативы!$D$1:$L$1,1,M402+1)))</f>
        <v/>
      </c>
      <c r="H402" s="2" t="str">
        <f aca="false">IF(M402="","",IF(M402=0,"—",INDEX(Нормативы!$D$1:$L$1,1,M402)))</f>
        <v/>
      </c>
      <c r="I402" s="7" t="str">
        <f aca="false">IF(M402="","",IF(M402=0,"",IF(INT(ROUND(INDEX(Нормативы!$D$2:$L$71,L402,M402)*100,0)/6000)&gt;0,INT(ROUND(INDEX(Нормативы!$D$2:$L$71,L402,M402)*100,0)/6000)&amp;":"&amp;RIGHT("0"&amp;INT(MOD(ROUND(INDEX(Нормативы!$D$2:$L$71,L402,M402)*100,0),6000)/100),2),INT(MOD(ROUND(INDEX(Нормативы!$D$2:$L$71,L402,M402)*100,0),6000)/100))&amp;"."&amp;RIGHT("0"&amp;MOD(ROUND(INDEX(Нормативы!$D$2:$L$71,L402,M402)*100,0),100),2)))</f>
        <v/>
      </c>
      <c r="J402" s="12" t="str">
        <f aca="false">IF(D402="","",SUMIFS('Базовые времена'!$D$2:$D$71,'Базовые времена'!$A$2:$A$71,B402,'Базовые времена'!$B$2:$B$71,C402,'Базовые времена'!$C$2:$C$71,D402))</f>
        <v/>
      </c>
      <c r="K402" s="12" t="str">
        <f aca="false">IF(E402="","",IF(ISNUMBER(E402),IF(E402&lt;1,E402*86400,E402),IFERROR(IF(ISNUMBER(FIND(":",SUBSTITUTE(TRIM(E402),",","."))),VALUE(LEFT(SUBSTITUTE(TRIM(E402),",","."),FIND(":",SUBSTITUTE(TRIM(E402),",","."))-1))*60+_xlfn.NUMBERVALUE(MID(SUBSTITUTE(TRIM(E402),",","."),FIND(":",SUBSTITUTE(TRIM(E402),",","."))+1,99),"."),_xlfn.NUMBERVALUE(SUBSTITUTE(TRIM(E402),",","."),".")),0)))</f>
        <v/>
      </c>
      <c r="L402" s="3" t="str">
        <f aca="false">IF(OR(D402="",N(K402)&lt;=0),"",IFERROR(MATCH(B402&amp;"|"&amp;C402&amp;"|"&amp;D402,Нормативы!$M$2:$M$71,0),""))</f>
        <v/>
      </c>
      <c r="M402" s="3" t="str">
        <f aca="false">IF(L402="","",SUMPRODUCT((INDEX(Нормативы!$D$2:$L$71,L402,0)&lt;K402)*ISNUMBER(INDEX(Нормативы!$D$2:$L$71,L402,0))))</f>
        <v/>
      </c>
    </row>
    <row r="403" customFormat="false" ht="15" hidden="false" customHeight="false" outlineLevel="0" collapsed="false">
      <c r="A403" s="5"/>
      <c r="B403" s="5"/>
      <c r="C403" s="5"/>
      <c r="D403" s="5"/>
      <c r="E403" s="14"/>
      <c r="F403" s="4" t="str">
        <f aca="false">IF(OR(J403="",K403="",N(J403)=0,N(K403)&lt;=0),"",ROUNDDOWN(1000*(J403/K403)^3,0))</f>
        <v/>
      </c>
      <c r="G403" s="4" t="str">
        <f aca="false">IF(M403="","",IF(M403+1&gt;COUNT(INDEX(Нормативы!$D$2:$L$71,L403,0)),"Разряда нет",INDEX(Нормативы!$D$1:$L$1,1,M403+1)))</f>
        <v/>
      </c>
      <c r="H403" s="2" t="str">
        <f aca="false">IF(M403="","",IF(M403=0,"—",INDEX(Нормативы!$D$1:$L$1,1,M403)))</f>
        <v/>
      </c>
      <c r="I403" s="7" t="str">
        <f aca="false">IF(M403="","",IF(M403=0,"",IF(INT(ROUND(INDEX(Нормативы!$D$2:$L$71,L403,M403)*100,0)/6000)&gt;0,INT(ROUND(INDEX(Нормативы!$D$2:$L$71,L403,M403)*100,0)/6000)&amp;":"&amp;RIGHT("0"&amp;INT(MOD(ROUND(INDEX(Нормативы!$D$2:$L$71,L403,M403)*100,0),6000)/100),2),INT(MOD(ROUND(INDEX(Нормативы!$D$2:$L$71,L403,M403)*100,0),6000)/100))&amp;"."&amp;RIGHT("0"&amp;MOD(ROUND(INDEX(Нормативы!$D$2:$L$71,L403,M403)*100,0),100),2)))</f>
        <v/>
      </c>
      <c r="J403" s="12" t="str">
        <f aca="false">IF(D403="","",SUMIFS('Базовые времена'!$D$2:$D$71,'Базовые времена'!$A$2:$A$71,B403,'Базовые времена'!$B$2:$B$71,C403,'Базовые времена'!$C$2:$C$71,D403))</f>
        <v/>
      </c>
      <c r="K403" s="12" t="str">
        <f aca="false">IF(E403="","",IF(ISNUMBER(E403),IF(E403&lt;1,E403*86400,E403),IFERROR(IF(ISNUMBER(FIND(":",SUBSTITUTE(TRIM(E403),",","."))),VALUE(LEFT(SUBSTITUTE(TRIM(E403),",","."),FIND(":",SUBSTITUTE(TRIM(E403),",","."))-1))*60+_xlfn.NUMBERVALUE(MID(SUBSTITUTE(TRIM(E403),",","."),FIND(":",SUBSTITUTE(TRIM(E403),",","."))+1,99),"."),_xlfn.NUMBERVALUE(SUBSTITUTE(TRIM(E403),",","."),".")),0)))</f>
        <v/>
      </c>
      <c r="L403" s="3" t="str">
        <f aca="false">IF(OR(D403="",N(K403)&lt;=0),"",IFERROR(MATCH(B403&amp;"|"&amp;C403&amp;"|"&amp;D403,Нормативы!$M$2:$M$71,0),""))</f>
        <v/>
      </c>
      <c r="M403" s="3" t="str">
        <f aca="false">IF(L403="","",SUMPRODUCT((INDEX(Нормативы!$D$2:$L$71,L403,0)&lt;K403)*ISNUMBER(INDEX(Нормативы!$D$2:$L$71,L403,0))))</f>
        <v/>
      </c>
    </row>
    <row r="404" customFormat="false" ht="15" hidden="false" customHeight="false" outlineLevel="0" collapsed="false">
      <c r="A404" s="5"/>
      <c r="B404" s="5"/>
      <c r="C404" s="5"/>
      <c r="D404" s="5"/>
      <c r="E404" s="14"/>
      <c r="F404" s="4" t="str">
        <f aca="false">IF(OR(J404="",K404="",N(J404)=0,N(K404)&lt;=0),"",ROUNDDOWN(1000*(J404/K404)^3,0))</f>
        <v/>
      </c>
      <c r="G404" s="4" t="str">
        <f aca="false">IF(M404="","",IF(M404+1&gt;COUNT(INDEX(Нормативы!$D$2:$L$71,L404,0)),"Разряда нет",INDEX(Нормативы!$D$1:$L$1,1,M404+1)))</f>
        <v/>
      </c>
      <c r="H404" s="2" t="str">
        <f aca="false">IF(M404="","",IF(M404=0,"—",INDEX(Нормативы!$D$1:$L$1,1,M404)))</f>
        <v/>
      </c>
      <c r="I404" s="7" t="str">
        <f aca="false">IF(M404="","",IF(M404=0,"",IF(INT(ROUND(INDEX(Нормативы!$D$2:$L$71,L404,M404)*100,0)/6000)&gt;0,INT(ROUND(INDEX(Нормативы!$D$2:$L$71,L404,M404)*100,0)/6000)&amp;":"&amp;RIGHT("0"&amp;INT(MOD(ROUND(INDEX(Нормативы!$D$2:$L$71,L404,M404)*100,0),6000)/100),2),INT(MOD(ROUND(INDEX(Нормативы!$D$2:$L$71,L404,M404)*100,0),6000)/100))&amp;"."&amp;RIGHT("0"&amp;MOD(ROUND(INDEX(Нормативы!$D$2:$L$71,L404,M404)*100,0),100),2)))</f>
        <v/>
      </c>
      <c r="J404" s="12" t="str">
        <f aca="false">IF(D404="","",SUMIFS('Базовые времена'!$D$2:$D$71,'Базовые времена'!$A$2:$A$71,B404,'Базовые времена'!$B$2:$B$71,C404,'Базовые времена'!$C$2:$C$71,D404))</f>
        <v/>
      </c>
      <c r="K404" s="12" t="str">
        <f aca="false">IF(E404="","",IF(ISNUMBER(E404),IF(E404&lt;1,E404*86400,E404),IFERROR(IF(ISNUMBER(FIND(":",SUBSTITUTE(TRIM(E404),",","."))),VALUE(LEFT(SUBSTITUTE(TRIM(E404),",","."),FIND(":",SUBSTITUTE(TRIM(E404),",","."))-1))*60+_xlfn.NUMBERVALUE(MID(SUBSTITUTE(TRIM(E404),",","."),FIND(":",SUBSTITUTE(TRIM(E404),",","."))+1,99),"."),_xlfn.NUMBERVALUE(SUBSTITUTE(TRIM(E404),",","."),".")),0)))</f>
        <v/>
      </c>
      <c r="L404" s="3" t="str">
        <f aca="false">IF(OR(D404="",N(K404)&lt;=0),"",IFERROR(MATCH(B404&amp;"|"&amp;C404&amp;"|"&amp;D404,Нормативы!$M$2:$M$71,0),""))</f>
        <v/>
      </c>
      <c r="M404" s="3" t="str">
        <f aca="false">IF(L404="","",SUMPRODUCT((INDEX(Нормативы!$D$2:$L$71,L404,0)&lt;K404)*ISNUMBER(INDEX(Нормативы!$D$2:$L$71,L404,0))))</f>
        <v/>
      </c>
    </row>
    <row r="405" customFormat="false" ht="15" hidden="false" customHeight="false" outlineLevel="0" collapsed="false">
      <c r="A405" s="5"/>
      <c r="B405" s="5"/>
      <c r="C405" s="5"/>
      <c r="D405" s="5"/>
      <c r="E405" s="14"/>
      <c r="F405" s="4" t="str">
        <f aca="false">IF(OR(J405="",K405="",N(J405)=0,N(K405)&lt;=0),"",ROUNDDOWN(1000*(J405/K405)^3,0))</f>
        <v/>
      </c>
      <c r="G405" s="4" t="str">
        <f aca="false">IF(M405="","",IF(M405+1&gt;COUNT(INDEX(Нормативы!$D$2:$L$71,L405,0)),"Разряда нет",INDEX(Нормативы!$D$1:$L$1,1,M405+1)))</f>
        <v/>
      </c>
      <c r="H405" s="2" t="str">
        <f aca="false">IF(M405="","",IF(M405=0,"—",INDEX(Нормативы!$D$1:$L$1,1,M405)))</f>
        <v/>
      </c>
      <c r="I405" s="7" t="str">
        <f aca="false">IF(M405="","",IF(M405=0,"",IF(INT(ROUND(INDEX(Нормативы!$D$2:$L$71,L405,M405)*100,0)/6000)&gt;0,INT(ROUND(INDEX(Нормативы!$D$2:$L$71,L405,M405)*100,0)/6000)&amp;":"&amp;RIGHT("0"&amp;INT(MOD(ROUND(INDEX(Нормативы!$D$2:$L$71,L405,M405)*100,0),6000)/100),2),INT(MOD(ROUND(INDEX(Нормативы!$D$2:$L$71,L405,M405)*100,0),6000)/100))&amp;"."&amp;RIGHT("0"&amp;MOD(ROUND(INDEX(Нормативы!$D$2:$L$71,L405,M405)*100,0),100),2)))</f>
        <v/>
      </c>
      <c r="J405" s="12" t="str">
        <f aca="false">IF(D405="","",SUMIFS('Базовые времена'!$D$2:$D$71,'Базовые времена'!$A$2:$A$71,B405,'Базовые времена'!$B$2:$B$71,C405,'Базовые времена'!$C$2:$C$71,D405))</f>
        <v/>
      </c>
      <c r="K405" s="12" t="str">
        <f aca="false">IF(E405="","",IF(ISNUMBER(E405),IF(E405&lt;1,E405*86400,E405),IFERROR(IF(ISNUMBER(FIND(":",SUBSTITUTE(TRIM(E405),",","."))),VALUE(LEFT(SUBSTITUTE(TRIM(E405),",","."),FIND(":",SUBSTITUTE(TRIM(E405),",","."))-1))*60+_xlfn.NUMBERVALUE(MID(SUBSTITUTE(TRIM(E405),",","."),FIND(":",SUBSTITUTE(TRIM(E405),",","."))+1,99),"."),_xlfn.NUMBERVALUE(SUBSTITUTE(TRIM(E405),",","."),".")),0)))</f>
        <v/>
      </c>
      <c r="L405" s="3" t="str">
        <f aca="false">IF(OR(D405="",N(K405)&lt;=0),"",IFERROR(MATCH(B405&amp;"|"&amp;C405&amp;"|"&amp;D405,Нормативы!$M$2:$M$71,0),""))</f>
        <v/>
      </c>
      <c r="M405" s="3" t="str">
        <f aca="false">IF(L405="","",SUMPRODUCT((INDEX(Нормативы!$D$2:$L$71,L405,0)&lt;K405)*ISNUMBER(INDEX(Нормативы!$D$2:$L$71,L405,0))))</f>
        <v/>
      </c>
    </row>
    <row r="406" customFormat="false" ht="15" hidden="false" customHeight="false" outlineLevel="0" collapsed="false">
      <c r="A406" s="5"/>
      <c r="B406" s="5"/>
      <c r="C406" s="5"/>
      <c r="D406" s="5"/>
      <c r="E406" s="14"/>
      <c r="F406" s="4" t="str">
        <f aca="false">IF(OR(J406="",K406="",N(J406)=0,N(K406)&lt;=0),"",ROUNDDOWN(1000*(J406/K406)^3,0))</f>
        <v/>
      </c>
      <c r="G406" s="4" t="str">
        <f aca="false">IF(M406="","",IF(M406+1&gt;COUNT(INDEX(Нормативы!$D$2:$L$71,L406,0)),"Разряда нет",INDEX(Нормативы!$D$1:$L$1,1,M406+1)))</f>
        <v/>
      </c>
      <c r="H406" s="2" t="str">
        <f aca="false">IF(M406="","",IF(M406=0,"—",INDEX(Нормативы!$D$1:$L$1,1,M406)))</f>
        <v/>
      </c>
      <c r="I406" s="7" t="str">
        <f aca="false">IF(M406="","",IF(M406=0,"",IF(INT(ROUND(INDEX(Нормативы!$D$2:$L$71,L406,M406)*100,0)/6000)&gt;0,INT(ROUND(INDEX(Нормативы!$D$2:$L$71,L406,M406)*100,0)/6000)&amp;":"&amp;RIGHT("0"&amp;INT(MOD(ROUND(INDEX(Нормативы!$D$2:$L$71,L406,M406)*100,0),6000)/100),2),INT(MOD(ROUND(INDEX(Нормативы!$D$2:$L$71,L406,M406)*100,0),6000)/100))&amp;"."&amp;RIGHT("0"&amp;MOD(ROUND(INDEX(Нормативы!$D$2:$L$71,L406,M406)*100,0),100),2)))</f>
        <v/>
      </c>
      <c r="J406" s="12" t="str">
        <f aca="false">IF(D406="","",SUMIFS('Базовые времена'!$D$2:$D$71,'Базовые времена'!$A$2:$A$71,B406,'Базовые времена'!$B$2:$B$71,C406,'Базовые времена'!$C$2:$C$71,D406))</f>
        <v/>
      </c>
      <c r="K406" s="12" t="str">
        <f aca="false">IF(E406="","",IF(ISNUMBER(E406),IF(E406&lt;1,E406*86400,E406),IFERROR(IF(ISNUMBER(FIND(":",SUBSTITUTE(TRIM(E406),",","."))),VALUE(LEFT(SUBSTITUTE(TRIM(E406),",","."),FIND(":",SUBSTITUTE(TRIM(E406),",","."))-1))*60+_xlfn.NUMBERVALUE(MID(SUBSTITUTE(TRIM(E406),",","."),FIND(":",SUBSTITUTE(TRIM(E406),",","."))+1,99),"."),_xlfn.NUMBERVALUE(SUBSTITUTE(TRIM(E406),",","."),".")),0)))</f>
        <v/>
      </c>
      <c r="L406" s="3" t="str">
        <f aca="false">IF(OR(D406="",N(K406)&lt;=0),"",IFERROR(MATCH(B406&amp;"|"&amp;C406&amp;"|"&amp;D406,Нормативы!$M$2:$M$71,0),""))</f>
        <v/>
      </c>
      <c r="M406" s="3" t="str">
        <f aca="false">IF(L406="","",SUMPRODUCT((INDEX(Нормативы!$D$2:$L$71,L406,0)&lt;K406)*ISNUMBER(INDEX(Нормативы!$D$2:$L$71,L406,0))))</f>
        <v/>
      </c>
    </row>
    <row r="407" customFormat="false" ht="15" hidden="false" customHeight="false" outlineLevel="0" collapsed="false">
      <c r="A407" s="5"/>
      <c r="B407" s="5"/>
      <c r="C407" s="5"/>
      <c r="D407" s="5"/>
      <c r="E407" s="14"/>
      <c r="F407" s="4" t="str">
        <f aca="false">IF(OR(J407="",K407="",N(J407)=0,N(K407)&lt;=0),"",ROUNDDOWN(1000*(J407/K407)^3,0))</f>
        <v/>
      </c>
      <c r="G407" s="4" t="str">
        <f aca="false">IF(M407="","",IF(M407+1&gt;COUNT(INDEX(Нормативы!$D$2:$L$71,L407,0)),"Разряда нет",INDEX(Нормативы!$D$1:$L$1,1,M407+1)))</f>
        <v/>
      </c>
      <c r="H407" s="2" t="str">
        <f aca="false">IF(M407="","",IF(M407=0,"—",INDEX(Нормативы!$D$1:$L$1,1,M407)))</f>
        <v/>
      </c>
      <c r="I407" s="7" t="str">
        <f aca="false">IF(M407="","",IF(M407=0,"",IF(INT(ROUND(INDEX(Нормативы!$D$2:$L$71,L407,M407)*100,0)/6000)&gt;0,INT(ROUND(INDEX(Нормативы!$D$2:$L$71,L407,M407)*100,0)/6000)&amp;":"&amp;RIGHT("0"&amp;INT(MOD(ROUND(INDEX(Нормативы!$D$2:$L$71,L407,M407)*100,0),6000)/100),2),INT(MOD(ROUND(INDEX(Нормативы!$D$2:$L$71,L407,M407)*100,0),6000)/100))&amp;"."&amp;RIGHT("0"&amp;MOD(ROUND(INDEX(Нормативы!$D$2:$L$71,L407,M407)*100,0),100),2)))</f>
        <v/>
      </c>
      <c r="J407" s="12" t="str">
        <f aca="false">IF(D407="","",SUMIFS('Базовые времена'!$D$2:$D$71,'Базовые времена'!$A$2:$A$71,B407,'Базовые времена'!$B$2:$B$71,C407,'Базовые времена'!$C$2:$C$71,D407))</f>
        <v/>
      </c>
      <c r="K407" s="12" t="str">
        <f aca="false">IF(E407="","",IF(ISNUMBER(E407),IF(E407&lt;1,E407*86400,E407),IFERROR(IF(ISNUMBER(FIND(":",SUBSTITUTE(TRIM(E407),",","."))),VALUE(LEFT(SUBSTITUTE(TRIM(E407),",","."),FIND(":",SUBSTITUTE(TRIM(E407),",","."))-1))*60+_xlfn.NUMBERVALUE(MID(SUBSTITUTE(TRIM(E407),",","."),FIND(":",SUBSTITUTE(TRIM(E407),",","."))+1,99),"."),_xlfn.NUMBERVALUE(SUBSTITUTE(TRIM(E407),",","."),".")),0)))</f>
        <v/>
      </c>
      <c r="L407" s="3" t="str">
        <f aca="false">IF(OR(D407="",N(K407)&lt;=0),"",IFERROR(MATCH(B407&amp;"|"&amp;C407&amp;"|"&amp;D407,Нормативы!$M$2:$M$71,0),""))</f>
        <v/>
      </c>
      <c r="M407" s="3" t="str">
        <f aca="false">IF(L407="","",SUMPRODUCT((INDEX(Нормативы!$D$2:$L$71,L407,0)&lt;K407)*ISNUMBER(INDEX(Нормативы!$D$2:$L$71,L407,0))))</f>
        <v/>
      </c>
    </row>
    <row r="408" customFormat="false" ht="15" hidden="false" customHeight="false" outlineLevel="0" collapsed="false">
      <c r="A408" s="5"/>
      <c r="B408" s="5"/>
      <c r="C408" s="5"/>
      <c r="D408" s="5"/>
      <c r="E408" s="14"/>
      <c r="F408" s="4" t="str">
        <f aca="false">IF(OR(J408="",K408="",N(J408)=0,N(K408)&lt;=0),"",ROUNDDOWN(1000*(J408/K408)^3,0))</f>
        <v/>
      </c>
      <c r="G408" s="4" t="str">
        <f aca="false">IF(M408="","",IF(M408+1&gt;COUNT(INDEX(Нормативы!$D$2:$L$71,L408,0)),"Разряда нет",INDEX(Нормативы!$D$1:$L$1,1,M408+1)))</f>
        <v/>
      </c>
      <c r="H408" s="2" t="str">
        <f aca="false">IF(M408="","",IF(M408=0,"—",INDEX(Нормативы!$D$1:$L$1,1,M408)))</f>
        <v/>
      </c>
      <c r="I408" s="7" t="str">
        <f aca="false">IF(M408="","",IF(M408=0,"",IF(INT(ROUND(INDEX(Нормативы!$D$2:$L$71,L408,M408)*100,0)/6000)&gt;0,INT(ROUND(INDEX(Нормативы!$D$2:$L$71,L408,M408)*100,0)/6000)&amp;":"&amp;RIGHT("0"&amp;INT(MOD(ROUND(INDEX(Нормативы!$D$2:$L$71,L408,M408)*100,0),6000)/100),2),INT(MOD(ROUND(INDEX(Нормативы!$D$2:$L$71,L408,M408)*100,0),6000)/100))&amp;"."&amp;RIGHT("0"&amp;MOD(ROUND(INDEX(Нормативы!$D$2:$L$71,L408,M408)*100,0),100),2)))</f>
        <v/>
      </c>
      <c r="J408" s="12" t="str">
        <f aca="false">IF(D408="","",SUMIFS('Базовые времена'!$D$2:$D$71,'Базовые времена'!$A$2:$A$71,B408,'Базовые времена'!$B$2:$B$71,C408,'Базовые времена'!$C$2:$C$71,D408))</f>
        <v/>
      </c>
      <c r="K408" s="12" t="str">
        <f aca="false">IF(E408="","",IF(ISNUMBER(E408),IF(E408&lt;1,E408*86400,E408),IFERROR(IF(ISNUMBER(FIND(":",SUBSTITUTE(TRIM(E408),",","."))),VALUE(LEFT(SUBSTITUTE(TRIM(E408),",","."),FIND(":",SUBSTITUTE(TRIM(E408),",","."))-1))*60+_xlfn.NUMBERVALUE(MID(SUBSTITUTE(TRIM(E408),",","."),FIND(":",SUBSTITUTE(TRIM(E408),",","."))+1,99),"."),_xlfn.NUMBERVALUE(SUBSTITUTE(TRIM(E408),",","."),".")),0)))</f>
        <v/>
      </c>
      <c r="L408" s="3" t="str">
        <f aca="false">IF(OR(D408="",N(K408)&lt;=0),"",IFERROR(MATCH(B408&amp;"|"&amp;C408&amp;"|"&amp;D408,Нормативы!$M$2:$M$71,0),""))</f>
        <v/>
      </c>
      <c r="M408" s="3" t="str">
        <f aca="false">IF(L408="","",SUMPRODUCT((INDEX(Нормативы!$D$2:$L$71,L408,0)&lt;K408)*ISNUMBER(INDEX(Нормативы!$D$2:$L$71,L408,0))))</f>
        <v/>
      </c>
    </row>
    <row r="409" customFormat="false" ht="15" hidden="false" customHeight="false" outlineLevel="0" collapsed="false">
      <c r="A409" s="5"/>
      <c r="B409" s="5"/>
      <c r="C409" s="5"/>
      <c r="D409" s="5"/>
      <c r="E409" s="14"/>
      <c r="F409" s="4" t="str">
        <f aca="false">IF(OR(J409="",K409="",N(J409)=0,N(K409)&lt;=0),"",ROUNDDOWN(1000*(J409/K409)^3,0))</f>
        <v/>
      </c>
      <c r="G409" s="4" t="str">
        <f aca="false">IF(M409="","",IF(M409+1&gt;COUNT(INDEX(Нормативы!$D$2:$L$71,L409,0)),"Разряда нет",INDEX(Нормативы!$D$1:$L$1,1,M409+1)))</f>
        <v/>
      </c>
      <c r="H409" s="2" t="str">
        <f aca="false">IF(M409="","",IF(M409=0,"—",INDEX(Нормативы!$D$1:$L$1,1,M409)))</f>
        <v/>
      </c>
      <c r="I409" s="7" t="str">
        <f aca="false">IF(M409="","",IF(M409=0,"",IF(INT(ROUND(INDEX(Нормативы!$D$2:$L$71,L409,M409)*100,0)/6000)&gt;0,INT(ROUND(INDEX(Нормативы!$D$2:$L$71,L409,M409)*100,0)/6000)&amp;":"&amp;RIGHT("0"&amp;INT(MOD(ROUND(INDEX(Нормативы!$D$2:$L$71,L409,M409)*100,0),6000)/100),2),INT(MOD(ROUND(INDEX(Нормативы!$D$2:$L$71,L409,M409)*100,0),6000)/100))&amp;"."&amp;RIGHT("0"&amp;MOD(ROUND(INDEX(Нормативы!$D$2:$L$71,L409,M409)*100,0),100),2)))</f>
        <v/>
      </c>
      <c r="J409" s="12" t="str">
        <f aca="false">IF(D409="","",SUMIFS('Базовые времена'!$D$2:$D$71,'Базовые времена'!$A$2:$A$71,B409,'Базовые времена'!$B$2:$B$71,C409,'Базовые времена'!$C$2:$C$71,D409))</f>
        <v/>
      </c>
      <c r="K409" s="12" t="str">
        <f aca="false">IF(E409="","",IF(ISNUMBER(E409),IF(E409&lt;1,E409*86400,E409),IFERROR(IF(ISNUMBER(FIND(":",SUBSTITUTE(TRIM(E409),",","."))),VALUE(LEFT(SUBSTITUTE(TRIM(E409),",","."),FIND(":",SUBSTITUTE(TRIM(E409),",","."))-1))*60+_xlfn.NUMBERVALUE(MID(SUBSTITUTE(TRIM(E409),",","."),FIND(":",SUBSTITUTE(TRIM(E409),",","."))+1,99),"."),_xlfn.NUMBERVALUE(SUBSTITUTE(TRIM(E409),",","."),".")),0)))</f>
        <v/>
      </c>
      <c r="L409" s="3" t="str">
        <f aca="false">IF(OR(D409="",N(K409)&lt;=0),"",IFERROR(MATCH(B409&amp;"|"&amp;C409&amp;"|"&amp;D409,Нормативы!$M$2:$M$71,0),""))</f>
        <v/>
      </c>
      <c r="M409" s="3" t="str">
        <f aca="false">IF(L409="","",SUMPRODUCT((INDEX(Нормативы!$D$2:$L$71,L409,0)&lt;K409)*ISNUMBER(INDEX(Нормативы!$D$2:$L$71,L409,0))))</f>
        <v/>
      </c>
    </row>
    <row r="410" customFormat="false" ht="15" hidden="false" customHeight="false" outlineLevel="0" collapsed="false">
      <c r="A410" s="5"/>
      <c r="B410" s="5"/>
      <c r="C410" s="5"/>
      <c r="D410" s="5"/>
      <c r="E410" s="14"/>
      <c r="F410" s="4" t="str">
        <f aca="false">IF(OR(J410="",K410="",N(J410)=0,N(K410)&lt;=0),"",ROUNDDOWN(1000*(J410/K410)^3,0))</f>
        <v/>
      </c>
      <c r="G410" s="4" t="str">
        <f aca="false">IF(M410="","",IF(M410+1&gt;COUNT(INDEX(Нормативы!$D$2:$L$71,L410,0)),"Разряда нет",INDEX(Нормативы!$D$1:$L$1,1,M410+1)))</f>
        <v/>
      </c>
      <c r="H410" s="2" t="str">
        <f aca="false">IF(M410="","",IF(M410=0,"—",INDEX(Нормативы!$D$1:$L$1,1,M410)))</f>
        <v/>
      </c>
      <c r="I410" s="7" t="str">
        <f aca="false">IF(M410="","",IF(M410=0,"",IF(INT(ROUND(INDEX(Нормативы!$D$2:$L$71,L410,M410)*100,0)/6000)&gt;0,INT(ROUND(INDEX(Нормативы!$D$2:$L$71,L410,M410)*100,0)/6000)&amp;":"&amp;RIGHT("0"&amp;INT(MOD(ROUND(INDEX(Нормативы!$D$2:$L$71,L410,M410)*100,0),6000)/100),2),INT(MOD(ROUND(INDEX(Нормативы!$D$2:$L$71,L410,M410)*100,0),6000)/100))&amp;"."&amp;RIGHT("0"&amp;MOD(ROUND(INDEX(Нормативы!$D$2:$L$71,L410,M410)*100,0),100),2)))</f>
        <v/>
      </c>
      <c r="J410" s="12" t="str">
        <f aca="false">IF(D410="","",SUMIFS('Базовые времена'!$D$2:$D$71,'Базовые времена'!$A$2:$A$71,B410,'Базовые времена'!$B$2:$B$71,C410,'Базовые времена'!$C$2:$C$71,D410))</f>
        <v/>
      </c>
      <c r="K410" s="12" t="str">
        <f aca="false">IF(E410="","",IF(ISNUMBER(E410),IF(E410&lt;1,E410*86400,E410),IFERROR(IF(ISNUMBER(FIND(":",SUBSTITUTE(TRIM(E410),",","."))),VALUE(LEFT(SUBSTITUTE(TRIM(E410),",","."),FIND(":",SUBSTITUTE(TRIM(E410),",","."))-1))*60+_xlfn.NUMBERVALUE(MID(SUBSTITUTE(TRIM(E410),",","."),FIND(":",SUBSTITUTE(TRIM(E410),",","."))+1,99),"."),_xlfn.NUMBERVALUE(SUBSTITUTE(TRIM(E410),",","."),".")),0)))</f>
        <v/>
      </c>
      <c r="L410" s="3" t="str">
        <f aca="false">IF(OR(D410="",N(K410)&lt;=0),"",IFERROR(MATCH(B410&amp;"|"&amp;C410&amp;"|"&amp;D410,Нормативы!$M$2:$M$71,0),""))</f>
        <v/>
      </c>
      <c r="M410" s="3" t="str">
        <f aca="false">IF(L410="","",SUMPRODUCT((INDEX(Нормативы!$D$2:$L$71,L410,0)&lt;K410)*ISNUMBER(INDEX(Нормативы!$D$2:$L$71,L410,0))))</f>
        <v/>
      </c>
    </row>
    <row r="411" customFormat="false" ht="15" hidden="false" customHeight="false" outlineLevel="0" collapsed="false">
      <c r="A411" s="5"/>
      <c r="B411" s="5"/>
      <c r="C411" s="5"/>
      <c r="D411" s="5"/>
      <c r="E411" s="14"/>
      <c r="F411" s="4" t="str">
        <f aca="false">IF(OR(J411="",K411="",N(J411)=0,N(K411)&lt;=0),"",ROUNDDOWN(1000*(J411/K411)^3,0))</f>
        <v/>
      </c>
      <c r="G411" s="4" t="str">
        <f aca="false">IF(M411="","",IF(M411+1&gt;COUNT(INDEX(Нормативы!$D$2:$L$71,L411,0)),"Разряда нет",INDEX(Нормативы!$D$1:$L$1,1,M411+1)))</f>
        <v/>
      </c>
      <c r="H411" s="2" t="str">
        <f aca="false">IF(M411="","",IF(M411=0,"—",INDEX(Нормативы!$D$1:$L$1,1,M411)))</f>
        <v/>
      </c>
      <c r="I411" s="7" t="str">
        <f aca="false">IF(M411="","",IF(M411=0,"",IF(INT(ROUND(INDEX(Нормативы!$D$2:$L$71,L411,M411)*100,0)/6000)&gt;0,INT(ROUND(INDEX(Нормативы!$D$2:$L$71,L411,M411)*100,0)/6000)&amp;":"&amp;RIGHT("0"&amp;INT(MOD(ROUND(INDEX(Нормативы!$D$2:$L$71,L411,M411)*100,0),6000)/100),2),INT(MOD(ROUND(INDEX(Нормативы!$D$2:$L$71,L411,M411)*100,0),6000)/100))&amp;"."&amp;RIGHT("0"&amp;MOD(ROUND(INDEX(Нормативы!$D$2:$L$71,L411,M411)*100,0),100),2)))</f>
        <v/>
      </c>
      <c r="J411" s="12" t="str">
        <f aca="false">IF(D411="","",SUMIFS('Базовые времена'!$D$2:$D$71,'Базовые времена'!$A$2:$A$71,B411,'Базовые времена'!$B$2:$B$71,C411,'Базовые времена'!$C$2:$C$71,D411))</f>
        <v/>
      </c>
      <c r="K411" s="12" t="str">
        <f aca="false">IF(E411="","",IF(ISNUMBER(E411),IF(E411&lt;1,E411*86400,E411),IFERROR(IF(ISNUMBER(FIND(":",SUBSTITUTE(TRIM(E411),",","."))),VALUE(LEFT(SUBSTITUTE(TRIM(E411),",","."),FIND(":",SUBSTITUTE(TRIM(E411),",","."))-1))*60+_xlfn.NUMBERVALUE(MID(SUBSTITUTE(TRIM(E411),",","."),FIND(":",SUBSTITUTE(TRIM(E411),",","."))+1,99),"."),_xlfn.NUMBERVALUE(SUBSTITUTE(TRIM(E411),",","."),".")),0)))</f>
        <v/>
      </c>
      <c r="L411" s="3" t="str">
        <f aca="false">IF(OR(D411="",N(K411)&lt;=0),"",IFERROR(MATCH(B411&amp;"|"&amp;C411&amp;"|"&amp;D411,Нормативы!$M$2:$M$71,0),""))</f>
        <v/>
      </c>
      <c r="M411" s="3" t="str">
        <f aca="false">IF(L411="","",SUMPRODUCT((INDEX(Нормативы!$D$2:$L$71,L411,0)&lt;K411)*ISNUMBER(INDEX(Нормативы!$D$2:$L$71,L411,0))))</f>
        <v/>
      </c>
    </row>
    <row r="412" customFormat="false" ht="15" hidden="false" customHeight="false" outlineLevel="0" collapsed="false">
      <c r="A412" s="5"/>
      <c r="B412" s="5"/>
      <c r="C412" s="5"/>
      <c r="D412" s="5"/>
      <c r="E412" s="14"/>
      <c r="F412" s="4" t="str">
        <f aca="false">IF(OR(J412="",K412="",N(J412)=0,N(K412)&lt;=0),"",ROUNDDOWN(1000*(J412/K412)^3,0))</f>
        <v/>
      </c>
      <c r="G412" s="4" t="str">
        <f aca="false">IF(M412="","",IF(M412+1&gt;COUNT(INDEX(Нормативы!$D$2:$L$71,L412,0)),"Разряда нет",INDEX(Нормативы!$D$1:$L$1,1,M412+1)))</f>
        <v/>
      </c>
      <c r="H412" s="2" t="str">
        <f aca="false">IF(M412="","",IF(M412=0,"—",INDEX(Нормативы!$D$1:$L$1,1,M412)))</f>
        <v/>
      </c>
      <c r="I412" s="7" t="str">
        <f aca="false">IF(M412="","",IF(M412=0,"",IF(INT(ROUND(INDEX(Нормативы!$D$2:$L$71,L412,M412)*100,0)/6000)&gt;0,INT(ROUND(INDEX(Нормативы!$D$2:$L$71,L412,M412)*100,0)/6000)&amp;":"&amp;RIGHT("0"&amp;INT(MOD(ROUND(INDEX(Нормативы!$D$2:$L$71,L412,M412)*100,0),6000)/100),2),INT(MOD(ROUND(INDEX(Нормативы!$D$2:$L$71,L412,M412)*100,0),6000)/100))&amp;"."&amp;RIGHT("0"&amp;MOD(ROUND(INDEX(Нормативы!$D$2:$L$71,L412,M412)*100,0),100),2)))</f>
        <v/>
      </c>
      <c r="J412" s="12" t="str">
        <f aca="false">IF(D412="","",SUMIFS('Базовые времена'!$D$2:$D$71,'Базовые времена'!$A$2:$A$71,B412,'Базовые времена'!$B$2:$B$71,C412,'Базовые времена'!$C$2:$C$71,D412))</f>
        <v/>
      </c>
      <c r="K412" s="12" t="str">
        <f aca="false">IF(E412="","",IF(ISNUMBER(E412),IF(E412&lt;1,E412*86400,E412),IFERROR(IF(ISNUMBER(FIND(":",SUBSTITUTE(TRIM(E412),",","."))),VALUE(LEFT(SUBSTITUTE(TRIM(E412),",","."),FIND(":",SUBSTITUTE(TRIM(E412),",","."))-1))*60+_xlfn.NUMBERVALUE(MID(SUBSTITUTE(TRIM(E412),",","."),FIND(":",SUBSTITUTE(TRIM(E412),",","."))+1,99),"."),_xlfn.NUMBERVALUE(SUBSTITUTE(TRIM(E412),",","."),".")),0)))</f>
        <v/>
      </c>
      <c r="L412" s="3" t="str">
        <f aca="false">IF(OR(D412="",N(K412)&lt;=0),"",IFERROR(MATCH(B412&amp;"|"&amp;C412&amp;"|"&amp;D412,Нормативы!$M$2:$M$71,0),""))</f>
        <v/>
      </c>
      <c r="M412" s="3" t="str">
        <f aca="false">IF(L412="","",SUMPRODUCT((INDEX(Нормативы!$D$2:$L$71,L412,0)&lt;K412)*ISNUMBER(INDEX(Нормативы!$D$2:$L$71,L412,0))))</f>
        <v/>
      </c>
    </row>
    <row r="413" customFormat="false" ht="15" hidden="false" customHeight="false" outlineLevel="0" collapsed="false">
      <c r="A413" s="5"/>
      <c r="B413" s="5"/>
      <c r="C413" s="5"/>
      <c r="D413" s="5"/>
      <c r="E413" s="14"/>
      <c r="F413" s="4" t="str">
        <f aca="false">IF(OR(J413="",K413="",N(J413)=0,N(K413)&lt;=0),"",ROUNDDOWN(1000*(J413/K413)^3,0))</f>
        <v/>
      </c>
      <c r="G413" s="4" t="str">
        <f aca="false">IF(M413="","",IF(M413+1&gt;COUNT(INDEX(Нормативы!$D$2:$L$71,L413,0)),"Разряда нет",INDEX(Нормативы!$D$1:$L$1,1,M413+1)))</f>
        <v/>
      </c>
      <c r="H413" s="2" t="str">
        <f aca="false">IF(M413="","",IF(M413=0,"—",INDEX(Нормативы!$D$1:$L$1,1,M413)))</f>
        <v/>
      </c>
      <c r="I413" s="7" t="str">
        <f aca="false">IF(M413="","",IF(M413=0,"",IF(INT(ROUND(INDEX(Нормативы!$D$2:$L$71,L413,M413)*100,0)/6000)&gt;0,INT(ROUND(INDEX(Нормативы!$D$2:$L$71,L413,M413)*100,0)/6000)&amp;":"&amp;RIGHT("0"&amp;INT(MOD(ROUND(INDEX(Нормативы!$D$2:$L$71,L413,M413)*100,0),6000)/100),2),INT(MOD(ROUND(INDEX(Нормативы!$D$2:$L$71,L413,M413)*100,0),6000)/100))&amp;"."&amp;RIGHT("0"&amp;MOD(ROUND(INDEX(Нормативы!$D$2:$L$71,L413,M413)*100,0),100),2)))</f>
        <v/>
      </c>
      <c r="J413" s="12" t="str">
        <f aca="false">IF(D413="","",SUMIFS('Базовые времена'!$D$2:$D$71,'Базовые времена'!$A$2:$A$71,B413,'Базовые времена'!$B$2:$B$71,C413,'Базовые времена'!$C$2:$C$71,D413))</f>
        <v/>
      </c>
      <c r="K413" s="12" t="str">
        <f aca="false">IF(E413="","",IF(ISNUMBER(E413),IF(E413&lt;1,E413*86400,E413),IFERROR(IF(ISNUMBER(FIND(":",SUBSTITUTE(TRIM(E413),",","."))),VALUE(LEFT(SUBSTITUTE(TRIM(E413),",","."),FIND(":",SUBSTITUTE(TRIM(E413),",","."))-1))*60+_xlfn.NUMBERVALUE(MID(SUBSTITUTE(TRIM(E413),",","."),FIND(":",SUBSTITUTE(TRIM(E413),",","."))+1,99),"."),_xlfn.NUMBERVALUE(SUBSTITUTE(TRIM(E413),",","."),".")),0)))</f>
        <v/>
      </c>
      <c r="L413" s="3" t="str">
        <f aca="false">IF(OR(D413="",N(K413)&lt;=0),"",IFERROR(MATCH(B413&amp;"|"&amp;C413&amp;"|"&amp;D413,Нормативы!$M$2:$M$71,0),""))</f>
        <v/>
      </c>
      <c r="M413" s="3" t="str">
        <f aca="false">IF(L413="","",SUMPRODUCT((INDEX(Нормативы!$D$2:$L$71,L413,0)&lt;K413)*ISNUMBER(INDEX(Нормативы!$D$2:$L$71,L413,0))))</f>
        <v/>
      </c>
    </row>
    <row r="414" customFormat="false" ht="15" hidden="false" customHeight="false" outlineLevel="0" collapsed="false">
      <c r="A414" s="5"/>
      <c r="B414" s="5"/>
      <c r="C414" s="5"/>
      <c r="D414" s="5"/>
      <c r="E414" s="14"/>
      <c r="F414" s="4" t="str">
        <f aca="false">IF(OR(J414="",K414="",N(J414)=0,N(K414)&lt;=0),"",ROUNDDOWN(1000*(J414/K414)^3,0))</f>
        <v/>
      </c>
      <c r="G414" s="4" t="str">
        <f aca="false">IF(M414="","",IF(M414+1&gt;COUNT(INDEX(Нормативы!$D$2:$L$71,L414,0)),"Разряда нет",INDEX(Нормативы!$D$1:$L$1,1,M414+1)))</f>
        <v/>
      </c>
      <c r="H414" s="2" t="str">
        <f aca="false">IF(M414="","",IF(M414=0,"—",INDEX(Нормативы!$D$1:$L$1,1,M414)))</f>
        <v/>
      </c>
      <c r="I414" s="7" t="str">
        <f aca="false">IF(M414="","",IF(M414=0,"",IF(INT(ROUND(INDEX(Нормативы!$D$2:$L$71,L414,M414)*100,0)/6000)&gt;0,INT(ROUND(INDEX(Нормативы!$D$2:$L$71,L414,M414)*100,0)/6000)&amp;":"&amp;RIGHT("0"&amp;INT(MOD(ROUND(INDEX(Нормативы!$D$2:$L$71,L414,M414)*100,0),6000)/100),2),INT(MOD(ROUND(INDEX(Нормативы!$D$2:$L$71,L414,M414)*100,0),6000)/100))&amp;"."&amp;RIGHT("0"&amp;MOD(ROUND(INDEX(Нормативы!$D$2:$L$71,L414,M414)*100,0),100),2)))</f>
        <v/>
      </c>
      <c r="J414" s="12" t="str">
        <f aca="false">IF(D414="","",SUMIFS('Базовые времена'!$D$2:$D$71,'Базовые времена'!$A$2:$A$71,B414,'Базовые времена'!$B$2:$B$71,C414,'Базовые времена'!$C$2:$C$71,D414))</f>
        <v/>
      </c>
      <c r="K414" s="12" t="str">
        <f aca="false">IF(E414="","",IF(ISNUMBER(E414),IF(E414&lt;1,E414*86400,E414),IFERROR(IF(ISNUMBER(FIND(":",SUBSTITUTE(TRIM(E414),",","."))),VALUE(LEFT(SUBSTITUTE(TRIM(E414),",","."),FIND(":",SUBSTITUTE(TRIM(E414),",","."))-1))*60+_xlfn.NUMBERVALUE(MID(SUBSTITUTE(TRIM(E414),",","."),FIND(":",SUBSTITUTE(TRIM(E414),",","."))+1,99),"."),_xlfn.NUMBERVALUE(SUBSTITUTE(TRIM(E414),",","."),".")),0)))</f>
        <v/>
      </c>
      <c r="L414" s="3" t="str">
        <f aca="false">IF(OR(D414="",N(K414)&lt;=0),"",IFERROR(MATCH(B414&amp;"|"&amp;C414&amp;"|"&amp;D414,Нормативы!$M$2:$M$71,0),""))</f>
        <v/>
      </c>
      <c r="M414" s="3" t="str">
        <f aca="false">IF(L414="","",SUMPRODUCT((INDEX(Нормативы!$D$2:$L$71,L414,0)&lt;K414)*ISNUMBER(INDEX(Нормативы!$D$2:$L$71,L414,0))))</f>
        <v/>
      </c>
    </row>
    <row r="415" customFormat="false" ht="15" hidden="false" customHeight="false" outlineLevel="0" collapsed="false">
      <c r="A415" s="5"/>
      <c r="B415" s="5"/>
      <c r="C415" s="5"/>
      <c r="D415" s="5"/>
      <c r="E415" s="14"/>
      <c r="F415" s="4" t="str">
        <f aca="false">IF(OR(J415="",K415="",N(J415)=0,N(K415)&lt;=0),"",ROUNDDOWN(1000*(J415/K415)^3,0))</f>
        <v/>
      </c>
      <c r="G415" s="4" t="str">
        <f aca="false">IF(M415="","",IF(M415+1&gt;COUNT(INDEX(Нормативы!$D$2:$L$71,L415,0)),"Разряда нет",INDEX(Нормативы!$D$1:$L$1,1,M415+1)))</f>
        <v/>
      </c>
      <c r="H415" s="2" t="str">
        <f aca="false">IF(M415="","",IF(M415=0,"—",INDEX(Нормативы!$D$1:$L$1,1,M415)))</f>
        <v/>
      </c>
      <c r="I415" s="7" t="str">
        <f aca="false">IF(M415="","",IF(M415=0,"",IF(INT(ROUND(INDEX(Нормативы!$D$2:$L$71,L415,M415)*100,0)/6000)&gt;0,INT(ROUND(INDEX(Нормативы!$D$2:$L$71,L415,M415)*100,0)/6000)&amp;":"&amp;RIGHT("0"&amp;INT(MOD(ROUND(INDEX(Нормативы!$D$2:$L$71,L415,M415)*100,0),6000)/100),2),INT(MOD(ROUND(INDEX(Нормативы!$D$2:$L$71,L415,M415)*100,0),6000)/100))&amp;"."&amp;RIGHT("0"&amp;MOD(ROUND(INDEX(Нормативы!$D$2:$L$71,L415,M415)*100,0),100),2)))</f>
        <v/>
      </c>
      <c r="J415" s="12" t="str">
        <f aca="false">IF(D415="","",SUMIFS('Базовые времена'!$D$2:$D$71,'Базовые времена'!$A$2:$A$71,B415,'Базовые времена'!$B$2:$B$71,C415,'Базовые времена'!$C$2:$C$71,D415))</f>
        <v/>
      </c>
      <c r="K415" s="12" t="str">
        <f aca="false">IF(E415="","",IF(ISNUMBER(E415),IF(E415&lt;1,E415*86400,E415),IFERROR(IF(ISNUMBER(FIND(":",SUBSTITUTE(TRIM(E415),",","."))),VALUE(LEFT(SUBSTITUTE(TRIM(E415),",","."),FIND(":",SUBSTITUTE(TRIM(E415),",","."))-1))*60+_xlfn.NUMBERVALUE(MID(SUBSTITUTE(TRIM(E415),",","."),FIND(":",SUBSTITUTE(TRIM(E415),",","."))+1,99),"."),_xlfn.NUMBERVALUE(SUBSTITUTE(TRIM(E415),",","."),".")),0)))</f>
        <v/>
      </c>
      <c r="L415" s="3" t="str">
        <f aca="false">IF(OR(D415="",N(K415)&lt;=0),"",IFERROR(MATCH(B415&amp;"|"&amp;C415&amp;"|"&amp;D415,Нормативы!$M$2:$M$71,0),""))</f>
        <v/>
      </c>
      <c r="M415" s="3" t="str">
        <f aca="false">IF(L415="","",SUMPRODUCT((INDEX(Нормативы!$D$2:$L$71,L415,0)&lt;K415)*ISNUMBER(INDEX(Нормативы!$D$2:$L$71,L415,0))))</f>
        <v/>
      </c>
    </row>
    <row r="416" customFormat="false" ht="15" hidden="false" customHeight="false" outlineLevel="0" collapsed="false">
      <c r="A416" s="5"/>
      <c r="B416" s="5"/>
      <c r="C416" s="5"/>
      <c r="D416" s="5"/>
      <c r="E416" s="14"/>
      <c r="F416" s="4" t="str">
        <f aca="false">IF(OR(J416="",K416="",N(J416)=0,N(K416)&lt;=0),"",ROUNDDOWN(1000*(J416/K416)^3,0))</f>
        <v/>
      </c>
      <c r="G416" s="4" t="str">
        <f aca="false">IF(M416="","",IF(M416+1&gt;COUNT(INDEX(Нормативы!$D$2:$L$71,L416,0)),"Разряда нет",INDEX(Нормативы!$D$1:$L$1,1,M416+1)))</f>
        <v/>
      </c>
      <c r="H416" s="2" t="str">
        <f aca="false">IF(M416="","",IF(M416=0,"—",INDEX(Нормативы!$D$1:$L$1,1,M416)))</f>
        <v/>
      </c>
      <c r="I416" s="7" t="str">
        <f aca="false">IF(M416="","",IF(M416=0,"",IF(INT(ROUND(INDEX(Нормативы!$D$2:$L$71,L416,M416)*100,0)/6000)&gt;0,INT(ROUND(INDEX(Нормативы!$D$2:$L$71,L416,M416)*100,0)/6000)&amp;":"&amp;RIGHT("0"&amp;INT(MOD(ROUND(INDEX(Нормативы!$D$2:$L$71,L416,M416)*100,0),6000)/100),2),INT(MOD(ROUND(INDEX(Нормативы!$D$2:$L$71,L416,M416)*100,0),6000)/100))&amp;"."&amp;RIGHT("0"&amp;MOD(ROUND(INDEX(Нормативы!$D$2:$L$71,L416,M416)*100,0),100),2)))</f>
        <v/>
      </c>
      <c r="J416" s="12" t="str">
        <f aca="false">IF(D416="","",SUMIFS('Базовые времена'!$D$2:$D$71,'Базовые времена'!$A$2:$A$71,B416,'Базовые времена'!$B$2:$B$71,C416,'Базовые времена'!$C$2:$C$71,D416))</f>
        <v/>
      </c>
      <c r="K416" s="12" t="str">
        <f aca="false">IF(E416="","",IF(ISNUMBER(E416),IF(E416&lt;1,E416*86400,E416),IFERROR(IF(ISNUMBER(FIND(":",SUBSTITUTE(TRIM(E416),",","."))),VALUE(LEFT(SUBSTITUTE(TRIM(E416),",","."),FIND(":",SUBSTITUTE(TRIM(E416),",","."))-1))*60+_xlfn.NUMBERVALUE(MID(SUBSTITUTE(TRIM(E416),",","."),FIND(":",SUBSTITUTE(TRIM(E416),",","."))+1,99),"."),_xlfn.NUMBERVALUE(SUBSTITUTE(TRIM(E416),",","."),".")),0)))</f>
        <v/>
      </c>
      <c r="L416" s="3" t="str">
        <f aca="false">IF(OR(D416="",N(K416)&lt;=0),"",IFERROR(MATCH(B416&amp;"|"&amp;C416&amp;"|"&amp;D416,Нормативы!$M$2:$M$71,0),""))</f>
        <v/>
      </c>
      <c r="M416" s="3" t="str">
        <f aca="false">IF(L416="","",SUMPRODUCT((INDEX(Нормативы!$D$2:$L$71,L416,0)&lt;K416)*ISNUMBER(INDEX(Нормативы!$D$2:$L$71,L416,0))))</f>
        <v/>
      </c>
    </row>
    <row r="417" customFormat="false" ht="15" hidden="false" customHeight="false" outlineLevel="0" collapsed="false">
      <c r="A417" s="5"/>
      <c r="B417" s="5"/>
      <c r="C417" s="5"/>
      <c r="D417" s="5"/>
      <c r="E417" s="14"/>
      <c r="F417" s="4" t="str">
        <f aca="false">IF(OR(J417="",K417="",N(J417)=0,N(K417)&lt;=0),"",ROUNDDOWN(1000*(J417/K417)^3,0))</f>
        <v/>
      </c>
      <c r="G417" s="4" t="str">
        <f aca="false">IF(M417="","",IF(M417+1&gt;COUNT(INDEX(Нормативы!$D$2:$L$71,L417,0)),"Разряда нет",INDEX(Нормативы!$D$1:$L$1,1,M417+1)))</f>
        <v/>
      </c>
      <c r="H417" s="2" t="str">
        <f aca="false">IF(M417="","",IF(M417=0,"—",INDEX(Нормативы!$D$1:$L$1,1,M417)))</f>
        <v/>
      </c>
      <c r="I417" s="7" t="str">
        <f aca="false">IF(M417="","",IF(M417=0,"",IF(INT(ROUND(INDEX(Нормативы!$D$2:$L$71,L417,M417)*100,0)/6000)&gt;0,INT(ROUND(INDEX(Нормативы!$D$2:$L$71,L417,M417)*100,0)/6000)&amp;":"&amp;RIGHT("0"&amp;INT(MOD(ROUND(INDEX(Нормативы!$D$2:$L$71,L417,M417)*100,0),6000)/100),2),INT(MOD(ROUND(INDEX(Нормативы!$D$2:$L$71,L417,M417)*100,0),6000)/100))&amp;"."&amp;RIGHT("0"&amp;MOD(ROUND(INDEX(Нормативы!$D$2:$L$71,L417,M417)*100,0),100),2)))</f>
        <v/>
      </c>
      <c r="J417" s="12" t="str">
        <f aca="false">IF(D417="","",SUMIFS('Базовые времена'!$D$2:$D$71,'Базовые времена'!$A$2:$A$71,B417,'Базовые времена'!$B$2:$B$71,C417,'Базовые времена'!$C$2:$C$71,D417))</f>
        <v/>
      </c>
      <c r="K417" s="12" t="str">
        <f aca="false">IF(E417="","",IF(ISNUMBER(E417),IF(E417&lt;1,E417*86400,E417),IFERROR(IF(ISNUMBER(FIND(":",SUBSTITUTE(TRIM(E417),",","."))),VALUE(LEFT(SUBSTITUTE(TRIM(E417),",","."),FIND(":",SUBSTITUTE(TRIM(E417),",","."))-1))*60+_xlfn.NUMBERVALUE(MID(SUBSTITUTE(TRIM(E417),",","."),FIND(":",SUBSTITUTE(TRIM(E417),",","."))+1,99),"."),_xlfn.NUMBERVALUE(SUBSTITUTE(TRIM(E417),",","."),".")),0)))</f>
        <v/>
      </c>
      <c r="L417" s="3" t="str">
        <f aca="false">IF(OR(D417="",N(K417)&lt;=0),"",IFERROR(MATCH(B417&amp;"|"&amp;C417&amp;"|"&amp;D417,Нормативы!$M$2:$M$71,0),""))</f>
        <v/>
      </c>
      <c r="M417" s="3" t="str">
        <f aca="false">IF(L417="","",SUMPRODUCT((INDEX(Нормативы!$D$2:$L$71,L417,0)&lt;K417)*ISNUMBER(INDEX(Нормативы!$D$2:$L$71,L417,0))))</f>
        <v/>
      </c>
    </row>
    <row r="418" customFormat="false" ht="15" hidden="false" customHeight="false" outlineLevel="0" collapsed="false">
      <c r="A418" s="5"/>
      <c r="B418" s="5"/>
      <c r="C418" s="5"/>
      <c r="D418" s="5"/>
      <c r="E418" s="14"/>
      <c r="F418" s="4" t="str">
        <f aca="false">IF(OR(J418="",K418="",N(J418)=0,N(K418)&lt;=0),"",ROUNDDOWN(1000*(J418/K418)^3,0))</f>
        <v/>
      </c>
      <c r="G418" s="4" t="str">
        <f aca="false">IF(M418="","",IF(M418+1&gt;COUNT(INDEX(Нормативы!$D$2:$L$71,L418,0)),"Разряда нет",INDEX(Нормативы!$D$1:$L$1,1,M418+1)))</f>
        <v/>
      </c>
      <c r="H418" s="2" t="str">
        <f aca="false">IF(M418="","",IF(M418=0,"—",INDEX(Нормативы!$D$1:$L$1,1,M418)))</f>
        <v/>
      </c>
      <c r="I418" s="7" t="str">
        <f aca="false">IF(M418="","",IF(M418=0,"",IF(INT(ROUND(INDEX(Нормативы!$D$2:$L$71,L418,M418)*100,0)/6000)&gt;0,INT(ROUND(INDEX(Нормативы!$D$2:$L$71,L418,M418)*100,0)/6000)&amp;":"&amp;RIGHT("0"&amp;INT(MOD(ROUND(INDEX(Нормативы!$D$2:$L$71,L418,M418)*100,0),6000)/100),2),INT(MOD(ROUND(INDEX(Нормативы!$D$2:$L$71,L418,M418)*100,0),6000)/100))&amp;"."&amp;RIGHT("0"&amp;MOD(ROUND(INDEX(Нормативы!$D$2:$L$71,L418,M418)*100,0),100),2)))</f>
        <v/>
      </c>
      <c r="J418" s="12" t="str">
        <f aca="false">IF(D418="","",SUMIFS('Базовые времена'!$D$2:$D$71,'Базовые времена'!$A$2:$A$71,B418,'Базовые времена'!$B$2:$B$71,C418,'Базовые времена'!$C$2:$C$71,D418))</f>
        <v/>
      </c>
      <c r="K418" s="12" t="str">
        <f aca="false">IF(E418="","",IF(ISNUMBER(E418),IF(E418&lt;1,E418*86400,E418),IFERROR(IF(ISNUMBER(FIND(":",SUBSTITUTE(TRIM(E418),",","."))),VALUE(LEFT(SUBSTITUTE(TRIM(E418),",","."),FIND(":",SUBSTITUTE(TRIM(E418),",","."))-1))*60+_xlfn.NUMBERVALUE(MID(SUBSTITUTE(TRIM(E418),",","."),FIND(":",SUBSTITUTE(TRIM(E418),",","."))+1,99),"."),_xlfn.NUMBERVALUE(SUBSTITUTE(TRIM(E418),",","."),".")),0)))</f>
        <v/>
      </c>
      <c r="L418" s="3" t="str">
        <f aca="false">IF(OR(D418="",N(K418)&lt;=0),"",IFERROR(MATCH(B418&amp;"|"&amp;C418&amp;"|"&amp;D418,Нормативы!$M$2:$M$71,0),""))</f>
        <v/>
      </c>
      <c r="M418" s="3" t="str">
        <f aca="false">IF(L418="","",SUMPRODUCT((INDEX(Нормативы!$D$2:$L$71,L418,0)&lt;K418)*ISNUMBER(INDEX(Нормативы!$D$2:$L$71,L418,0))))</f>
        <v/>
      </c>
    </row>
    <row r="419" customFormat="false" ht="15" hidden="false" customHeight="false" outlineLevel="0" collapsed="false">
      <c r="A419" s="5"/>
      <c r="B419" s="5"/>
      <c r="C419" s="5"/>
      <c r="D419" s="5"/>
      <c r="E419" s="14"/>
      <c r="F419" s="4" t="str">
        <f aca="false">IF(OR(J419="",K419="",N(J419)=0,N(K419)&lt;=0),"",ROUNDDOWN(1000*(J419/K419)^3,0))</f>
        <v/>
      </c>
      <c r="G419" s="4" t="str">
        <f aca="false">IF(M419="","",IF(M419+1&gt;COUNT(INDEX(Нормативы!$D$2:$L$71,L419,0)),"Разряда нет",INDEX(Нормативы!$D$1:$L$1,1,M419+1)))</f>
        <v/>
      </c>
      <c r="H419" s="2" t="str">
        <f aca="false">IF(M419="","",IF(M419=0,"—",INDEX(Нормативы!$D$1:$L$1,1,M419)))</f>
        <v/>
      </c>
      <c r="I419" s="7" t="str">
        <f aca="false">IF(M419="","",IF(M419=0,"",IF(INT(ROUND(INDEX(Нормативы!$D$2:$L$71,L419,M419)*100,0)/6000)&gt;0,INT(ROUND(INDEX(Нормативы!$D$2:$L$71,L419,M419)*100,0)/6000)&amp;":"&amp;RIGHT("0"&amp;INT(MOD(ROUND(INDEX(Нормативы!$D$2:$L$71,L419,M419)*100,0),6000)/100),2),INT(MOD(ROUND(INDEX(Нормативы!$D$2:$L$71,L419,M419)*100,0),6000)/100))&amp;"."&amp;RIGHT("0"&amp;MOD(ROUND(INDEX(Нормативы!$D$2:$L$71,L419,M419)*100,0),100),2)))</f>
        <v/>
      </c>
      <c r="J419" s="12" t="str">
        <f aca="false">IF(D419="","",SUMIFS('Базовые времена'!$D$2:$D$71,'Базовые времена'!$A$2:$A$71,B419,'Базовые времена'!$B$2:$B$71,C419,'Базовые времена'!$C$2:$C$71,D419))</f>
        <v/>
      </c>
      <c r="K419" s="12" t="str">
        <f aca="false">IF(E419="","",IF(ISNUMBER(E419),IF(E419&lt;1,E419*86400,E419),IFERROR(IF(ISNUMBER(FIND(":",SUBSTITUTE(TRIM(E419),",","."))),VALUE(LEFT(SUBSTITUTE(TRIM(E419),",","."),FIND(":",SUBSTITUTE(TRIM(E419),",","."))-1))*60+_xlfn.NUMBERVALUE(MID(SUBSTITUTE(TRIM(E419),",","."),FIND(":",SUBSTITUTE(TRIM(E419),",","."))+1,99),"."),_xlfn.NUMBERVALUE(SUBSTITUTE(TRIM(E419),",","."),".")),0)))</f>
        <v/>
      </c>
      <c r="L419" s="3" t="str">
        <f aca="false">IF(OR(D419="",N(K419)&lt;=0),"",IFERROR(MATCH(B419&amp;"|"&amp;C419&amp;"|"&amp;D419,Нормативы!$M$2:$M$71,0),""))</f>
        <v/>
      </c>
      <c r="M419" s="3" t="str">
        <f aca="false">IF(L419="","",SUMPRODUCT((INDEX(Нормативы!$D$2:$L$71,L419,0)&lt;K419)*ISNUMBER(INDEX(Нормативы!$D$2:$L$71,L419,0))))</f>
        <v/>
      </c>
    </row>
    <row r="420" customFormat="false" ht="15" hidden="false" customHeight="false" outlineLevel="0" collapsed="false">
      <c r="A420" s="5"/>
      <c r="B420" s="5"/>
      <c r="C420" s="5"/>
      <c r="D420" s="5"/>
      <c r="E420" s="14"/>
      <c r="F420" s="4" t="str">
        <f aca="false">IF(OR(J420="",K420="",N(J420)=0,N(K420)&lt;=0),"",ROUNDDOWN(1000*(J420/K420)^3,0))</f>
        <v/>
      </c>
      <c r="G420" s="4" t="str">
        <f aca="false">IF(M420="","",IF(M420+1&gt;COUNT(INDEX(Нормативы!$D$2:$L$71,L420,0)),"Разряда нет",INDEX(Нормативы!$D$1:$L$1,1,M420+1)))</f>
        <v/>
      </c>
      <c r="H420" s="2" t="str">
        <f aca="false">IF(M420="","",IF(M420=0,"—",INDEX(Нормативы!$D$1:$L$1,1,M420)))</f>
        <v/>
      </c>
      <c r="I420" s="7" t="str">
        <f aca="false">IF(M420="","",IF(M420=0,"",IF(INT(ROUND(INDEX(Нормативы!$D$2:$L$71,L420,M420)*100,0)/6000)&gt;0,INT(ROUND(INDEX(Нормативы!$D$2:$L$71,L420,M420)*100,0)/6000)&amp;":"&amp;RIGHT("0"&amp;INT(MOD(ROUND(INDEX(Нормативы!$D$2:$L$71,L420,M420)*100,0),6000)/100),2),INT(MOD(ROUND(INDEX(Нормативы!$D$2:$L$71,L420,M420)*100,0),6000)/100))&amp;"."&amp;RIGHT("0"&amp;MOD(ROUND(INDEX(Нормативы!$D$2:$L$71,L420,M420)*100,0),100),2)))</f>
        <v/>
      </c>
      <c r="J420" s="12" t="str">
        <f aca="false">IF(D420="","",SUMIFS('Базовые времена'!$D$2:$D$71,'Базовые времена'!$A$2:$A$71,B420,'Базовые времена'!$B$2:$B$71,C420,'Базовые времена'!$C$2:$C$71,D420))</f>
        <v/>
      </c>
      <c r="K420" s="12" t="str">
        <f aca="false">IF(E420="","",IF(ISNUMBER(E420),IF(E420&lt;1,E420*86400,E420),IFERROR(IF(ISNUMBER(FIND(":",SUBSTITUTE(TRIM(E420),",","."))),VALUE(LEFT(SUBSTITUTE(TRIM(E420),",","."),FIND(":",SUBSTITUTE(TRIM(E420),",","."))-1))*60+_xlfn.NUMBERVALUE(MID(SUBSTITUTE(TRIM(E420),",","."),FIND(":",SUBSTITUTE(TRIM(E420),",","."))+1,99),"."),_xlfn.NUMBERVALUE(SUBSTITUTE(TRIM(E420),",","."),".")),0)))</f>
        <v/>
      </c>
      <c r="L420" s="3" t="str">
        <f aca="false">IF(OR(D420="",N(K420)&lt;=0),"",IFERROR(MATCH(B420&amp;"|"&amp;C420&amp;"|"&amp;D420,Нормативы!$M$2:$M$71,0),""))</f>
        <v/>
      </c>
      <c r="M420" s="3" t="str">
        <f aca="false">IF(L420="","",SUMPRODUCT((INDEX(Нормативы!$D$2:$L$71,L420,0)&lt;K420)*ISNUMBER(INDEX(Нормативы!$D$2:$L$71,L420,0))))</f>
        <v/>
      </c>
    </row>
    <row r="421" customFormat="false" ht="15" hidden="false" customHeight="false" outlineLevel="0" collapsed="false">
      <c r="A421" s="5"/>
      <c r="B421" s="5"/>
      <c r="C421" s="5"/>
      <c r="D421" s="5"/>
      <c r="E421" s="14"/>
      <c r="F421" s="4" t="str">
        <f aca="false">IF(OR(J421="",K421="",N(J421)=0,N(K421)&lt;=0),"",ROUNDDOWN(1000*(J421/K421)^3,0))</f>
        <v/>
      </c>
      <c r="G421" s="4" t="str">
        <f aca="false">IF(M421="","",IF(M421+1&gt;COUNT(INDEX(Нормативы!$D$2:$L$71,L421,0)),"Разряда нет",INDEX(Нормативы!$D$1:$L$1,1,M421+1)))</f>
        <v/>
      </c>
      <c r="H421" s="2" t="str">
        <f aca="false">IF(M421="","",IF(M421=0,"—",INDEX(Нормативы!$D$1:$L$1,1,M421)))</f>
        <v/>
      </c>
      <c r="I421" s="7" t="str">
        <f aca="false">IF(M421="","",IF(M421=0,"",IF(INT(ROUND(INDEX(Нормативы!$D$2:$L$71,L421,M421)*100,0)/6000)&gt;0,INT(ROUND(INDEX(Нормативы!$D$2:$L$71,L421,M421)*100,0)/6000)&amp;":"&amp;RIGHT("0"&amp;INT(MOD(ROUND(INDEX(Нормативы!$D$2:$L$71,L421,M421)*100,0),6000)/100),2),INT(MOD(ROUND(INDEX(Нормативы!$D$2:$L$71,L421,M421)*100,0),6000)/100))&amp;"."&amp;RIGHT("0"&amp;MOD(ROUND(INDEX(Нормативы!$D$2:$L$71,L421,M421)*100,0),100),2)))</f>
        <v/>
      </c>
      <c r="J421" s="12" t="str">
        <f aca="false">IF(D421="","",SUMIFS('Базовые времена'!$D$2:$D$71,'Базовые времена'!$A$2:$A$71,B421,'Базовые времена'!$B$2:$B$71,C421,'Базовые времена'!$C$2:$C$71,D421))</f>
        <v/>
      </c>
      <c r="K421" s="12" t="str">
        <f aca="false">IF(E421="","",IF(ISNUMBER(E421),IF(E421&lt;1,E421*86400,E421),IFERROR(IF(ISNUMBER(FIND(":",SUBSTITUTE(TRIM(E421),",","."))),VALUE(LEFT(SUBSTITUTE(TRIM(E421),",","."),FIND(":",SUBSTITUTE(TRIM(E421),",","."))-1))*60+_xlfn.NUMBERVALUE(MID(SUBSTITUTE(TRIM(E421),",","."),FIND(":",SUBSTITUTE(TRIM(E421),",","."))+1,99),"."),_xlfn.NUMBERVALUE(SUBSTITUTE(TRIM(E421),",","."),".")),0)))</f>
        <v/>
      </c>
      <c r="L421" s="3" t="str">
        <f aca="false">IF(OR(D421="",N(K421)&lt;=0),"",IFERROR(MATCH(B421&amp;"|"&amp;C421&amp;"|"&amp;D421,Нормативы!$M$2:$M$71,0),""))</f>
        <v/>
      </c>
      <c r="M421" s="3" t="str">
        <f aca="false">IF(L421="","",SUMPRODUCT((INDEX(Нормативы!$D$2:$L$71,L421,0)&lt;K421)*ISNUMBER(INDEX(Нормативы!$D$2:$L$71,L421,0))))</f>
        <v/>
      </c>
    </row>
    <row r="422" customFormat="false" ht="15" hidden="false" customHeight="false" outlineLevel="0" collapsed="false">
      <c r="A422" s="5"/>
      <c r="B422" s="5"/>
      <c r="C422" s="5"/>
      <c r="D422" s="5"/>
      <c r="E422" s="14"/>
      <c r="F422" s="4" t="str">
        <f aca="false">IF(OR(J422="",K422="",N(J422)=0,N(K422)&lt;=0),"",ROUNDDOWN(1000*(J422/K422)^3,0))</f>
        <v/>
      </c>
      <c r="G422" s="4" t="str">
        <f aca="false">IF(M422="","",IF(M422+1&gt;COUNT(INDEX(Нормативы!$D$2:$L$71,L422,0)),"Разряда нет",INDEX(Нормативы!$D$1:$L$1,1,M422+1)))</f>
        <v/>
      </c>
      <c r="H422" s="2" t="str">
        <f aca="false">IF(M422="","",IF(M422=0,"—",INDEX(Нормативы!$D$1:$L$1,1,M422)))</f>
        <v/>
      </c>
      <c r="I422" s="7" t="str">
        <f aca="false">IF(M422="","",IF(M422=0,"",IF(INT(ROUND(INDEX(Нормативы!$D$2:$L$71,L422,M422)*100,0)/6000)&gt;0,INT(ROUND(INDEX(Нормативы!$D$2:$L$71,L422,M422)*100,0)/6000)&amp;":"&amp;RIGHT("0"&amp;INT(MOD(ROUND(INDEX(Нормативы!$D$2:$L$71,L422,M422)*100,0),6000)/100),2),INT(MOD(ROUND(INDEX(Нормативы!$D$2:$L$71,L422,M422)*100,0),6000)/100))&amp;"."&amp;RIGHT("0"&amp;MOD(ROUND(INDEX(Нормативы!$D$2:$L$71,L422,M422)*100,0),100),2)))</f>
        <v/>
      </c>
      <c r="J422" s="12" t="str">
        <f aca="false">IF(D422="","",SUMIFS('Базовые времена'!$D$2:$D$71,'Базовые времена'!$A$2:$A$71,B422,'Базовые времена'!$B$2:$B$71,C422,'Базовые времена'!$C$2:$C$71,D422))</f>
        <v/>
      </c>
      <c r="K422" s="12" t="str">
        <f aca="false">IF(E422="","",IF(ISNUMBER(E422),IF(E422&lt;1,E422*86400,E422),IFERROR(IF(ISNUMBER(FIND(":",SUBSTITUTE(TRIM(E422),",","."))),VALUE(LEFT(SUBSTITUTE(TRIM(E422),",","."),FIND(":",SUBSTITUTE(TRIM(E422),",","."))-1))*60+_xlfn.NUMBERVALUE(MID(SUBSTITUTE(TRIM(E422),",","."),FIND(":",SUBSTITUTE(TRIM(E422),",","."))+1,99),"."),_xlfn.NUMBERVALUE(SUBSTITUTE(TRIM(E422),",","."),".")),0)))</f>
        <v/>
      </c>
      <c r="L422" s="3" t="str">
        <f aca="false">IF(OR(D422="",N(K422)&lt;=0),"",IFERROR(MATCH(B422&amp;"|"&amp;C422&amp;"|"&amp;D422,Нормативы!$M$2:$M$71,0),""))</f>
        <v/>
      </c>
      <c r="M422" s="3" t="str">
        <f aca="false">IF(L422="","",SUMPRODUCT((INDEX(Нормативы!$D$2:$L$71,L422,0)&lt;K422)*ISNUMBER(INDEX(Нормативы!$D$2:$L$71,L422,0))))</f>
        <v/>
      </c>
    </row>
    <row r="423" customFormat="false" ht="15" hidden="false" customHeight="false" outlineLevel="0" collapsed="false">
      <c r="A423" s="5"/>
      <c r="B423" s="5"/>
      <c r="C423" s="5"/>
      <c r="D423" s="5"/>
      <c r="E423" s="14"/>
      <c r="F423" s="4" t="str">
        <f aca="false">IF(OR(J423="",K423="",N(J423)=0,N(K423)&lt;=0),"",ROUNDDOWN(1000*(J423/K423)^3,0))</f>
        <v/>
      </c>
      <c r="G423" s="4" t="str">
        <f aca="false">IF(M423="","",IF(M423+1&gt;COUNT(INDEX(Нормативы!$D$2:$L$71,L423,0)),"Разряда нет",INDEX(Нормативы!$D$1:$L$1,1,M423+1)))</f>
        <v/>
      </c>
      <c r="H423" s="2" t="str">
        <f aca="false">IF(M423="","",IF(M423=0,"—",INDEX(Нормативы!$D$1:$L$1,1,M423)))</f>
        <v/>
      </c>
      <c r="I423" s="7" t="str">
        <f aca="false">IF(M423="","",IF(M423=0,"",IF(INT(ROUND(INDEX(Нормативы!$D$2:$L$71,L423,M423)*100,0)/6000)&gt;0,INT(ROUND(INDEX(Нормативы!$D$2:$L$71,L423,M423)*100,0)/6000)&amp;":"&amp;RIGHT("0"&amp;INT(MOD(ROUND(INDEX(Нормативы!$D$2:$L$71,L423,M423)*100,0),6000)/100),2),INT(MOD(ROUND(INDEX(Нормативы!$D$2:$L$71,L423,M423)*100,0),6000)/100))&amp;"."&amp;RIGHT("0"&amp;MOD(ROUND(INDEX(Нормативы!$D$2:$L$71,L423,M423)*100,0),100),2)))</f>
        <v/>
      </c>
      <c r="J423" s="12" t="str">
        <f aca="false">IF(D423="","",SUMIFS('Базовые времена'!$D$2:$D$71,'Базовые времена'!$A$2:$A$71,B423,'Базовые времена'!$B$2:$B$71,C423,'Базовые времена'!$C$2:$C$71,D423))</f>
        <v/>
      </c>
      <c r="K423" s="12" t="str">
        <f aca="false">IF(E423="","",IF(ISNUMBER(E423),IF(E423&lt;1,E423*86400,E423),IFERROR(IF(ISNUMBER(FIND(":",SUBSTITUTE(TRIM(E423),",","."))),VALUE(LEFT(SUBSTITUTE(TRIM(E423),",","."),FIND(":",SUBSTITUTE(TRIM(E423),",","."))-1))*60+_xlfn.NUMBERVALUE(MID(SUBSTITUTE(TRIM(E423),",","."),FIND(":",SUBSTITUTE(TRIM(E423),",","."))+1,99),"."),_xlfn.NUMBERVALUE(SUBSTITUTE(TRIM(E423),",","."),".")),0)))</f>
        <v/>
      </c>
      <c r="L423" s="3" t="str">
        <f aca="false">IF(OR(D423="",N(K423)&lt;=0),"",IFERROR(MATCH(B423&amp;"|"&amp;C423&amp;"|"&amp;D423,Нормативы!$M$2:$M$71,0),""))</f>
        <v/>
      </c>
      <c r="M423" s="3" t="str">
        <f aca="false">IF(L423="","",SUMPRODUCT((INDEX(Нормативы!$D$2:$L$71,L423,0)&lt;K423)*ISNUMBER(INDEX(Нормативы!$D$2:$L$71,L423,0))))</f>
        <v/>
      </c>
    </row>
    <row r="424" customFormat="false" ht="15" hidden="false" customHeight="false" outlineLevel="0" collapsed="false">
      <c r="A424" s="5"/>
      <c r="B424" s="5"/>
      <c r="C424" s="5"/>
      <c r="D424" s="5"/>
      <c r="E424" s="14"/>
      <c r="F424" s="4" t="str">
        <f aca="false">IF(OR(J424="",K424="",N(J424)=0,N(K424)&lt;=0),"",ROUNDDOWN(1000*(J424/K424)^3,0))</f>
        <v/>
      </c>
      <c r="G424" s="4" t="str">
        <f aca="false">IF(M424="","",IF(M424+1&gt;COUNT(INDEX(Нормативы!$D$2:$L$71,L424,0)),"Разряда нет",INDEX(Нормативы!$D$1:$L$1,1,M424+1)))</f>
        <v/>
      </c>
      <c r="H424" s="2" t="str">
        <f aca="false">IF(M424="","",IF(M424=0,"—",INDEX(Нормативы!$D$1:$L$1,1,M424)))</f>
        <v/>
      </c>
      <c r="I424" s="7" t="str">
        <f aca="false">IF(M424="","",IF(M424=0,"",IF(INT(ROUND(INDEX(Нормативы!$D$2:$L$71,L424,M424)*100,0)/6000)&gt;0,INT(ROUND(INDEX(Нормативы!$D$2:$L$71,L424,M424)*100,0)/6000)&amp;":"&amp;RIGHT("0"&amp;INT(MOD(ROUND(INDEX(Нормативы!$D$2:$L$71,L424,M424)*100,0),6000)/100),2),INT(MOD(ROUND(INDEX(Нормативы!$D$2:$L$71,L424,M424)*100,0),6000)/100))&amp;"."&amp;RIGHT("0"&amp;MOD(ROUND(INDEX(Нормативы!$D$2:$L$71,L424,M424)*100,0),100),2)))</f>
        <v/>
      </c>
      <c r="J424" s="12" t="str">
        <f aca="false">IF(D424="","",SUMIFS('Базовые времена'!$D$2:$D$71,'Базовые времена'!$A$2:$A$71,B424,'Базовые времена'!$B$2:$B$71,C424,'Базовые времена'!$C$2:$C$71,D424))</f>
        <v/>
      </c>
      <c r="K424" s="12" t="str">
        <f aca="false">IF(E424="","",IF(ISNUMBER(E424),IF(E424&lt;1,E424*86400,E424),IFERROR(IF(ISNUMBER(FIND(":",SUBSTITUTE(TRIM(E424),",","."))),VALUE(LEFT(SUBSTITUTE(TRIM(E424),",","."),FIND(":",SUBSTITUTE(TRIM(E424),",","."))-1))*60+_xlfn.NUMBERVALUE(MID(SUBSTITUTE(TRIM(E424),",","."),FIND(":",SUBSTITUTE(TRIM(E424),",","."))+1,99),"."),_xlfn.NUMBERVALUE(SUBSTITUTE(TRIM(E424),",","."),".")),0)))</f>
        <v/>
      </c>
      <c r="L424" s="3" t="str">
        <f aca="false">IF(OR(D424="",N(K424)&lt;=0),"",IFERROR(MATCH(B424&amp;"|"&amp;C424&amp;"|"&amp;D424,Нормативы!$M$2:$M$71,0),""))</f>
        <v/>
      </c>
      <c r="M424" s="3" t="str">
        <f aca="false">IF(L424="","",SUMPRODUCT((INDEX(Нормативы!$D$2:$L$71,L424,0)&lt;K424)*ISNUMBER(INDEX(Нормативы!$D$2:$L$71,L424,0))))</f>
        <v/>
      </c>
    </row>
    <row r="425" customFormat="false" ht="15" hidden="false" customHeight="false" outlineLevel="0" collapsed="false">
      <c r="A425" s="5"/>
      <c r="B425" s="5"/>
      <c r="C425" s="5"/>
      <c r="D425" s="5"/>
      <c r="E425" s="14"/>
      <c r="F425" s="4" t="str">
        <f aca="false">IF(OR(J425="",K425="",N(J425)=0,N(K425)&lt;=0),"",ROUNDDOWN(1000*(J425/K425)^3,0))</f>
        <v/>
      </c>
      <c r="G425" s="4" t="str">
        <f aca="false">IF(M425="","",IF(M425+1&gt;COUNT(INDEX(Нормативы!$D$2:$L$71,L425,0)),"Разряда нет",INDEX(Нормативы!$D$1:$L$1,1,M425+1)))</f>
        <v/>
      </c>
      <c r="H425" s="2" t="str">
        <f aca="false">IF(M425="","",IF(M425=0,"—",INDEX(Нормативы!$D$1:$L$1,1,M425)))</f>
        <v/>
      </c>
      <c r="I425" s="7" t="str">
        <f aca="false">IF(M425="","",IF(M425=0,"",IF(INT(ROUND(INDEX(Нормативы!$D$2:$L$71,L425,M425)*100,0)/6000)&gt;0,INT(ROUND(INDEX(Нормативы!$D$2:$L$71,L425,M425)*100,0)/6000)&amp;":"&amp;RIGHT("0"&amp;INT(MOD(ROUND(INDEX(Нормативы!$D$2:$L$71,L425,M425)*100,0),6000)/100),2),INT(MOD(ROUND(INDEX(Нормативы!$D$2:$L$71,L425,M425)*100,0),6000)/100))&amp;"."&amp;RIGHT("0"&amp;MOD(ROUND(INDEX(Нормативы!$D$2:$L$71,L425,M425)*100,0),100),2)))</f>
        <v/>
      </c>
      <c r="J425" s="12" t="str">
        <f aca="false">IF(D425="","",SUMIFS('Базовые времена'!$D$2:$D$71,'Базовые времена'!$A$2:$A$71,B425,'Базовые времена'!$B$2:$B$71,C425,'Базовые времена'!$C$2:$C$71,D425))</f>
        <v/>
      </c>
      <c r="K425" s="12" t="str">
        <f aca="false">IF(E425="","",IF(ISNUMBER(E425),IF(E425&lt;1,E425*86400,E425),IFERROR(IF(ISNUMBER(FIND(":",SUBSTITUTE(TRIM(E425),",","."))),VALUE(LEFT(SUBSTITUTE(TRIM(E425),",","."),FIND(":",SUBSTITUTE(TRIM(E425),",","."))-1))*60+_xlfn.NUMBERVALUE(MID(SUBSTITUTE(TRIM(E425),",","."),FIND(":",SUBSTITUTE(TRIM(E425),",","."))+1,99),"."),_xlfn.NUMBERVALUE(SUBSTITUTE(TRIM(E425),",","."),".")),0)))</f>
        <v/>
      </c>
      <c r="L425" s="3" t="str">
        <f aca="false">IF(OR(D425="",N(K425)&lt;=0),"",IFERROR(MATCH(B425&amp;"|"&amp;C425&amp;"|"&amp;D425,Нормативы!$M$2:$M$71,0),""))</f>
        <v/>
      </c>
      <c r="M425" s="3" t="str">
        <f aca="false">IF(L425="","",SUMPRODUCT((INDEX(Нормативы!$D$2:$L$71,L425,0)&lt;K425)*ISNUMBER(INDEX(Нормативы!$D$2:$L$71,L425,0))))</f>
        <v/>
      </c>
    </row>
    <row r="426" customFormat="false" ht="15" hidden="false" customHeight="false" outlineLevel="0" collapsed="false">
      <c r="A426" s="5"/>
      <c r="B426" s="5"/>
      <c r="C426" s="5"/>
      <c r="D426" s="5"/>
      <c r="E426" s="14"/>
      <c r="F426" s="4" t="str">
        <f aca="false">IF(OR(J426="",K426="",N(J426)=0,N(K426)&lt;=0),"",ROUNDDOWN(1000*(J426/K426)^3,0))</f>
        <v/>
      </c>
      <c r="G426" s="4" t="str">
        <f aca="false">IF(M426="","",IF(M426+1&gt;COUNT(INDEX(Нормативы!$D$2:$L$71,L426,0)),"Разряда нет",INDEX(Нормативы!$D$1:$L$1,1,M426+1)))</f>
        <v/>
      </c>
      <c r="H426" s="2" t="str">
        <f aca="false">IF(M426="","",IF(M426=0,"—",INDEX(Нормативы!$D$1:$L$1,1,M426)))</f>
        <v/>
      </c>
      <c r="I426" s="7" t="str">
        <f aca="false">IF(M426="","",IF(M426=0,"",IF(INT(ROUND(INDEX(Нормативы!$D$2:$L$71,L426,M426)*100,0)/6000)&gt;0,INT(ROUND(INDEX(Нормативы!$D$2:$L$71,L426,M426)*100,0)/6000)&amp;":"&amp;RIGHT("0"&amp;INT(MOD(ROUND(INDEX(Нормативы!$D$2:$L$71,L426,M426)*100,0),6000)/100),2),INT(MOD(ROUND(INDEX(Нормативы!$D$2:$L$71,L426,M426)*100,0),6000)/100))&amp;"."&amp;RIGHT("0"&amp;MOD(ROUND(INDEX(Нормативы!$D$2:$L$71,L426,M426)*100,0),100),2)))</f>
        <v/>
      </c>
      <c r="J426" s="12" t="str">
        <f aca="false">IF(D426="","",SUMIFS('Базовые времена'!$D$2:$D$71,'Базовые времена'!$A$2:$A$71,B426,'Базовые времена'!$B$2:$B$71,C426,'Базовые времена'!$C$2:$C$71,D426))</f>
        <v/>
      </c>
      <c r="K426" s="12" t="str">
        <f aca="false">IF(E426="","",IF(ISNUMBER(E426),IF(E426&lt;1,E426*86400,E426),IFERROR(IF(ISNUMBER(FIND(":",SUBSTITUTE(TRIM(E426),",","."))),VALUE(LEFT(SUBSTITUTE(TRIM(E426),",","."),FIND(":",SUBSTITUTE(TRIM(E426),",","."))-1))*60+_xlfn.NUMBERVALUE(MID(SUBSTITUTE(TRIM(E426),",","."),FIND(":",SUBSTITUTE(TRIM(E426),",","."))+1,99),"."),_xlfn.NUMBERVALUE(SUBSTITUTE(TRIM(E426),",","."),".")),0)))</f>
        <v/>
      </c>
      <c r="L426" s="3" t="str">
        <f aca="false">IF(OR(D426="",N(K426)&lt;=0),"",IFERROR(MATCH(B426&amp;"|"&amp;C426&amp;"|"&amp;D426,Нормативы!$M$2:$M$71,0),""))</f>
        <v/>
      </c>
      <c r="M426" s="3" t="str">
        <f aca="false">IF(L426="","",SUMPRODUCT((INDEX(Нормативы!$D$2:$L$71,L426,0)&lt;K426)*ISNUMBER(INDEX(Нормативы!$D$2:$L$71,L426,0))))</f>
        <v/>
      </c>
    </row>
    <row r="427" customFormat="false" ht="15" hidden="false" customHeight="false" outlineLevel="0" collapsed="false">
      <c r="A427" s="5"/>
      <c r="B427" s="5"/>
      <c r="C427" s="5"/>
      <c r="D427" s="5"/>
      <c r="E427" s="14"/>
      <c r="F427" s="4" t="str">
        <f aca="false">IF(OR(J427="",K427="",N(J427)=0,N(K427)&lt;=0),"",ROUNDDOWN(1000*(J427/K427)^3,0))</f>
        <v/>
      </c>
      <c r="G427" s="4" t="str">
        <f aca="false">IF(M427="","",IF(M427+1&gt;COUNT(INDEX(Нормативы!$D$2:$L$71,L427,0)),"Разряда нет",INDEX(Нормативы!$D$1:$L$1,1,M427+1)))</f>
        <v/>
      </c>
      <c r="H427" s="2" t="str">
        <f aca="false">IF(M427="","",IF(M427=0,"—",INDEX(Нормативы!$D$1:$L$1,1,M427)))</f>
        <v/>
      </c>
      <c r="I427" s="7" t="str">
        <f aca="false">IF(M427="","",IF(M427=0,"",IF(INT(ROUND(INDEX(Нормативы!$D$2:$L$71,L427,M427)*100,0)/6000)&gt;0,INT(ROUND(INDEX(Нормативы!$D$2:$L$71,L427,M427)*100,0)/6000)&amp;":"&amp;RIGHT("0"&amp;INT(MOD(ROUND(INDEX(Нормативы!$D$2:$L$71,L427,M427)*100,0),6000)/100),2),INT(MOD(ROUND(INDEX(Нормативы!$D$2:$L$71,L427,M427)*100,0),6000)/100))&amp;"."&amp;RIGHT("0"&amp;MOD(ROUND(INDEX(Нормативы!$D$2:$L$71,L427,M427)*100,0),100),2)))</f>
        <v/>
      </c>
      <c r="J427" s="12" t="str">
        <f aca="false">IF(D427="","",SUMIFS('Базовые времена'!$D$2:$D$71,'Базовые времена'!$A$2:$A$71,B427,'Базовые времена'!$B$2:$B$71,C427,'Базовые времена'!$C$2:$C$71,D427))</f>
        <v/>
      </c>
      <c r="K427" s="12" t="str">
        <f aca="false">IF(E427="","",IF(ISNUMBER(E427),IF(E427&lt;1,E427*86400,E427),IFERROR(IF(ISNUMBER(FIND(":",SUBSTITUTE(TRIM(E427),",","."))),VALUE(LEFT(SUBSTITUTE(TRIM(E427),",","."),FIND(":",SUBSTITUTE(TRIM(E427),",","."))-1))*60+_xlfn.NUMBERVALUE(MID(SUBSTITUTE(TRIM(E427),",","."),FIND(":",SUBSTITUTE(TRIM(E427),",","."))+1,99),"."),_xlfn.NUMBERVALUE(SUBSTITUTE(TRIM(E427),",","."),".")),0)))</f>
        <v/>
      </c>
      <c r="L427" s="3" t="str">
        <f aca="false">IF(OR(D427="",N(K427)&lt;=0),"",IFERROR(MATCH(B427&amp;"|"&amp;C427&amp;"|"&amp;D427,Нормативы!$M$2:$M$71,0),""))</f>
        <v/>
      </c>
      <c r="M427" s="3" t="str">
        <f aca="false">IF(L427="","",SUMPRODUCT((INDEX(Нормативы!$D$2:$L$71,L427,0)&lt;K427)*ISNUMBER(INDEX(Нормативы!$D$2:$L$71,L427,0))))</f>
        <v/>
      </c>
    </row>
    <row r="428" customFormat="false" ht="15" hidden="false" customHeight="false" outlineLevel="0" collapsed="false">
      <c r="A428" s="5"/>
      <c r="B428" s="5"/>
      <c r="C428" s="5"/>
      <c r="D428" s="5"/>
      <c r="E428" s="14"/>
      <c r="F428" s="4" t="str">
        <f aca="false">IF(OR(J428="",K428="",N(J428)=0,N(K428)&lt;=0),"",ROUNDDOWN(1000*(J428/K428)^3,0))</f>
        <v/>
      </c>
      <c r="G428" s="4" t="str">
        <f aca="false">IF(M428="","",IF(M428+1&gt;COUNT(INDEX(Нормативы!$D$2:$L$71,L428,0)),"Разряда нет",INDEX(Нормативы!$D$1:$L$1,1,M428+1)))</f>
        <v/>
      </c>
      <c r="H428" s="2" t="str">
        <f aca="false">IF(M428="","",IF(M428=0,"—",INDEX(Нормативы!$D$1:$L$1,1,M428)))</f>
        <v/>
      </c>
      <c r="I428" s="7" t="str">
        <f aca="false">IF(M428="","",IF(M428=0,"",IF(INT(ROUND(INDEX(Нормативы!$D$2:$L$71,L428,M428)*100,0)/6000)&gt;0,INT(ROUND(INDEX(Нормативы!$D$2:$L$71,L428,M428)*100,0)/6000)&amp;":"&amp;RIGHT("0"&amp;INT(MOD(ROUND(INDEX(Нормативы!$D$2:$L$71,L428,M428)*100,0),6000)/100),2),INT(MOD(ROUND(INDEX(Нормативы!$D$2:$L$71,L428,M428)*100,0),6000)/100))&amp;"."&amp;RIGHT("0"&amp;MOD(ROUND(INDEX(Нормативы!$D$2:$L$71,L428,M428)*100,0),100),2)))</f>
        <v/>
      </c>
      <c r="J428" s="12" t="str">
        <f aca="false">IF(D428="","",SUMIFS('Базовые времена'!$D$2:$D$71,'Базовые времена'!$A$2:$A$71,B428,'Базовые времена'!$B$2:$B$71,C428,'Базовые времена'!$C$2:$C$71,D428))</f>
        <v/>
      </c>
      <c r="K428" s="12" t="str">
        <f aca="false">IF(E428="","",IF(ISNUMBER(E428),IF(E428&lt;1,E428*86400,E428),IFERROR(IF(ISNUMBER(FIND(":",SUBSTITUTE(TRIM(E428),",","."))),VALUE(LEFT(SUBSTITUTE(TRIM(E428),",","."),FIND(":",SUBSTITUTE(TRIM(E428),",","."))-1))*60+_xlfn.NUMBERVALUE(MID(SUBSTITUTE(TRIM(E428),",","."),FIND(":",SUBSTITUTE(TRIM(E428),",","."))+1,99),"."),_xlfn.NUMBERVALUE(SUBSTITUTE(TRIM(E428),",","."),".")),0)))</f>
        <v/>
      </c>
      <c r="L428" s="3" t="str">
        <f aca="false">IF(OR(D428="",N(K428)&lt;=0),"",IFERROR(MATCH(B428&amp;"|"&amp;C428&amp;"|"&amp;D428,Нормативы!$M$2:$M$71,0),""))</f>
        <v/>
      </c>
      <c r="M428" s="3" t="str">
        <f aca="false">IF(L428="","",SUMPRODUCT((INDEX(Нормативы!$D$2:$L$71,L428,0)&lt;K428)*ISNUMBER(INDEX(Нормативы!$D$2:$L$71,L428,0))))</f>
        <v/>
      </c>
    </row>
    <row r="429" customFormat="false" ht="15" hidden="false" customHeight="false" outlineLevel="0" collapsed="false">
      <c r="A429" s="5"/>
      <c r="B429" s="5"/>
      <c r="C429" s="5"/>
      <c r="D429" s="5"/>
      <c r="E429" s="14"/>
      <c r="F429" s="4" t="str">
        <f aca="false">IF(OR(J429="",K429="",N(J429)=0,N(K429)&lt;=0),"",ROUNDDOWN(1000*(J429/K429)^3,0))</f>
        <v/>
      </c>
      <c r="G429" s="4" t="str">
        <f aca="false">IF(M429="","",IF(M429+1&gt;COUNT(INDEX(Нормативы!$D$2:$L$71,L429,0)),"Разряда нет",INDEX(Нормативы!$D$1:$L$1,1,M429+1)))</f>
        <v/>
      </c>
      <c r="H429" s="2" t="str">
        <f aca="false">IF(M429="","",IF(M429=0,"—",INDEX(Нормативы!$D$1:$L$1,1,M429)))</f>
        <v/>
      </c>
      <c r="I429" s="7" t="str">
        <f aca="false">IF(M429="","",IF(M429=0,"",IF(INT(ROUND(INDEX(Нормативы!$D$2:$L$71,L429,M429)*100,0)/6000)&gt;0,INT(ROUND(INDEX(Нормативы!$D$2:$L$71,L429,M429)*100,0)/6000)&amp;":"&amp;RIGHT("0"&amp;INT(MOD(ROUND(INDEX(Нормативы!$D$2:$L$71,L429,M429)*100,0),6000)/100),2),INT(MOD(ROUND(INDEX(Нормативы!$D$2:$L$71,L429,M429)*100,0),6000)/100))&amp;"."&amp;RIGHT("0"&amp;MOD(ROUND(INDEX(Нормативы!$D$2:$L$71,L429,M429)*100,0),100),2)))</f>
        <v/>
      </c>
      <c r="J429" s="12" t="str">
        <f aca="false">IF(D429="","",SUMIFS('Базовые времена'!$D$2:$D$71,'Базовые времена'!$A$2:$A$71,B429,'Базовые времена'!$B$2:$B$71,C429,'Базовые времена'!$C$2:$C$71,D429))</f>
        <v/>
      </c>
      <c r="K429" s="12" t="str">
        <f aca="false">IF(E429="","",IF(ISNUMBER(E429),IF(E429&lt;1,E429*86400,E429),IFERROR(IF(ISNUMBER(FIND(":",SUBSTITUTE(TRIM(E429),",","."))),VALUE(LEFT(SUBSTITUTE(TRIM(E429),",","."),FIND(":",SUBSTITUTE(TRIM(E429),",","."))-1))*60+_xlfn.NUMBERVALUE(MID(SUBSTITUTE(TRIM(E429),",","."),FIND(":",SUBSTITUTE(TRIM(E429),",","."))+1,99),"."),_xlfn.NUMBERVALUE(SUBSTITUTE(TRIM(E429),",","."),".")),0)))</f>
        <v/>
      </c>
      <c r="L429" s="3" t="str">
        <f aca="false">IF(OR(D429="",N(K429)&lt;=0),"",IFERROR(MATCH(B429&amp;"|"&amp;C429&amp;"|"&amp;D429,Нормативы!$M$2:$M$71,0),""))</f>
        <v/>
      </c>
      <c r="M429" s="3" t="str">
        <f aca="false">IF(L429="","",SUMPRODUCT((INDEX(Нормативы!$D$2:$L$71,L429,0)&lt;K429)*ISNUMBER(INDEX(Нормативы!$D$2:$L$71,L429,0))))</f>
        <v/>
      </c>
    </row>
    <row r="430" customFormat="false" ht="15" hidden="false" customHeight="false" outlineLevel="0" collapsed="false">
      <c r="A430" s="5"/>
      <c r="B430" s="5"/>
      <c r="C430" s="5"/>
      <c r="D430" s="5"/>
      <c r="E430" s="14"/>
      <c r="F430" s="4" t="str">
        <f aca="false">IF(OR(J430="",K430="",N(J430)=0,N(K430)&lt;=0),"",ROUNDDOWN(1000*(J430/K430)^3,0))</f>
        <v/>
      </c>
      <c r="G430" s="4" t="str">
        <f aca="false">IF(M430="","",IF(M430+1&gt;COUNT(INDEX(Нормативы!$D$2:$L$71,L430,0)),"Разряда нет",INDEX(Нормативы!$D$1:$L$1,1,M430+1)))</f>
        <v/>
      </c>
      <c r="H430" s="2" t="str">
        <f aca="false">IF(M430="","",IF(M430=0,"—",INDEX(Нормативы!$D$1:$L$1,1,M430)))</f>
        <v/>
      </c>
      <c r="I430" s="7" t="str">
        <f aca="false">IF(M430="","",IF(M430=0,"",IF(INT(ROUND(INDEX(Нормативы!$D$2:$L$71,L430,M430)*100,0)/6000)&gt;0,INT(ROUND(INDEX(Нормативы!$D$2:$L$71,L430,M430)*100,0)/6000)&amp;":"&amp;RIGHT("0"&amp;INT(MOD(ROUND(INDEX(Нормативы!$D$2:$L$71,L430,M430)*100,0),6000)/100),2),INT(MOD(ROUND(INDEX(Нормативы!$D$2:$L$71,L430,M430)*100,0),6000)/100))&amp;"."&amp;RIGHT("0"&amp;MOD(ROUND(INDEX(Нормативы!$D$2:$L$71,L430,M430)*100,0),100),2)))</f>
        <v/>
      </c>
      <c r="J430" s="12" t="str">
        <f aca="false">IF(D430="","",SUMIFS('Базовые времена'!$D$2:$D$71,'Базовые времена'!$A$2:$A$71,B430,'Базовые времена'!$B$2:$B$71,C430,'Базовые времена'!$C$2:$C$71,D430))</f>
        <v/>
      </c>
      <c r="K430" s="12" t="str">
        <f aca="false">IF(E430="","",IF(ISNUMBER(E430),IF(E430&lt;1,E430*86400,E430),IFERROR(IF(ISNUMBER(FIND(":",SUBSTITUTE(TRIM(E430),",","."))),VALUE(LEFT(SUBSTITUTE(TRIM(E430),",","."),FIND(":",SUBSTITUTE(TRIM(E430),",","."))-1))*60+_xlfn.NUMBERVALUE(MID(SUBSTITUTE(TRIM(E430),",","."),FIND(":",SUBSTITUTE(TRIM(E430),",","."))+1,99),"."),_xlfn.NUMBERVALUE(SUBSTITUTE(TRIM(E430),",","."),".")),0)))</f>
        <v/>
      </c>
      <c r="L430" s="3" t="str">
        <f aca="false">IF(OR(D430="",N(K430)&lt;=0),"",IFERROR(MATCH(B430&amp;"|"&amp;C430&amp;"|"&amp;D430,Нормативы!$M$2:$M$71,0),""))</f>
        <v/>
      </c>
      <c r="M430" s="3" t="str">
        <f aca="false">IF(L430="","",SUMPRODUCT((INDEX(Нормативы!$D$2:$L$71,L430,0)&lt;K430)*ISNUMBER(INDEX(Нормативы!$D$2:$L$71,L430,0))))</f>
        <v/>
      </c>
    </row>
    <row r="431" customFormat="false" ht="15" hidden="false" customHeight="false" outlineLevel="0" collapsed="false">
      <c r="A431" s="5"/>
      <c r="B431" s="5"/>
      <c r="C431" s="5"/>
      <c r="D431" s="5"/>
      <c r="E431" s="14"/>
      <c r="F431" s="4" t="str">
        <f aca="false">IF(OR(J431="",K431="",N(J431)=0,N(K431)&lt;=0),"",ROUNDDOWN(1000*(J431/K431)^3,0))</f>
        <v/>
      </c>
      <c r="G431" s="4" t="str">
        <f aca="false">IF(M431="","",IF(M431+1&gt;COUNT(INDEX(Нормативы!$D$2:$L$71,L431,0)),"Разряда нет",INDEX(Нормативы!$D$1:$L$1,1,M431+1)))</f>
        <v/>
      </c>
      <c r="H431" s="2" t="str">
        <f aca="false">IF(M431="","",IF(M431=0,"—",INDEX(Нормативы!$D$1:$L$1,1,M431)))</f>
        <v/>
      </c>
      <c r="I431" s="7" t="str">
        <f aca="false">IF(M431="","",IF(M431=0,"",IF(INT(ROUND(INDEX(Нормативы!$D$2:$L$71,L431,M431)*100,0)/6000)&gt;0,INT(ROUND(INDEX(Нормативы!$D$2:$L$71,L431,M431)*100,0)/6000)&amp;":"&amp;RIGHT("0"&amp;INT(MOD(ROUND(INDEX(Нормативы!$D$2:$L$71,L431,M431)*100,0),6000)/100),2),INT(MOD(ROUND(INDEX(Нормативы!$D$2:$L$71,L431,M431)*100,0),6000)/100))&amp;"."&amp;RIGHT("0"&amp;MOD(ROUND(INDEX(Нормативы!$D$2:$L$71,L431,M431)*100,0),100),2)))</f>
        <v/>
      </c>
      <c r="J431" s="12" t="str">
        <f aca="false">IF(D431="","",SUMIFS('Базовые времена'!$D$2:$D$71,'Базовые времена'!$A$2:$A$71,B431,'Базовые времена'!$B$2:$B$71,C431,'Базовые времена'!$C$2:$C$71,D431))</f>
        <v/>
      </c>
      <c r="K431" s="12" t="str">
        <f aca="false">IF(E431="","",IF(ISNUMBER(E431),IF(E431&lt;1,E431*86400,E431),IFERROR(IF(ISNUMBER(FIND(":",SUBSTITUTE(TRIM(E431),",","."))),VALUE(LEFT(SUBSTITUTE(TRIM(E431),",","."),FIND(":",SUBSTITUTE(TRIM(E431),",","."))-1))*60+_xlfn.NUMBERVALUE(MID(SUBSTITUTE(TRIM(E431),",","."),FIND(":",SUBSTITUTE(TRIM(E431),",","."))+1,99),"."),_xlfn.NUMBERVALUE(SUBSTITUTE(TRIM(E431),",","."),".")),0)))</f>
        <v/>
      </c>
      <c r="L431" s="3" t="str">
        <f aca="false">IF(OR(D431="",N(K431)&lt;=0),"",IFERROR(MATCH(B431&amp;"|"&amp;C431&amp;"|"&amp;D431,Нормативы!$M$2:$M$71,0),""))</f>
        <v/>
      </c>
      <c r="M431" s="3" t="str">
        <f aca="false">IF(L431="","",SUMPRODUCT((INDEX(Нормативы!$D$2:$L$71,L431,0)&lt;K431)*ISNUMBER(INDEX(Нормативы!$D$2:$L$71,L431,0))))</f>
        <v/>
      </c>
    </row>
    <row r="432" customFormat="false" ht="15" hidden="false" customHeight="false" outlineLevel="0" collapsed="false">
      <c r="A432" s="5"/>
      <c r="B432" s="5"/>
      <c r="C432" s="5"/>
      <c r="D432" s="5"/>
      <c r="E432" s="14"/>
      <c r="F432" s="4" t="str">
        <f aca="false">IF(OR(J432="",K432="",N(J432)=0,N(K432)&lt;=0),"",ROUNDDOWN(1000*(J432/K432)^3,0))</f>
        <v/>
      </c>
      <c r="G432" s="4" t="str">
        <f aca="false">IF(M432="","",IF(M432+1&gt;COUNT(INDEX(Нормативы!$D$2:$L$71,L432,0)),"Разряда нет",INDEX(Нормативы!$D$1:$L$1,1,M432+1)))</f>
        <v/>
      </c>
      <c r="H432" s="2" t="str">
        <f aca="false">IF(M432="","",IF(M432=0,"—",INDEX(Нормативы!$D$1:$L$1,1,M432)))</f>
        <v/>
      </c>
      <c r="I432" s="7" t="str">
        <f aca="false">IF(M432="","",IF(M432=0,"",IF(INT(ROUND(INDEX(Нормативы!$D$2:$L$71,L432,M432)*100,0)/6000)&gt;0,INT(ROUND(INDEX(Нормативы!$D$2:$L$71,L432,M432)*100,0)/6000)&amp;":"&amp;RIGHT("0"&amp;INT(MOD(ROUND(INDEX(Нормативы!$D$2:$L$71,L432,M432)*100,0),6000)/100),2),INT(MOD(ROUND(INDEX(Нормативы!$D$2:$L$71,L432,M432)*100,0),6000)/100))&amp;"."&amp;RIGHT("0"&amp;MOD(ROUND(INDEX(Нормативы!$D$2:$L$71,L432,M432)*100,0),100),2)))</f>
        <v/>
      </c>
      <c r="J432" s="12" t="str">
        <f aca="false">IF(D432="","",SUMIFS('Базовые времена'!$D$2:$D$71,'Базовые времена'!$A$2:$A$71,B432,'Базовые времена'!$B$2:$B$71,C432,'Базовые времена'!$C$2:$C$71,D432))</f>
        <v/>
      </c>
      <c r="K432" s="12" t="str">
        <f aca="false">IF(E432="","",IF(ISNUMBER(E432),IF(E432&lt;1,E432*86400,E432),IFERROR(IF(ISNUMBER(FIND(":",SUBSTITUTE(TRIM(E432),",","."))),VALUE(LEFT(SUBSTITUTE(TRIM(E432),",","."),FIND(":",SUBSTITUTE(TRIM(E432),",","."))-1))*60+_xlfn.NUMBERVALUE(MID(SUBSTITUTE(TRIM(E432),",","."),FIND(":",SUBSTITUTE(TRIM(E432),",","."))+1,99),"."),_xlfn.NUMBERVALUE(SUBSTITUTE(TRIM(E432),",","."),".")),0)))</f>
        <v/>
      </c>
      <c r="L432" s="3" t="str">
        <f aca="false">IF(OR(D432="",N(K432)&lt;=0),"",IFERROR(MATCH(B432&amp;"|"&amp;C432&amp;"|"&amp;D432,Нормативы!$M$2:$M$71,0),""))</f>
        <v/>
      </c>
      <c r="M432" s="3" t="str">
        <f aca="false">IF(L432="","",SUMPRODUCT((INDEX(Нормативы!$D$2:$L$71,L432,0)&lt;K432)*ISNUMBER(INDEX(Нормативы!$D$2:$L$71,L432,0))))</f>
        <v/>
      </c>
    </row>
    <row r="433" customFormat="false" ht="15" hidden="false" customHeight="false" outlineLevel="0" collapsed="false">
      <c r="A433" s="5"/>
      <c r="B433" s="5"/>
      <c r="C433" s="5"/>
      <c r="D433" s="5"/>
      <c r="E433" s="14"/>
      <c r="F433" s="4" t="str">
        <f aca="false">IF(OR(J433="",K433="",N(J433)=0,N(K433)&lt;=0),"",ROUNDDOWN(1000*(J433/K433)^3,0))</f>
        <v/>
      </c>
      <c r="G433" s="4" t="str">
        <f aca="false">IF(M433="","",IF(M433+1&gt;COUNT(INDEX(Нормативы!$D$2:$L$71,L433,0)),"Разряда нет",INDEX(Нормативы!$D$1:$L$1,1,M433+1)))</f>
        <v/>
      </c>
      <c r="H433" s="2" t="str">
        <f aca="false">IF(M433="","",IF(M433=0,"—",INDEX(Нормативы!$D$1:$L$1,1,M433)))</f>
        <v/>
      </c>
      <c r="I433" s="7" t="str">
        <f aca="false">IF(M433="","",IF(M433=0,"",IF(INT(ROUND(INDEX(Нормативы!$D$2:$L$71,L433,M433)*100,0)/6000)&gt;0,INT(ROUND(INDEX(Нормативы!$D$2:$L$71,L433,M433)*100,0)/6000)&amp;":"&amp;RIGHT("0"&amp;INT(MOD(ROUND(INDEX(Нормативы!$D$2:$L$71,L433,M433)*100,0),6000)/100),2),INT(MOD(ROUND(INDEX(Нормативы!$D$2:$L$71,L433,M433)*100,0),6000)/100))&amp;"."&amp;RIGHT("0"&amp;MOD(ROUND(INDEX(Нормативы!$D$2:$L$71,L433,M433)*100,0),100),2)))</f>
        <v/>
      </c>
      <c r="J433" s="12" t="str">
        <f aca="false">IF(D433="","",SUMIFS('Базовые времена'!$D$2:$D$71,'Базовые времена'!$A$2:$A$71,B433,'Базовые времена'!$B$2:$B$71,C433,'Базовые времена'!$C$2:$C$71,D433))</f>
        <v/>
      </c>
      <c r="K433" s="12" t="str">
        <f aca="false">IF(E433="","",IF(ISNUMBER(E433),IF(E433&lt;1,E433*86400,E433),IFERROR(IF(ISNUMBER(FIND(":",SUBSTITUTE(TRIM(E433),",","."))),VALUE(LEFT(SUBSTITUTE(TRIM(E433),",","."),FIND(":",SUBSTITUTE(TRIM(E433),",","."))-1))*60+_xlfn.NUMBERVALUE(MID(SUBSTITUTE(TRIM(E433),",","."),FIND(":",SUBSTITUTE(TRIM(E433),",","."))+1,99),"."),_xlfn.NUMBERVALUE(SUBSTITUTE(TRIM(E433),",","."),".")),0)))</f>
        <v/>
      </c>
      <c r="L433" s="3" t="str">
        <f aca="false">IF(OR(D433="",N(K433)&lt;=0),"",IFERROR(MATCH(B433&amp;"|"&amp;C433&amp;"|"&amp;D433,Нормативы!$M$2:$M$71,0),""))</f>
        <v/>
      </c>
      <c r="M433" s="3" t="str">
        <f aca="false">IF(L433="","",SUMPRODUCT((INDEX(Нормативы!$D$2:$L$71,L433,0)&lt;K433)*ISNUMBER(INDEX(Нормативы!$D$2:$L$71,L433,0))))</f>
        <v/>
      </c>
    </row>
    <row r="434" customFormat="false" ht="15" hidden="false" customHeight="false" outlineLevel="0" collapsed="false">
      <c r="A434" s="5"/>
      <c r="B434" s="5"/>
      <c r="C434" s="5"/>
      <c r="D434" s="5"/>
      <c r="E434" s="14"/>
      <c r="F434" s="4" t="str">
        <f aca="false">IF(OR(J434="",K434="",N(J434)=0,N(K434)&lt;=0),"",ROUNDDOWN(1000*(J434/K434)^3,0))</f>
        <v/>
      </c>
      <c r="G434" s="4" t="str">
        <f aca="false">IF(M434="","",IF(M434+1&gt;COUNT(INDEX(Нормативы!$D$2:$L$71,L434,0)),"Разряда нет",INDEX(Нормативы!$D$1:$L$1,1,M434+1)))</f>
        <v/>
      </c>
      <c r="H434" s="2" t="str">
        <f aca="false">IF(M434="","",IF(M434=0,"—",INDEX(Нормативы!$D$1:$L$1,1,M434)))</f>
        <v/>
      </c>
      <c r="I434" s="7" t="str">
        <f aca="false">IF(M434="","",IF(M434=0,"",IF(INT(ROUND(INDEX(Нормативы!$D$2:$L$71,L434,M434)*100,0)/6000)&gt;0,INT(ROUND(INDEX(Нормативы!$D$2:$L$71,L434,M434)*100,0)/6000)&amp;":"&amp;RIGHT("0"&amp;INT(MOD(ROUND(INDEX(Нормативы!$D$2:$L$71,L434,M434)*100,0),6000)/100),2),INT(MOD(ROUND(INDEX(Нормативы!$D$2:$L$71,L434,M434)*100,0),6000)/100))&amp;"."&amp;RIGHT("0"&amp;MOD(ROUND(INDEX(Нормативы!$D$2:$L$71,L434,M434)*100,0),100),2)))</f>
        <v/>
      </c>
      <c r="J434" s="12" t="str">
        <f aca="false">IF(D434="","",SUMIFS('Базовые времена'!$D$2:$D$71,'Базовые времена'!$A$2:$A$71,B434,'Базовые времена'!$B$2:$B$71,C434,'Базовые времена'!$C$2:$C$71,D434))</f>
        <v/>
      </c>
      <c r="K434" s="12" t="str">
        <f aca="false">IF(E434="","",IF(ISNUMBER(E434),IF(E434&lt;1,E434*86400,E434),IFERROR(IF(ISNUMBER(FIND(":",SUBSTITUTE(TRIM(E434),",","."))),VALUE(LEFT(SUBSTITUTE(TRIM(E434),",","."),FIND(":",SUBSTITUTE(TRIM(E434),",","."))-1))*60+_xlfn.NUMBERVALUE(MID(SUBSTITUTE(TRIM(E434),",","."),FIND(":",SUBSTITUTE(TRIM(E434),",","."))+1,99),"."),_xlfn.NUMBERVALUE(SUBSTITUTE(TRIM(E434),",","."),".")),0)))</f>
        <v/>
      </c>
      <c r="L434" s="3" t="str">
        <f aca="false">IF(OR(D434="",N(K434)&lt;=0),"",IFERROR(MATCH(B434&amp;"|"&amp;C434&amp;"|"&amp;D434,Нормативы!$M$2:$M$71,0),""))</f>
        <v/>
      </c>
      <c r="M434" s="3" t="str">
        <f aca="false">IF(L434="","",SUMPRODUCT((INDEX(Нормативы!$D$2:$L$71,L434,0)&lt;K434)*ISNUMBER(INDEX(Нормативы!$D$2:$L$71,L434,0))))</f>
        <v/>
      </c>
    </row>
    <row r="435" customFormat="false" ht="15" hidden="false" customHeight="false" outlineLevel="0" collapsed="false">
      <c r="A435" s="5"/>
      <c r="B435" s="5"/>
      <c r="C435" s="5"/>
      <c r="D435" s="5"/>
      <c r="E435" s="14"/>
      <c r="F435" s="4" t="str">
        <f aca="false">IF(OR(J435="",K435="",N(J435)=0,N(K435)&lt;=0),"",ROUNDDOWN(1000*(J435/K435)^3,0))</f>
        <v/>
      </c>
      <c r="G435" s="4" t="str">
        <f aca="false">IF(M435="","",IF(M435+1&gt;COUNT(INDEX(Нормативы!$D$2:$L$71,L435,0)),"Разряда нет",INDEX(Нормативы!$D$1:$L$1,1,M435+1)))</f>
        <v/>
      </c>
      <c r="H435" s="2" t="str">
        <f aca="false">IF(M435="","",IF(M435=0,"—",INDEX(Нормативы!$D$1:$L$1,1,M435)))</f>
        <v/>
      </c>
      <c r="I435" s="7" t="str">
        <f aca="false">IF(M435="","",IF(M435=0,"",IF(INT(ROUND(INDEX(Нормативы!$D$2:$L$71,L435,M435)*100,0)/6000)&gt;0,INT(ROUND(INDEX(Нормативы!$D$2:$L$71,L435,M435)*100,0)/6000)&amp;":"&amp;RIGHT("0"&amp;INT(MOD(ROUND(INDEX(Нормативы!$D$2:$L$71,L435,M435)*100,0),6000)/100),2),INT(MOD(ROUND(INDEX(Нормативы!$D$2:$L$71,L435,M435)*100,0),6000)/100))&amp;"."&amp;RIGHT("0"&amp;MOD(ROUND(INDEX(Нормативы!$D$2:$L$71,L435,M435)*100,0),100),2)))</f>
        <v/>
      </c>
      <c r="J435" s="12" t="str">
        <f aca="false">IF(D435="","",SUMIFS('Базовые времена'!$D$2:$D$71,'Базовые времена'!$A$2:$A$71,B435,'Базовые времена'!$B$2:$B$71,C435,'Базовые времена'!$C$2:$C$71,D435))</f>
        <v/>
      </c>
      <c r="K435" s="12" t="str">
        <f aca="false">IF(E435="","",IF(ISNUMBER(E435),IF(E435&lt;1,E435*86400,E435),IFERROR(IF(ISNUMBER(FIND(":",SUBSTITUTE(TRIM(E435),",","."))),VALUE(LEFT(SUBSTITUTE(TRIM(E435),",","."),FIND(":",SUBSTITUTE(TRIM(E435),",","."))-1))*60+_xlfn.NUMBERVALUE(MID(SUBSTITUTE(TRIM(E435),",","."),FIND(":",SUBSTITUTE(TRIM(E435),",","."))+1,99),"."),_xlfn.NUMBERVALUE(SUBSTITUTE(TRIM(E435),",","."),".")),0)))</f>
        <v/>
      </c>
      <c r="L435" s="3" t="str">
        <f aca="false">IF(OR(D435="",N(K435)&lt;=0),"",IFERROR(MATCH(B435&amp;"|"&amp;C435&amp;"|"&amp;D435,Нормативы!$M$2:$M$71,0),""))</f>
        <v/>
      </c>
      <c r="M435" s="3" t="str">
        <f aca="false">IF(L435="","",SUMPRODUCT((INDEX(Нормативы!$D$2:$L$71,L435,0)&lt;K435)*ISNUMBER(INDEX(Нормативы!$D$2:$L$71,L435,0))))</f>
        <v/>
      </c>
    </row>
    <row r="436" customFormat="false" ht="15" hidden="false" customHeight="false" outlineLevel="0" collapsed="false">
      <c r="A436" s="5"/>
      <c r="B436" s="5"/>
      <c r="C436" s="5"/>
      <c r="D436" s="5"/>
      <c r="E436" s="14"/>
      <c r="F436" s="4" t="str">
        <f aca="false">IF(OR(J436="",K436="",N(J436)=0,N(K436)&lt;=0),"",ROUNDDOWN(1000*(J436/K436)^3,0))</f>
        <v/>
      </c>
      <c r="G436" s="4" t="str">
        <f aca="false">IF(M436="","",IF(M436+1&gt;COUNT(INDEX(Нормативы!$D$2:$L$71,L436,0)),"Разряда нет",INDEX(Нормативы!$D$1:$L$1,1,M436+1)))</f>
        <v/>
      </c>
      <c r="H436" s="2" t="str">
        <f aca="false">IF(M436="","",IF(M436=0,"—",INDEX(Нормативы!$D$1:$L$1,1,M436)))</f>
        <v/>
      </c>
      <c r="I436" s="7" t="str">
        <f aca="false">IF(M436="","",IF(M436=0,"",IF(INT(ROUND(INDEX(Нормативы!$D$2:$L$71,L436,M436)*100,0)/6000)&gt;0,INT(ROUND(INDEX(Нормативы!$D$2:$L$71,L436,M436)*100,0)/6000)&amp;":"&amp;RIGHT("0"&amp;INT(MOD(ROUND(INDEX(Нормативы!$D$2:$L$71,L436,M436)*100,0),6000)/100),2),INT(MOD(ROUND(INDEX(Нормативы!$D$2:$L$71,L436,M436)*100,0),6000)/100))&amp;"."&amp;RIGHT("0"&amp;MOD(ROUND(INDEX(Нормативы!$D$2:$L$71,L436,M436)*100,0),100),2)))</f>
        <v/>
      </c>
      <c r="J436" s="12" t="str">
        <f aca="false">IF(D436="","",SUMIFS('Базовые времена'!$D$2:$D$71,'Базовые времена'!$A$2:$A$71,B436,'Базовые времена'!$B$2:$B$71,C436,'Базовые времена'!$C$2:$C$71,D436))</f>
        <v/>
      </c>
      <c r="K436" s="12" t="str">
        <f aca="false">IF(E436="","",IF(ISNUMBER(E436),IF(E436&lt;1,E436*86400,E436),IFERROR(IF(ISNUMBER(FIND(":",SUBSTITUTE(TRIM(E436),",","."))),VALUE(LEFT(SUBSTITUTE(TRIM(E436),",","."),FIND(":",SUBSTITUTE(TRIM(E436),",","."))-1))*60+_xlfn.NUMBERVALUE(MID(SUBSTITUTE(TRIM(E436),",","."),FIND(":",SUBSTITUTE(TRIM(E436),",","."))+1,99),"."),_xlfn.NUMBERVALUE(SUBSTITUTE(TRIM(E436),",","."),".")),0)))</f>
        <v/>
      </c>
      <c r="L436" s="3" t="str">
        <f aca="false">IF(OR(D436="",N(K436)&lt;=0),"",IFERROR(MATCH(B436&amp;"|"&amp;C436&amp;"|"&amp;D436,Нормативы!$M$2:$M$71,0),""))</f>
        <v/>
      </c>
      <c r="M436" s="3" t="str">
        <f aca="false">IF(L436="","",SUMPRODUCT((INDEX(Нормативы!$D$2:$L$71,L436,0)&lt;K436)*ISNUMBER(INDEX(Нормативы!$D$2:$L$71,L436,0))))</f>
        <v/>
      </c>
    </row>
    <row r="437" customFormat="false" ht="15" hidden="false" customHeight="false" outlineLevel="0" collapsed="false">
      <c r="A437" s="5"/>
      <c r="B437" s="5"/>
      <c r="C437" s="5"/>
      <c r="D437" s="5"/>
      <c r="E437" s="14"/>
      <c r="F437" s="4" t="str">
        <f aca="false">IF(OR(J437="",K437="",N(J437)=0,N(K437)&lt;=0),"",ROUNDDOWN(1000*(J437/K437)^3,0))</f>
        <v/>
      </c>
      <c r="G437" s="4" t="str">
        <f aca="false">IF(M437="","",IF(M437+1&gt;COUNT(INDEX(Нормативы!$D$2:$L$71,L437,0)),"Разряда нет",INDEX(Нормативы!$D$1:$L$1,1,M437+1)))</f>
        <v/>
      </c>
      <c r="H437" s="2" t="str">
        <f aca="false">IF(M437="","",IF(M437=0,"—",INDEX(Нормативы!$D$1:$L$1,1,M437)))</f>
        <v/>
      </c>
      <c r="I437" s="7" t="str">
        <f aca="false">IF(M437="","",IF(M437=0,"",IF(INT(ROUND(INDEX(Нормативы!$D$2:$L$71,L437,M437)*100,0)/6000)&gt;0,INT(ROUND(INDEX(Нормативы!$D$2:$L$71,L437,M437)*100,0)/6000)&amp;":"&amp;RIGHT("0"&amp;INT(MOD(ROUND(INDEX(Нормативы!$D$2:$L$71,L437,M437)*100,0),6000)/100),2),INT(MOD(ROUND(INDEX(Нормативы!$D$2:$L$71,L437,M437)*100,0),6000)/100))&amp;"."&amp;RIGHT("0"&amp;MOD(ROUND(INDEX(Нормативы!$D$2:$L$71,L437,M437)*100,0),100),2)))</f>
        <v/>
      </c>
      <c r="J437" s="12" t="str">
        <f aca="false">IF(D437="","",SUMIFS('Базовые времена'!$D$2:$D$71,'Базовые времена'!$A$2:$A$71,B437,'Базовые времена'!$B$2:$B$71,C437,'Базовые времена'!$C$2:$C$71,D437))</f>
        <v/>
      </c>
      <c r="K437" s="12" t="str">
        <f aca="false">IF(E437="","",IF(ISNUMBER(E437),IF(E437&lt;1,E437*86400,E437),IFERROR(IF(ISNUMBER(FIND(":",SUBSTITUTE(TRIM(E437),",","."))),VALUE(LEFT(SUBSTITUTE(TRIM(E437),",","."),FIND(":",SUBSTITUTE(TRIM(E437),",","."))-1))*60+_xlfn.NUMBERVALUE(MID(SUBSTITUTE(TRIM(E437),",","."),FIND(":",SUBSTITUTE(TRIM(E437),",","."))+1,99),"."),_xlfn.NUMBERVALUE(SUBSTITUTE(TRIM(E437),",","."),".")),0)))</f>
        <v/>
      </c>
      <c r="L437" s="3" t="str">
        <f aca="false">IF(OR(D437="",N(K437)&lt;=0),"",IFERROR(MATCH(B437&amp;"|"&amp;C437&amp;"|"&amp;D437,Нормативы!$M$2:$M$71,0),""))</f>
        <v/>
      </c>
      <c r="M437" s="3" t="str">
        <f aca="false">IF(L437="","",SUMPRODUCT((INDEX(Нормативы!$D$2:$L$71,L437,0)&lt;K437)*ISNUMBER(INDEX(Нормативы!$D$2:$L$71,L437,0))))</f>
        <v/>
      </c>
    </row>
    <row r="438" customFormat="false" ht="15" hidden="false" customHeight="false" outlineLevel="0" collapsed="false">
      <c r="A438" s="5"/>
      <c r="B438" s="5"/>
      <c r="C438" s="5"/>
      <c r="D438" s="5"/>
      <c r="E438" s="14"/>
      <c r="F438" s="4" t="str">
        <f aca="false">IF(OR(J438="",K438="",N(J438)=0,N(K438)&lt;=0),"",ROUNDDOWN(1000*(J438/K438)^3,0))</f>
        <v/>
      </c>
      <c r="G438" s="4" t="str">
        <f aca="false">IF(M438="","",IF(M438+1&gt;COUNT(INDEX(Нормативы!$D$2:$L$71,L438,0)),"Разряда нет",INDEX(Нормативы!$D$1:$L$1,1,M438+1)))</f>
        <v/>
      </c>
      <c r="H438" s="2" t="str">
        <f aca="false">IF(M438="","",IF(M438=0,"—",INDEX(Нормативы!$D$1:$L$1,1,M438)))</f>
        <v/>
      </c>
      <c r="I438" s="7" t="str">
        <f aca="false">IF(M438="","",IF(M438=0,"",IF(INT(ROUND(INDEX(Нормативы!$D$2:$L$71,L438,M438)*100,0)/6000)&gt;0,INT(ROUND(INDEX(Нормативы!$D$2:$L$71,L438,M438)*100,0)/6000)&amp;":"&amp;RIGHT("0"&amp;INT(MOD(ROUND(INDEX(Нормативы!$D$2:$L$71,L438,M438)*100,0),6000)/100),2),INT(MOD(ROUND(INDEX(Нормативы!$D$2:$L$71,L438,M438)*100,0),6000)/100))&amp;"."&amp;RIGHT("0"&amp;MOD(ROUND(INDEX(Нормативы!$D$2:$L$71,L438,M438)*100,0),100),2)))</f>
        <v/>
      </c>
      <c r="J438" s="12" t="str">
        <f aca="false">IF(D438="","",SUMIFS('Базовые времена'!$D$2:$D$71,'Базовые времена'!$A$2:$A$71,B438,'Базовые времена'!$B$2:$B$71,C438,'Базовые времена'!$C$2:$C$71,D438))</f>
        <v/>
      </c>
      <c r="K438" s="12" t="str">
        <f aca="false">IF(E438="","",IF(ISNUMBER(E438),IF(E438&lt;1,E438*86400,E438),IFERROR(IF(ISNUMBER(FIND(":",SUBSTITUTE(TRIM(E438),",","."))),VALUE(LEFT(SUBSTITUTE(TRIM(E438),",","."),FIND(":",SUBSTITUTE(TRIM(E438),",","."))-1))*60+_xlfn.NUMBERVALUE(MID(SUBSTITUTE(TRIM(E438),",","."),FIND(":",SUBSTITUTE(TRIM(E438),",","."))+1,99),"."),_xlfn.NUMBERVALUE(SUBSTITUTE(TRIM(E438),",","."),".")),0)))</f>
        <v/>
      </c>
      <c r="L438" s="3" t="str">
        <f aca="false">IF(OR(D438="",N(K438)&lt;=0),"",IFERROR(MATCH(B438&amp;"|"&amp;C438&amp;"|"&amp;D438,Нормативы!$M$2:$M$71,0),""))</f>
        <v/>
      </c>
      <c r="M438" s="3" t="str">
        <f aca="false">IF(L438="","",SUMPRODUCT((INDEX(Нормативы!$D$2:$L$71,L438,0)&lt;K438)*ISNUMBER(INDEX(Нормативы!$D$2:$L$71,L438,0))))</f>
        <v/>
      </c>
    </row>
    <row r="439" customFormat="false" ht="15" hidden="false" customHeight="false" outlineLevel="0" collapsed="false">
      <c r="A439" s="5"/>
      <c r="B439" s="5"/>
      <c r="C439" s="5"/>
      <c r="D439" s="5"/>
      <c r="E439" s="14"/>
      <c r="F439" s="4" t="str">
        <f aca="false">IF(OR(J439="",K439="",N(J439)=0,N(K439)&lt;=0),"",ROUNDDOWN(1000*(J439/K439)^3,0))</f>
        <v/>
      </c>
      <c r="G439" s="4" t="str">
        <f aca="false">IF(M439="","",IF(M439+1&gt;COUNT(INDEX(Нормативы!$D$2:$L$71,L439,0)),"Разряда нет",INDEX(Нормативы!$D$1:$L$1,1,M439+1)))</f>
        <v/>
      </c>
      <c r="H439" s="2" t="str">
        <f aca="false">IF(M439="","",IF(M439=0,"—",INDEX(Нормативы!$D$1:$L$1,1,M439)))</f>
        <v/>
      </c>
      <c r="I439" s="7" t="str">
        <f aca="false">IF(M439="","",IF(M439=0,"",IF(INT(ROUND(INDEX(Нормативы!$D$2:$L$71,L439,M439)*100,0)/6000)&gt;0,INT(ROUND(INDEX(Нормативы!$D$2:$L$71,L439,M439)*100,0)/6000)&amp;":"&amp;RIGHT("0"&amp;INT(MOD(ROUND(INDEX(Нормативы!$D$2:$L$71,L439,M439)*100,0),6000)/100),2),INT(MOD(ROUND(INDEX(Нормативы!$D$2:$L$71,L439,M439)*100,0),6000)/100))&amp;"."&amp;RIGHT("0"&amp;MOD(ROUND(INDEX(Нормативы!$D$2:$L$71,L439,M439)*100,0),100),2)))</f>
        <v/>
      </c>
      <c r="J439" s="12" t="str">
        <f aca="false">IF(D439="","",SUMIFS('Базовые времена'!$D$2:$D$71,'Базовые времена'!$A$2:$A$71,B439,'Базовые времена'!$B$2:$B$71,C439,'Базовые времена'!$C$2:$C$71,D439))</f>
        <v/>
      </c>
      <c r="K439" s="12" t="str">
        <f aca="false">IF(E439="","",IF(ISNUMBER(E439),IF(E439&lt;1,E439*86400,E439),IFERROR(IF(ISNUMBER(FIND(":",SUBSTITUTE(TRIM(E439),",","."))),VALUE(LEFT(SUBSTITUTE(TRIM(E439),",","."),FIND(":",SUBSTITUTE(TRIM(E439),",","."))-1))*60+_xlfn.NUMBERVALUE(MID(SUBSTITUTE(TRIM(E439),",","."),FIND(":",SUBSTITUTE(TRIM(E439),",","."))+1,99),"."),_xlfn.NUMBERVALUE(SUBSTITUTE(TRIM(E439),",","."),".")),0)))</f>
        <v/>
      </c>
      <c r="L439" s="3" t="str">
        <f aca="false">IF(OR(D439="",N(K439)&lt;=0),"",IFERROR(MATCH(B439&amp;"|"&amp;C439&amp;"|"&amp;D439,Нормативы!$M$2:$M$71,0),""))</f>
        <v/>
      </c>
      <c r="M439" s="3" t="str">
        <f aca="false">IF(L439="","",SUMPRODUCT((INDEX(Нормативы!$D$2:$L$71,L439,0)&lt;K439)*ISNUMBER(INDEX(Нормативы!$D$2:$L$71,L439,0))))</f>
        <v/>
      </c>
    </row>
    <row r="440" customFormat="false" ht="15" hidden="false" customHeight="false" outlineLevel="0" collapsed="false">
      <c r="A440" s="5"/>
      <c r="B440" s="5"/>
      <c r="C440" s="5"/>
      <c r="D440" s="5"/>
      <c r="E440" s="14"/>
      <c r="F440" s="4" t="str">
        <f aca="false">IF(OR(J440="",K440="",N(J440)=0,N(K440)&lt;=0),"",ROUNDDOWN(1000*(J440/K440)^3,0))</f>
        <v/>
      </c>
      <c r="G440" s="4" t="str">
        <f aca="false">IF(M440="","",IF(M440+1&gt;COUNT(INDEX(Нормативы!$D$2:$L$71,L440,0)),"Разряда нет",INDEX(Нормативы!$D$1:$L$1,1,M440+1)))</f>
        <v/>
      </c>
      <c r="H440" s="2" t="str">
        <f aca="false">IF(M440="","",IF(M440=0,"—",INDEX(Нормативы!$D$1:$L$1,1,M440)))</f>
        <v/>
      </c>
      <c r="I440" s="7" t="str">
        <f aca="false">IF(M440="","",IF(M440=0,"",IF(INT(ROUND(INDEX(Нормативы!$D$2:$L$71,L440,M440)*100,0)/6000)&gt;0,INT(ROUND(INDEX(Нормативы!$D$2:$L$71,L440,M440)*100,0)/6000)&amp;":"&amp;RIGHT("0"&amp;INT(MOD(ROUND(INDEX(Нормативы!$D$2:$L$71,L440,M440)*100,0),6000)/100),2),INT(MOD(ROUND(INDEX(Нормативы!$D$2:$L$71,L440,M440)*100,0),6000)/100))&amp;"."&amp;RIGHT("0"&amp;MOD(ROUND(INDEX(Нормативы!$D$2:$L$71,L440,M440)*100,0),100),2)))</f>
        <v/>
      </c>
      <c r="J440" s="12" t="str">
        <f aca="false">IF(D440="","",SUMIFS('Базовые времена'!$D$2:$D$71,'Базовые времена'!$A$2:$A$71,B440,'Базовые времена'!$B$2:$B$71,C440,'Базовые времена'!$C$2:$C$71,D440))</f>
        <v/>
      </c>
      <c r="K440" s="12" t="str">
        <f aca="false">IF(E440="","",IF(ISNUMBER(E440),IF(E440&lt;1,E440*86400,E440),IFERROR(IF(ISNUMBER(FIND(":",SUBSTITUTE(TRIM(E440),",","."))),VALUE(LEFT(SUBSTITUTE(TRIM(E440),",","."),FIND(":",SUBSTITUTE(TRIM(E440),",","."))-1))*60+_xlfn.NUMBERVALUE(MID(SUBSTITUTE(TRIM(E440),",","."),FIND(":",SUBSTITUTE(TRIM(E440),",","."))+1,99),"."),_xlfn.NUMBERVALUE(SUBSTITUTE(TRIM(E440),",","."),".")),0)))</f>
        <v/>
      </c>
      <c r="L440" s="3" t="str">
        <f aca="false">IF(OR(D440="",N(K440)&lt;=0),"",IFERROR(MATCH(B440&amp;"|"&amp;C440&amp;"|"&amp;D440,Нормативы!$M$2:$M$71,0),""))</f>
        <v/>
      </c>
      <c r="M440" s="3" t="str">
        <f aca="false">IF(L440="","",SUMPRODUCT((INDEX(Нормативы!$D$2:$L$71,L440,0)&lt;K440)*ISNUMBER(INDEX(Нормативы!$D$2:$L$71,L440,0))))</f>
        <v/>
      </c>
    </row>
    <row r="441" customFormat="false" ht="15" hidden="false" customHeight="false" outlineLevel="0" collapsed="false">
      <c r="A441" s="5"/>
      <c r="B441" s="5"/>
      <c r="C441" s="5"/>
      <c r="D441" s="5"/>
      <c r="E441" s="14"/>
      <c r="F441" s="4" t="str">
        <f aca="false">IF(OR(J441="",K441="",N(J441)=0,N(K441)&lt;=0),"",ROUNDDOWN(1000*(J441/K441)^3,0))</f>
        <v/>
      </c>
      <c r="G441" s="4" t="str">
        <f aca="false">IF(M441="","",IF(M441+1&gt;COUNT(INDEX(Нормативы!$D$2:$L$71,L441,0)),"Разряда нет",INDEX(Нормативы!$D$1:$L$1,1,M441+1)))</f>
        <v/>
      </c>
      <c r="H441" s="2" t="str">
        <f aca="false">IF(M441="","",IF(M441=0,"—",INDEX(Нормативы!$D$1:$L$1,1,M441)))</f>
        <v/>
      </c>
      <c r="I441" s="7" t="str">
        <f aca="false">IF(M441="","",IF(M441=0,"",IF(INT(ROUND(INDEX(Нормативы!$D$2:$L$71,L441,M441)*100,0)/6000)&gt;0,INT(ROUND(INDEX(Нормативы!$D$2:$L$71,L441,M441)*100,0)/6000)&amp;":"&amp;RIGHT("0"&amp;INT(MOD(ROUND(INDEX(Нормативы!$D$2:$L$71,L441,M441)*100,0),6000)/100),2),INT(MOD(ROUND(INDEX(Нормативы!$D$2:$L$71,L441,M441)*100,0),6000)/100))&amp;"."&amp;RIGHT("0"&amp;MOD(ROUND(INDEX(Нормативы!$D$2:$L$71,L441,M441)*100,0),100),2)))</f>
        <v/>
      </c>
      <c r="J441" s="12" t="str">
        <f aca="false">IF(D441="","",SUMIFS('Базовые времена'!$D$2:$D$71,'Базовые времена'!$A$2:$A$71,B441,'Базовые времена'!$B$2:$B$71,C441,'Базовые времена'!$C$2:$C$71,D441))</f>
        <v/>
      </c>
      <c r="K441" s="12" t="str">
        <f aca="false">IF(E441="","",IF(ISNUMBER(E441),IF(E441&lt;1,E441*86400,E441),IFERROR(IF(ISNUMBER(FIND(":",SUBSTITUTE(TRIM(E441),",","."))),VALUE(LEFT(SUBSTITUTE(TRIM(E441),",","."),FIND(":",SUBSTITUTE(TRIM(E441),",","."))-1))*60+_xlfn.NUMBERVALUE(MID(SUBSTITUTE(TRIM(E441),",","."),FIND(":",SUBSTITUTE(TRIM(E441),",","."))+1,99),"."),_xlfn.NUMBERVALUE(SUBSTITUTE(TRIM(E441),",","."),".")),0)))</f>
        <v/>
      </c>
      <c r="L441" s="3" t="str">
        <f aca="false">IF(OR(D441="",N(K441)&lt;=0),"",IFERROR(MATCH(B441&amp;"|"&amp;C441&amp;"|"&amp;D441,Нормативы!$M$2:$M$71,0),""))</f>
        <v/>
      </c>
      <c r="M441" s="3" t="str">
        <f aca="false">IF(L441="","",SUMPRODUCT((INDEX(Нормативы!$D$2:$L$71,L441,0)&lt;K441)*ISNUMBER(INDEX(Нормативы!$D$2:$L$71,L441,0))))</f>
        <v/>
      </c>
    </row>
    <row r="442" customFormat="false" ht="15" hidden="false" customHeight="false" outlineLevel="0" collapsed="false">
      <c r="A442" s="5"/>
      <c r="B442" s="5"/>
      <c r="C442" s="5"/>
      <c r="D442" s="5"/>
      <c r="E442" s="14"/>
      <c r="F442" s="4" t="str">
        <f aca="false">IF(OR(J442="",K442="",N(J442)=0,N(K442)&lt;=0),"",ROUNDDOWN(1000*(J442/K442)^3,0))</f>
        <v/>
      </c>
      <c r="G442" s="4" t="str">
        <f aca="false">IF(M442="","",IF(M442+1&gt;COUNT(INDEX(Нормативы!$D$2:$L$71,L442,0)),"Разряда нет",INDEX(Нормативы!$D$1:$L$1,1,M442+1)))</f>
        <v/>
      </c>
      <c r="H442" s="2" t="str">
        <f aca="false">IF(M442="","",IF(M442=0,"—",INDEX(Нормативы!$D$1:$L$1,1,M442)))</f>
        <v/>
      </c>
      <c r="I442" s="7" t="str">
        <f aca="false">IF(M442="","",IF(M442=0,"",IF(INT(ROUND(INDEX(Нормативы!$D$2:$L$71,L442,M442)*100,0)/6000)&gt;0,INT(ROUND(INDEX(Нормативы!$D$2:$L$71,L442,M442)*100,0)/6000)&amp;":"&amp;RIGHT("0"&amp;INT(MOD(ROUND(INDEX(Нормативы!$D$2:$L$71,L442,M442)*100,0),6000)/100),2),INT(MOD(ROUND(INDEX(Нормативы!$D$2:$L$71,L442,M442)*100,0),6000)/100))&amp;"."&amp;RIGHT("0"&amp;MOD(ROUND(INDEX(Нормативы!$D$2:$L$71,L442,M442)*100,0),100),2)))</f>
        <v/>
      </c>
      <c r="J442" s="12" t="str">
        <f aca="false">IF(D442="","",SUMIFS('Базовые времена'!$D$2:$D$71,'Базовые времена'!$A$2:$A$71,B442,'Базовые времена'!$B$2:$B$71,C442,'Базовые времена'!$C$2:$C$71,D442))</f>
        <v/>
      </c>
      <c r="K442" s="12" t="str">
        <f aca="false">IF(E442="","",IF(ISNUMBER(E442),IF(E442&lt;1,E442*86400,E442),IFERROR(IF(ISNUMBER(FIND(":",SUBSTITUTE(TRIM(E442),",","."))),VALUE(LEFT(SUBSTITUTE(TRIM(E442),",","."),FIND(":",SUBSTITUTE(TRIM(E442),",","."))-1))*60+_xlfn.NUMBERVALUE(MID(SUBSTITUTE(TRIM(E442),",","."),FIND(":",SUBSTITUTE(TRIM(E442),",","."))+1,99),"."),_xlfn.NUMBERVALUE(SUBSTITUTE(TRIM(E442),",","."),".")),0)))</f>
        <v/>
      </c>
      <c r="L442" s="3" t="str">
        <f aca="false">IF(OR(D442="",N(K442)&lt;=0),"",IFERROR(MATCH(B442&amp;"|"&amp;C442&amp;"|"&amp;D442,Нормативы!$M$2:$M$71,0),""))</f>
        <v/>
      </c>
      <c r="M442" s="3" t="str">
        <f aca="false">IF(L442="","",SUMPRODUCT((INDEX(Нормативы!$D$2:$L$71,L442,0)&lt;K442)*ISNUMBER(INDEX(Нормативы!$D$2:$L$71,L442,0))))</f>
        <v/>
      </c>
    </row>
    <row r="443" customFormat="false" ht="15" hidden="false" customHeight="false" outlineLevel="0" collapsed="false">
      <c r="A443" s="5"/>
      <c r="B443" s="5"/>
      <c r="C443" s="5"/>
      <c r="D443" s="5"/>
      <c r="E443" s="14"/>
      <c r="F443" s="4" t="str">
        <f aca="false">IF(OR(J443="",K443="",N(J443)=0,N(K443)&lt;=0),"",ROUNDDOWN(1000*(J443/K443)^3,0))</f>
        <v/>
      </c>
      <c r="G443" s="4" t="str">
        <f aca="false">IF(M443="","",IF(M443+1&gt;COUNT(INDEX(Нормативы!$D$2:$L$71,L443,0)),"Разряда нет",INDEX(Нормативы!$D$1:$L$1,1,M443+1)))</f>
        <v/>
      </c>
      <c r="H443" s="2" t="str">
        <f aca="false">IF(M443="","",IF(M443=0,"—",INDEX(Нормативы!$D$1:$L$1,1,M443)))</f>
        <v/>
      </c>
      <c r="I443" s="7" t="str">
        <f aca="false">IF(M443="","",IF(M443=0,"",IF(INT(ROUND(INDEX(Нормативы!$D$2:$L$71,L443,M443)*100,0)/6000)&gt;0,INT(ROUND(INDEX(Нормативы!$D$2:$L$71,L443,M443)*100,0)/6000)&amp;":"&amp;RIGHT("0"&amp;INT(MOD(ROUND(INDEX(Нормативы!$D$2:$L$71,L443,M443)*100,0),6000)/100),2),INT(MOD(ROUND(INDEX(Нормативы!$D$2:$L$71,L443,M443)*100,0),6000)/100))&amp;"."&amp;RIGHT("0"&amp;MOD(ROUND(INDEX(Нормативы!$D$2:$L$71,L443,M443)*100,0),100),2)))</f>
        <v/>
      </c>
      <c r="J443" s="12" t="str">
        <f aca="false">IF(D443="","",SUMIFS('Базовые времена'!$D$2:$D$71,'Базовые времена'!$A$2:$A$71,B443,'Базовые времена'!$B$2:$B$71,C443,'Базовые времена'!$C$2:$C$71,D443))</f>
        <v/>
      </c>
      <c r="K443" s="12" t="str">
        <f aca="false">IF(E443="","",IF(ISNUMBER(E443),IF(E443&lt;1,E443*86400,E443),IFERROR(IF(ISNUMBER(FIND(":",SUBSTITUTE(TRIM(E443),",","."))),VALUE(LEFT(SUBSTITUTE(TRIM(E443),",","."),FIND(":",SUBSTITUTE(TRIM(E443),",","."))-1))*60+_xlfn.NUMBERVALUE(MID(SUBSTITUTE(TRIM(E443),",","."),FIND(":",SUBSTITUTE(TRIM(E443),",","."))+1,99),"."),_xlfn.NUMBERVALUE(SUBSTITUTE(TRIM(E443),",","."),".")),0)))</f>
        <v/>
      </c>
      <c r="L443" s="3" t="str">
        <f aca="false">IF(OR(D443="",N(K443)&lt;=0),"",IFERROR(MATCH(B443&amp;"|"&amp;C443&amp;"|"&amp;D443,Нормативы!$M$2:$M$71,0),""))</f>
        <v/>
      </c>
      <c r="M443" s="3" t="str">
        <f aca="false">IF(L443="","",SUMPRODUCT((INDEX(Нормативы!$D$2:$L$71,L443,0)&lt;K443)*ISNUMBER(INDEX(Нормативы!$D$2:$L$71,L443,0))))</f>
        <v/>
      </c>
    </row>
    <row r="444" customFormat="false" ht="15" hidden="false" customHeight="false" outlineLevel="0" collapsed="false">
      <c r="A444" s="5"/>
      <c r="B444" s="5"/>
      <c r="C444" s="5"/>
      <c r="D444" s="5"/>
      <c r="E444" s="14"/>
      <c r="F444" s="4" t="str">
        <f aca="false">IF(OR(J444="",K444="",N(J444)=0,N(K444)&lt;=0),"",ROUNDDOWN(1000*(J444/K444)^3,0))</f>
        <v/>
      </c>
      <c r="G444" s="4" t="str">
        <f aca="false">IF(M444="","",IF(M444+1&gt;COUNT(INDEX(Нормативы!$D$2:$L$71,L444,0)),"Разряда нет",INDEX(Нормативы!$D$1:$L$1,1,M444+1)))</f>
        <v/>
      </c>
      <c r="H444" s="2" t="str">
        <f aca="false">IF(M444="","",IF(M444=0,"—",INDEX(Нормативы!$D$1:$L$1,1,M444)))</f>
        <v/>
      </c>
      <c r="I444" s="7" t="str">
        <f aca="false">IF(M444="","",IF(M444=0,"",IF(INT(ROUND(INDEX(Нормативы!$D$2:$L$71,L444,M444)*100,0)/6000)&gt;0,INT(ROUND(INDEX(Нормативы!$D$2:$L$71,L444,M444)*100,0)/6000)&amp;":"&amp;RIGHT("0"&amp;INT(MOD(ROUND(INDEX(Нормативы!$D$2:$L$71,L444,M444)*100,0),6000)/100),2),INT(MOD(ROUND(INDEX(Нормативы!$D$2:$L$71,L444,M444)*100,0),6000)/100))&amp;"."&amp;RIGHT("0"&amp;MOD(ROUND(INDEX(Нормативы!$D$2:$L$71,L444,M444)*100,0),100),2)))</f>
        <v/>
      </c>
      <c r="J444" s="12" t="str">
        <f aca="false">IF(D444="","",SUMIFS('Базовые времена'!$D$2:$D$71,'Базовые времена'!$A$2:$A$71,B444,'Базовые времена'!$B$2:$B$71,C444,'Базовые времена'!$C$2:$C$71,D444))</f>
        <v/>
      </c>
      <c r="K444" s="12" t="str">
        <f aca="false">IF(E444="","",IF(ISNUMBER(E444),IF(E444&lt;1,E444*86400,E444),IFERROR(IF(ISNUMBER(FIND(":",SUBSTITUTE(TRIM(E444),",","."))),VALUE(LEFT(SUBSTITUTE(TRIM(E444),",","."),FIND(":",SUBSTITUTE(TRIM(E444),",","."))-1))*60+_xlfn.NUMBERVALUE(MID(SUBSTITUTE(TRIM(E444),",","."),FIND(":",SUBSTITUTE(TRIM(E444),",","."))+1,99),"."),_xlfn.NUMBERVALUE(SUBSTITUTE(TRIM(E444),",","."),".")),0)))</f>
        <v/>
      </c>
      <c r="L444" s="3" t="str">
        <f aca="false">IF(OR(D444="",N(K444)&lt;=0),"",IFERROR(MATCH(B444&amp;"|"&amp;C444&amp;"|"&amp;D444,Нормативы!$M$2:$M$71,0),""))</f>
        <v/>
      </c>
      <c r="M444" s="3" t="str">
        <f aca="false">IF(L444="","",SUMPRODUCT((INDEX(Нормативы!$D$2:$L$71,L444,0)&lt;K444)*ISNUMBER(INDEX(Нормативы!$D$2:$L$71,L444,0))))</f>
        <v/>
      </c>
    </row>
    <row r="445" customFormat="false" ht="15" hidden="false" customHeight="false" outlineLevel="0" collapsed="false">
      <c r="A445" s="5"/>
      <c r="B445" s="5"/>
      <c r="C445" s="5"/>
      <c r="D445" s="5"/>
      <c r="E445" s="14"/>
      <c r="F445" s="4" t="str">
        <f aca="false">IF(OR(J445="",K445="",N(J445)=0,N(K445)&lt;=0),"",ROUNDDOWN(1000*(J445/K445)^3,0))</f>
        <v/>
      </c>
      <c r="G445" s="4" t="str">
        <f aca="false">IF(M445="","",IF(M445+1&gt;COUNT(INDEX(Нормативы!$D$2:$L$71,L445,0)),"Разряда нет",INDEX(Нормативы!$D$1:$L$1,1,M445+1)))</f>
        <v/>
      </c>
      <c r="H445" s="2" t="str">
        <f aca="false">IF(M445="","",IF(M445=0,"—",INDEX(Нормативы!$D$1:$L$1,1,M445)))</f>
        <v/>
      </c>
      <c r="I445" s="7" t="str">
        <f aca="false">IF(M445="","",IF(M445=0,"",IF(INT(ROUND(INDEX(Нормативы!$D$2:$L$71,L445,M445)*100,0)/6000)&gt;0,INT(ROUND(INDEX(Нормативы!$D$2:$L$71,L445,M445)*100,0)/6000)&amp;":"&amp;RIGHT("0"&amp;INT(MOD(ROUND(INDEX(Нормативы!$D$2:$L$71,L445,M445)*100,0),6000)/100),2),INT(MOD(ROUND(INDEX(Нормативы!$D$2:$L$71,L445,M445)*100,0),6000)/100))&amp;"."&amp;RIGHT("0"&amp;MOD(ROUND(INDEX(Нормативы!$D$2:$L$71,L445,M445)*100,0),100),2)))</f>
        <v/>
      </c>
      <c r="J445" s="12" t="str">
        <f aca="false">IF(D445="","",SUMIFS('Базовые времена'!$D$2:$D$71,'Базовые времена'!$A$2:$A$71,B445,'Базовые времена'!$B$2:$B$71,C445,'Базовые времена'!$C$2:$C$71,D445))</f>
        <v/>
      </c>
      <c r="K445" s="12" t="str">
        <f aca="false">IF(E445="","",IF(ISNUMBER(E445),IF(E445&lt;1,E445*86400,E445),IFERROR(IF(ISNUMBER(FIND(":",SUBSTITUTE(TRIM(E445),",","."))),VALUE(LEFT(SUBSTITUTE(TRIM(E445),",","."),FIND(":",SUBSTITUTE(TRIM(E445),",","."))-1))*60+_xlfn.NUMBERVALUE(MID(SUBSTITUTE(TRIM(E445),",","."),FIND(":",SUBSTITUTE(TRIM(E445),",","."))+1,99),"."),_xlfn.NUMBERVALUE(SUBSTITUTE(TRIM(E445),",","."),".")),0)))</f>
        <v/>
      </c>
      <c r="L445" s="3" t="str">
        <f aca="false">IF(OR(D445="",N(K445)&lt;=0),"",IFERROR(MATCH(B445&amp;"|"&amp;C445&amp;"|"&amp;D445,Нормативы!$M$2:$M$71,0),""))</f>
        <v/>
      </c>
      <c r="M445" s="3" t="str">
        <f aca="false">IF(L445="","",SUMPRODUCT((INDEX(Нормативы!$D$2:$L$71,L445,0)&lt;K445)*ISNUMBER(INDEX(Нормативы!$D$2:$L$71,L445,0))))</f>
        <v/>
      </c>
    </row>
    <row r="446" customFormat="false" ht="15" hidden="false" customHeight="false" outlineLevel="0" collapsed="false">
      <c r="A446" s="5"/>
      <c r="B446" s="5"/>
      <c r="C446" s="5"/>
      <c r="D446" s="5"/>
      <c r="E446" s="14"/>
      <c r="F446" s="4" t="str">
        <f aca="false">IF(OR(J446="",K446="",N(J446)=0,N(K446)&lt;=0),"",ROUNDDOWN(1000*(J446/K446)^3,0))</f>
        <v/>
      </c>
      <c r="G446" s="4" t="str">
        <f aca="false">IF(M446="","",IF(M446+1&gt;COUNT(INDEX(Нормативы!$D$2:$L$71,L446,0)),"Разряда нет",INDEX(Нормативы!$D$1:$L$1,1,M446+1)))</f>
        <v/>
      </c>
      <c r="H446" s="2" t="str">
        <f aca="false">IF(M446="","",IF(M446=0,"—",INDEX(Нормативы!$D$1:$L$1,1,M446)))</f>
        <v/>
      </c>
      <c r="I446" s="7" t="str">
        <f aca="false">IF(M446="","",IF(M446=0,"",IF(INT(ROUND(INDEX(Нормативы!$D$2:$L$71,L446,M446)*100,0)/6000)&gt;0,INT(ROUND(INDEX(Нормативы!$D$2:$L$71,L446,M446)*100,0)/6000)&amp;":"&amp;RIGHT("0"&amp;INT(MOD(ROUND(INDEX(Нормативы!$D$2:$L$71,L446,M446)*100,0),6000)/100),2),INT(MOD(ROUND(INDEX(Нормативы!$D$2:$L$71,L446,M446)*100,0),6000)/100))&amp;"."&amp;RIGHT("0"&amp;MOD(ROUND(INDEX(Нормативы!$D$2:$L$71,L446,M446)*100,0),100),2)))</f>
        <v/>
      </c>
      <c r="J446" s="12" t="str">
        <f aca="false">IF(D446="","",SUMIFS('Базовые времена'!$D$2:$D$71,'Базовые времена'!$A$2:$A$71,B446,'Базовые времена'!$B$2:$B$71,C446,'Базовые времена'!$C$2:$C$71,D446))</f>
        <v/>
      </c>
      <c r="K446" s="12" t="str">
        <f aca="false">IF(E446="","",IF(ISNUMBER(E446),IF(E446&lt;1,E446*86400,E446),IFERROR(IF(ISNUMBER(FIND(":",SUBSTITUTE(TRIM(E446),",","."))),VALUE(LEFT(SUBSTITUTE(TRIM(E446),",","."),FIND(":",SUBSTITUTE(TRIM(E446),",","."))-1))*60+_xlfn.NUMBERVALUE(MID(SUBSTITUTE(TRIM(E446),",","."),FIND(":",SUBSTITUTE(TRIM(E446),",","."))+1,99),"."),_xlfn.NUMBERVALUE(SUBSTITUTE(TRIM(E446),",","."),".")),0)))</f>
        <v/>
      </c>
      <c r="L446" s="3" t="str">
        <f aca="false">IF(OR(D446="",N(K446)&lt;=0),"",IFERROR(MATCH(B446&amp;"|"&amp;C446&amp;"|"&amp;D446,Нормативы!$M$2:$M$71,0),""))</f>
        <v/>
      </c>
      <c r="M446" s="3" t="str">
        <f aca="false">IF(L446="","",SUMPRODUCT((INDEX(Нормативы!$D$2:$L$71,L446,0)&lt;K446)*ISNUMBER(INDEX(Нормативы!$D$2:$L$71,L446,0))))</f>
        <v/>
      </c>
    </row>
    <row r="447" customFormat="false" ht="15" hidden="false" customHeight="false" outlineLevel="0" collapsed="false">
      <c r="A447" s="5"/>
      <c r="B447" s="5"/>
      <c r="C447" s="5"/>
      <c r="D447" s="5"/>
      <c r="E447" s="14"/>
      <c r="F447" s="4" t="str">
        <f aca="false">IF(OR(J447="",K447="",N(J447)=0,N(K447)&lt;=0),"",ROUNDDOWN(1000*(J447/K447)^3,0))</f>
        <v/>
      </c>
      <c r="G447" s="4" t="str">
        <f aca="false">IF(M447="","",IF(M447+1&gt;COUNT(INDEX(Нормативы!$D$2:$L$71,L447,0)),"Разряда нет",INDEX(Нормативы!$D$1:$L$1,1,M447+1)))</f>
        <v/>
      </c>
      <c r="H447" s="2" t="str">
        <f aca="false">IF(M447="","",IF(M447=0,"—",INDEX(Нормативы!$D$1:$L$1,1,M447)))</f>
        <v/>
      </c>
      <c r="I447" s="7" t="str">
        <f aca="false">IF(M447="","",IF(M447=0,"",IF(INT(ROUND(INDEX(Нормативы!$D$2:$L$71,L447,M447)*100,0)/6000)&gt;0,INT(ROUND(INDEX(Нормативы!$D$2:$L$71,L447,M447)*100,0)/6000)&amp;":"&amp;RIGHT("0"&amp;INT(MOD(ROUND(INDEX(Нормативы!$D$2:$L$71,L447,M447)*100,0),6000)/100),2),INT(MOD(ROUND(INDEX(Нормативы!$D$2:$L$71,L447,M447)*100,0),6000)/100))&amp;"."&amp;RIGHT("0"&amp;MOD(ROUND(INDEX(Нормативы!$D$2:$L$71,L447,M447)*100,0),100),2)))</f>
        <v/>
      </c>
      <c r="J447" s="12" t="str">
        <f aca="false">IF(D447="","",SUMIFS('Базовые времена'!$D$2:$D$71,'Базовые времена'!$A$2:$A$71,B447,'Базовые времена'!$B$2:$B$71,C447,'Базовые времена'!$C$2:$C$71,D447))</f>
        <v/>
      </c>
      <c r="K447" s="12" t="str">
        <f aca="false">IF(E447="","",IF(ISNUMBER(E447),IF(E447&lt;1,E447*86400,E447),IFERROR(IF(ISNUMBER(FIND(":",SUBSTITUTE(TRIM(E447),",","."))),VALUE(LEFT(SUBSTITUTE(TRIM(E447),",","."),FIND(":",SUBSTITUTE(TRIM(E447),",","."))-1))*60+_xlfn.NUMBERVALUE(MID(SUBSTITUTE(TRIM(E447),",","."),FIND(":",SUBSTITUTE(TRIM(E447),",","."))+1,99),"."),_xlfn.NUMBERVALUE(SUBSTITUTE(TRIM(E447),",","."),".")),0)))</f>
        <v/>
      </c>
      <c r="L447" s="3" t="str">
        <f aca="false">IF(OR(D447="",N(K447)&lt;=0),"",IFERROR(MATCH(B447&amp;"|"&amp;C447&amp;"|"&amp;D447,Нормативы!$M$2:$M$71,0),""))</f>
        <v/>
      </c>
      <c r="M447" s="3" t="str">
        <f aca="false">IF(L447="","",SUMPRODUCT((INDEX(Нормативы!$D$2:$L$71,L447,0)&lt;K447)*ISNUMBER(INDEX(Нормативы!$D$2:$L$71,L447,0))))</f>
        <v/>
      </c>
    </row>
    <row r="448" customFormat="false" ht="15" hidden="false" customHeight="false" outlineLevel="0" collapsed="false">
      <c r="A448" s="5"/>
      <c r="B448" s="5"/>
      <c r="C448" s="5"/>
      <c r="D448" s="5"/>
      <c r="E448" s="14"/>
      <c r="F448" s="4" t="str">
        <f aca="false">IF(OR(J448="",K448="",N(J448)=0,N(K448)&lt;=0),"",ROUNDDOWN(1000*(J448/K448)^3,0))</f>
        <v/>
      </c>
      <c r="G448" s="4" t="str">
        <f aca="false">IF(M448="","",IF(M448+1&gt;COUNT(INDEX(Нормативы!$D$2:$L$71,L448,0)),"Разряда нет",INDEX(Нормативы!$D$1:$L$1,1,M448+1)))</f>
        <v/>
      </c>
      <c r="H448" s="2" t="str">
        <f aca="false">IF(M448="","",IF(M448=0,"—",INDEX(Нормативы!$D$1:$L$1,1,M448)))</f>
        <v/>
      </c>
      <c r="I448" s="7" t="str">
        <f aca="false">IF(M448="","",IF(M448=0,"",IF(INT(ROUND(INDEX(Нормативы!$D$2:$L$71,L448,M448)*100,0)/6000)&gt;0,INT(ROUND(INDEX(Нормативы!$D$2:$L$71,L448,M448)*100,0)/6000)&amp;":"&amp;RIGHT("0"&amp;INT(MOD(ROUND(INDEX(Нормативы!$D$2:$L$71,L448,M448)*100,0),6000)/100),2),INT(MOD(ROUND(INDEX(Нормативы!$D$2:$L$71,L448,M448)*100,0),6000)/100))&amp;"."&amp;RIGHT("0"&amp;MOD(ROUND(INDEX(Нормативы!$D$2:$L$71,L448,M448)*100,0),100),2)))</f>
        <v/>
      </c>
      <c r="J448" s="12" t="str">
        <f aca="false">IF(D448="","",SUMIFS('Базовые времена'!$D$2:$D$71,'Базовые времена'!$A$2:$A$71,B448,'Базовые времена'!$B$2:$B$71,C448,'Базовые времена'!$C$2:$C$71,D448))</f>
        <v/>
      </c>
      <c r="K448" s="12" t="str">
        <f aca="false">IF(E448="","",IF(ISNUMBER(E448),IF(E448&lt;1,E448*86400,E448),IFERROR(IF(ISNUMBER(FIND(":",SUBSTITUTE(TRIM(E448),",","."))),VALUE(LEFT(SUBSTITUTE(TRIM(E448),",","."),FIND(":",SUBSTITUTE(TRIM(E448),",","."))-1))*60+_xlfn.NUMBERVALUE(MID(SUBSTITUTE(TRIM(E448),",","."),FIND(":",SUBSTITUTE(TRIM(E448),",","."))+1,99),"."),_xlfn.NUMBERVALUE(SUBSTITUTE(TRIM(E448),",","."),".")),0)))</f>
        <v/>
      </c>
      <c r="L448" s="3" t="str">
        <f aca="false">IF(OR(D448="",N(K448)&lt;=0),"",IFERROR(MATCH(B448&amp;"|"&amp;C448&amp;"|"&amp;D448,Нормативы!$M$2:$M$71,0),""))</f>
        <v/>
      </c>
      <c r="M448" s="3" t="str">
        <f aca="false">IF(L448="","",SUMPRODUCT((INDEX(Нормативы!$D$2:$L$71,L448,0)&lt;K448)*ISNUMBER(INDEX(Нормативы!$D$2:$L$71,L448,0))))</f>
        <v/>
      </c>
    </row>
    <row r="449" customFormat="false" ht="15" hidden="false" customHeight="false" outlineLevel="0" collapsed="false">
      <c r="A449" s="5"/>
      <c r="B449" s="5"/>
      <c r="C449" s="5"/>
      <c r="D449" s="5"/>
      <c r="E449" s="14"/>
      <c r="F449" s="4" t="str">
        <f aca="false">IF(OR(J449="",K449="",N(J449)=0,N(K449)&lt;=0),"",ROUNDDOWN(1000*(J449/K449)^3,0))</f>
        <v/>
      </c>
      <c r="G449" s="4" t="str">
        <f aca="false">IF(M449="","",IF(M449+1&gt;COUNT(INDEX(Нормативы!$D$2:$L$71,L449,0)),"Разряда нет",INDEX(Нормативы!$D$1:$L$1,1,M449+1)))</f>
        <v/>
      </c>
      <c r="H449" s="2" t="str">
        <f aca="false">IF(M449="","",IF(M449=0,"—",INDEX(Нормативы!$D$1:$L$1,1,M449)))</f>
        <v/>
      </c>
      <c r="I449" s="7" t="str">
        <f aca="false">IF(M449="","",IF(M449=0,"",IF(INT(ROUND(INDEX(Нормативы!$D$2:$L$71,L449,M449)*100,0)/6000)&gt;0,INT(ROUND(INDEX(Нормативы!$D$2:$L$71,L449,M449)*100,0)/6000)&amp;":"&amp;RIGHT("0"&amp;INT(MOD(ROUND(INDEX(Нормативы!$D$2:$L$71,L449,M449)*100,0),6000)/100),2),INT(MOD(ROUND(INDEX(Нормативы!$D$2:$L$71,L449,M449)*100,0),6000)/100))&amp;"."&amp;RIGHT("0"&amp;MOD(ROUND(INDEX(Нормативы!$D$2:$L$71,L449,M449)*100,0),100),2)))</f>
        <v/>
      </c>
      <c r="J449" s="12" t="str">
        <f aca="false">IF(D449="","",SUMIFS('Базовые времена'!$D$2:$D$71,'Базовые времена'!$A$2:$A$71,B449,'Базовые времена'!$B$2:$B$71,C449,'Базовые времена'!$C$2:$C$71,D449))</f>
        <v/>
      </c>
      <c r="K449" s="12" t="str">
        <f aca="false">IF(E449="","",IF(ISNUMBER(E449),IF(E449&lt;1,E449*86400,E449),IFERROR(IF(ISNUMBER(FIND(":",SUBSTITUTE(TRIM(E449),",","."))),VALUE(LEFT(SUBSTITUTE(TRIM(E449),",","."),FIND(":",SUBSTITUTE(TRIM(E449),",","."))-1))*60+_xlfn.NUMBERVALUE(MID(SUBSTITUTE(TRIM(E449),",","."),FIND(":",SUBSTITUTE(TRIM(E449),",","."))+1,99),"."),_xlfn.NUMBERVALUE(SUBSTITUTE(TRIM(E449),",","."),".")),0)))</f>
        <v/>
      </c>
      <c r="L449" s="3" t="str">
        <f aca="false">IF(OR(D449="",N(K449)&lt;=0),"",IFERROR(MATCH(B449&amp;"|"&amp;C449&amp;"|"&amp;D449,Нормативы!$M$2:$M$71,0),""))</f>
        <v/>
      </c>
      <c r="M449" s="3" t="str">
        <f aca="false">IF(L449="","",SUMPRODUCT((INDEX(Нормативы!$D$2:$L$71,L449,0)&lt;K449)*ISNUMBER(INDEX(Нормативы!$D$2:$L$71,L449,0))))</f>
        <v/>
      </c>
    </row>
    <row r="450" customFormat="false" ht="15" hidden="false" customHeight="false" outlineLevel="0" collapsed="false">
      <c r="A450" s="5"/>
      <c r="B450" s="5"/>
      <c r="C450" s="5"/>
      <c r="D450" s="5"/>
      <c r="E450" s="14"/>
      <c r="F450" s="4" t="str">
        <f aca="false">IF(OR(J450="",K450="",N(J450)=0,N(K450)&lt;=0),"",ROUNDDOWN(1000*(J450/K450)^3,0))</f>
        <v/>
      </c>
      <c r="G450" s="4" t="str">
        <f aca="false">IF(M450="","",IF(M450+1&gt;COUNT(INDEX(Нормативы!$D$2:$L$71,L450,0)),"Разряда нет",INDEX(Нормативы!$D$1:$L$1,1,M450+1)))</f>
        <v/>
      </c>
      <c r="H450" s="2" t="str">
        <f aca="false">IF(M450="","",IF(M450=0,"—",INDEX(Нормативы!$D$1:$L$1,1,M450)))</f>
        <v/>
      </c>
      <c r="I450" s="7" t="str">
        <f aca="false">IF(M450="","",IF(M450=0,"",IF(INT(ROUND(INDEX(Нормативы!$D$2:$L$71,L450,M450)*100,0)/6000)&gt;0,INT(ROUND(INDEX(Нормативы!$D$2:$L$71,L450,M450)*100,0)/6000)&amp;":"&amp;RIGHT("0"&amp;INT(MOD(ROUND(INDEX(Нормативы!$D$2:$L$71,L450,M450)*100,0),6000)/100),2),INT(MOD(ROUND(INDEX(Нормативы!$D$2:$L$71,L450,M450)*100,0),6000)/100))&amp;"."&amp;RIGHT("0"&amp;MOD(ROUND(INDEX(Нормативы!$D$2:$L$71,L450,M450)*100,0),100),2)))</f>
        <v/>
      </c>
      <c r="J450" s="12" t="str">
        <f aca="false">IF(D450="","",SUMIFS('Базовые времена'!$D$2:$D$71,'Базовые времена'!$A$2:$A$71,B450,'Базовые времена'!$B$2:$B$71,C450,'Базовые времена'!$C$2:$C$71,D450))</f>
        <v/>
      </c>
      <c r="K450" s="12" t="str">
        <f aca="false">IF(E450="","",IF(ISNUMBER(E450),IF(E450&lt;1,E450*86400,E450),IFERROR(IF(ISNUMBER(FIND(":",SUBSTITUTE(TRIM(E450),",","."))),VALUE(LEFT(SUBSTITUTE(TRIM(E450),",","."),FIND(":",SUBSTITUTE(TRIM(E450),",","."))-1))*60+_xlfn.NUMBERVALUE(MID(SUBSTITUTE(TRIM(E450),",","."),FIND(":",SUBSTITUTE(TRIM(E450),",","."))+1,99),"."),_xlfn.NUMBERVALUE(SUBSTITUTE(TRIM(E450),",","."),".")),0)))</f>
        <v/>
      </c>
      <c r="L450" s="3" t="str">
        <f aca="false">IF(OR(D450="",N(K450)&lt;=0),"",IFERROR(MATCH(B450&amp;"|"&amp;C450&amp;"|"&amp;D450,Нормативы!$M$2:$M$71,0),""))</f>
        <v/>
      </c>
      <c r="M450" s="3" t="str">
        <f aca="false">IF(L450="","",SUMPRODUCT((INDEX(Нормативы!$D$2:$L$71,L450,0)&lt;K450)*ISNUMBER(INDEX(Нормативы!$D$2:$L$71,L450,0))))</f>
        <v/>
      </c>
    </row>
    <row r="451" customFormat="false" ht="15" hidden="false" customHeight="false" outlineLevel="0" collapsed="false">
      <c r="A451" s="5"/>
      <c r="B451" s="5"/>
      <c r="C451" s="5"/>
      <c r="D451" s="5"/>
      <c r="E451" s="14"/>
      <c r="F451" s="4" t="str">
        <f aca="false">IF(OR(J451="",K451="",N(J451)=0,N(K451)&lt;=0),"",ROUNDDOWN(1000*(J451/K451)^3,0))</f>
        <v/>
      </c>
      <c r="G451" s="4" t="str">
        <f aca="false">IF(M451="","",IF(M451+1&gt;COUNT(INDEX(Нормативы!$D$2:$L$71,L451,0)),"Разряда нет",INDEX(Нормативы!$D$1:$L$1,1,M451+1)))</f>
        <v/>
      </c>
      <c r="H451" s="2" t="str">
        <f aca="false">IF(M451="","",IF(M451=0,"—",INDEX(Нормативы!$D$1:$L$1,1,M451)))</f>
        <v/>
      </c>
      <c r="I451" s="7" t="str">
        <f aca="false">IF(M451="","",IF(M451=0,"",IF(INT(ROUND(INDEX(Нормативы!$D$2:$L$71,L451,M451)*100,0)/6000)&gt;0,INT(ROUND(INDEX(Нормативы!$D$2:$L$71,L451,M451)*100,0)/6000)&amp;":"&amp;RIGHT("0"&amp;INT(MOD(ROUND(INDEX(Нормативы!$D$2:$L$71,L451,M451)*100,0),6000)/100),2),INT(MOD(ROUND(INDEX(Нормативы!$D$2:$L$71,L451,M451)*100,0),6000)/100))&amp;"."&amp;RIGHT("0"&amp;MOD(ROUND(INDEX(Нормативы!$D$2:$L$71,L451,M451)*100,0),100),2)))</f>
        <v/>
      </c>
      <c r="J451" s="12" t="str">
        <f aca="false">IF(D451="","",SUMIFS('Базовые времена'!$D$2:$D$71,'Базовые времена'!$A$2:$A$71,B451,'Базовые времена'!$B$2:$B$71,C451,'Базовые времена'!$C$2:$C$71,D451))</f>
        <v/>
      </c>
      <c r="K451" s="12" t="str">
        <f aca="false">IF(E451="","",IF(ISNUMBER(E451),IF(E451&lt;1,E451*86400,E451),IFERROR(IF(ISNUMBER(FIND(":",SUBSTITUTE(TRIM(E451),",","."))),VALUE(LEFT(SUBSTITUTE(TRIM(E451),",","."),FIND(":",SUBSTITUTE(TRIM(E451),",","."))-1))*60+_xlfn.NUMBERVALUE(MID(SUBSTITUTE(TRIM(E451),",","."),FIND(":",SUBSTITUTE(TRIM(E451),",","."))+1,99),"."),_xlfn.NUMBERVALUE(SUBSTITUTE(TRIM(E451),",","."),".")),0)))</f>
        <v/>
      </c>
      <c r="L451" s="3" t="str">
        <f aca="false">IF(OR(D451="",N(K451)&lt;=0),"",IFERROR(MATCH(B451&amp;"|"&amp;C451&amp;"|"&amp;D451,Нормативы!$M$2:$M$71,0),""))</f>
        <v/>
      </c>
      <c r="M451" s="3" t="str">
        <f aca="false">IF(L451="","",SUMPRODUCT((INDEX(Нормативы!$D$2:$L$71,L451,0)&lt;K451)*ISNUMBER(INDEX(Нормативы!$D$2:$L$71,L451,0))))</f>
        <v/>
      </c>
    </row>
    <row r="452" customFormat="false" ht="15" hidden="false" customHeight="false" outlineLevel="0" collapsed="false">
      <c r="A452" s="5"/>
      <c r="B452" s="5"/>
      <c r="C452" s="5"/>
      <c r="D452" s="5"/>
      <c r="E452" s="14"/>
      <c r="F452" s="4" t="str">
        <f aca="false">IF(OR(J452="",K452="",N(J452)=0,N(K452)&lt;=0),"",ROUNDDOWN(1000*(J452/K452)^3,0))</f>
        <v/>
      </c>
      <c r="G452" s="4" t="str">
        <f aca="false">IF(M452="","",IF(M452+1&gt;COUNT(INDEX(Нормативы!$D$2:$L$71,L452,0)),"Разряда нет",INDEX(Нормативы!$D$1:$L$1,1,M452+1)))</f>
        <v/>
      </c>
      <c r="H452" s="2" t="str">
        <f aca="false">IF(M452="","",IF(M452=0,"—",INDEX(Нормативы!$D$1:$L$1,1,M452)))</f>
        <v/>
      </c>
      <c r="I452" s="7" t="str">
        <f aca="false">IF(M452="","",IF(M452=0,"",IF(INT(ROUND(INDEX(Нормативы!$D$2:$L$71,L452,M452)*100,0)/6000)&gt;0,INT(ROUND(INDEX(Нормативы!$D$2:$L$71,L452,M452)*100,0)/6000)&amp;":"&amp;RIGHT("0"&amp;INT(MOD(ROUND(INDEX(Нормативы!$D$2:$L$71,L452,M452)*100,0),6000)/100),2),INT(MOD(ROUND(INDEX(Нормативы!$D$2:$L$71,L452,M452)*100,0),6000)/100))&amp;"."&amp;RIGHT("0"&amp;MOD(ROUND(INDEX(Нормативы!$D$2:$L$71,L452,M452)*100,0),100),2)))</f>
        <v/>
      </c>
      <c r="J452" s="12" t="str">
        <f aca="false">IF(D452="","",SUMIFS('Базовые времена'!$D$2:$D$71,'Базовые времена'!$A$2:$A$71,B452,'Базовые времена'!$B$2:$B$71,C452,'Базовые времена'!$C$2:$C$71,D452))</f>
        <v/>
      </c>
      <c r="K452" s="12" t="str">
        <f aca="false">IF(E452="","",IF(ISNUMBER(E452),IF(E452&lt;1,E452*86400,E452),IFERROR(IF(ISNUMBER(FIND(":",SUBSTITUTE(TRIM(E452),",","."))),VALUE(LEFT(SUBSTITUTE(TRIM(E452),",","."),FIND(":",SUBSTITUTE(TRIM(E452),",","."))-1))*60+_xlfn.NUMBERVALUE(MID(SUBSTITUTE(TRIM(E452),",","."),FIND(":",SUBSTITUTE(TRIM(E452),",","."))+1,99),"."),_xlfn.NUMBERVALUE(SUBSTITUTE(TRIM(E452),",","."),".")),0)))</f>
        <v/>
      </c>
      <c r="L452" s="3" t="str">
        <f aca="false">IF(OR(D452="",N(K452)&lt;=0),"",IFERROR(MATCH(B452&amp;"|"&amp;C452&amp;"|"&amp;D452,Нормативы!$M$2:$M$71,0),""))</f>
        <v/>
      </c>
      <c r="M452" s="3" t="str">
        <f aca="false">IF(L452="","",SUMPRODUCT((INDEX(Нормативы!$D$2:$L$71,L452,0)&lt;K452)*ISNUMBER(INDEX(Нормативы!$D$2:$L$71,L452,0))))</f>
        <v/>
      </c>
    </row>
    <row r="453" customFormat="false" ht="15" hidden="false" customHeight="false" outlineLevel="0" collapsed="false">
      <c r="A453" s="5"/>
      <c r="B453" s="5"/>
      <c r="C453" s="5"/>
      <c r="D453" s="5"/>
      <c r="E453" s="14"/>
      <c r="F453" s="4" t="str">
        <f aca="false">IF(OR(J453="",K453="",N(J453)=0,N(K453)&lt;=0),"",ROUNDDOWN(1000*(J453/K453)^3,0))</f>
        <v/>
      </c>
      <c r="G453" s="4" t="str">
        <f aca="false">IF(M453="","",IF(M453+1&gt;COUNT(INDEX(Нормативы!$D$2:$L$71,L453,0)),"Разряда нет",INDEX(Нормативы!$D$1:$L$1,1,M453+1)))</f>
        <v/>
      </c>
      <c r="H453" s="2" t="str">
        <f aca="false">IF(M453="","",IF(M453=0,"—",INDEX(Нормативы!$D$1:$L$1,1,M453)))</f>
        <v/>
      </c>
      <c r="I453" s="7" t="str">
        <f aca="false">IF(M453="","",IF(M453=0,"",IF(INT(ROUND(INDEX(Нормативы!$D$2:$L$71,L453,M453)*100,0)/6000)&gt;0,INT(ROUND(INDEX(Нормативы!$D$2:$L$71,L453,M453)*100,0)/6000)&amp;":"&amp;RIGHT("0"&amp;INT(MOD(ROUND(INDEX(Нормативы!$D$2:$L$71,L453,M453)*100,0),6000)/100),2),INT(MOD(ROUND(INDEX(Нормативы!$D$2:$L$71,L453,M453)*100,0),6000)/100))&amp;"."&amp;RIGHT("0"&amp;MOD(ROUND(INDEX(Нормативы!$D$2:$L$71,L453,M453)*100,0),100),2)))</f>
        <v/>
      </c>
      <c r="J453" s="12" t="str">
        <f aca="false">IF(D453="","",SUMIFS('Базовые времена'!$D$2:$D$71,'Базовые времена'!$A$2:$A$71,B453,'Базовые времена'!$B$2:$B$71,C453,'Базовые времена'!$C$2:$C$71,D453))</f>
        <v/>
      </c>
      <c r="K453" s="12" t="str">
        <f aca="false">IF(E453="","",IF(ISNUMBER(E453),IF(E453&lt;1,E453*86400,E453),IFERROR(IF(ISNUMBER(FIND(":",SUBSTITUTE(TRIM(E453),",","."))),VALUE(LEFT(SUBSTITUTE(TRIM(E453),",","."),FIND(":",SUBSTITUTE(TRIM(E453),",","."))-1))*60+_xlfn.NUMBERVALUE(MID(SUBSTITUTE(TRIM(E453),",","."),FIND(":",SUBSTITUTE(TRIM(E453),",","."))+1,99),"."),_xlfn.NUMBERVALUE(SUBSTITUTE(TRIM(E453),",","."),".")),0)))</f>
        <v/>
      </c>
      <c r="L453" s="3" t="str">
        <f aca="false">IF(OR(D453="",N(K453)&lt;=0),"",IFERROR(MATCH(B453&amp;"|"&amp;C453&amp;"|"&amp;D453,Нормативы!$M$2:$M$71,0),""))</f>
        <v/>
      </c>
      <c r="M453" s="3" t="str">
        <f aca="false">IF(L453="","",SUMPRODUCT((INDEX(Нормативы!$D$2:$L$71,L453,0)&lt;K453)*ISNUMBER(INDEX(Нормативы!$D$2:$L$71,L453,0))))</f>
        <v/>
      </c>
    </row>
    <row r="454" customFormat="false" ht="15" hidden="false" customHeight="false" outlineLevel="0" collapsed="false">
      <c r="A454" s="5"/>
      <c r="B454" s="5"/>
      <c r="C454" s="5"/>
      <c r="D454" s="5"/>
      <c r="E454" s="14"/>
      <c r="F454" s="4" t="str">
        <f aca="false">IF(OR(J454="",K454="",N(J454)=0,N(K454)&lt;=0),"",ROUNDDOWN(1000*(J454/K454)^3,0))</f>
        <v/>
      </c>
      <c r="G454" s="4" t="str">
        <f aca="false">IF(M454="","",IF(M454+1&gt;COUNT(INDEX(Нормативы!$D$2:$L$71,L454,0)),"Разряда нет",INDEX(Нормативы!$D$1:$L$1,1,M454+1)))</f>
        <v/>
      </c>
      <c r="H454" s="2" t="str">
        <f aca="false">IF(M454="","",IF(M454=0,"—",INDEX(Нормативы!$D$1:$L$1,1,M454)))</f>
        <v/>
      </c>
      <c r="I454" s="7" t="str">
        <f aca="false">IF(M454="","",IF(M454=0,"",IF(INT(ROUND(INDEX(Нормативы!$D$2:$L$71,L454,M454)*100,0)/6000)&gt;0,INT(ROUND(INDEX(Нормативы!$D$2:$L$71,L454,M454)*100,0)/6000)&amp;":"&amp;RIGHT("0"&amp;INT(MOD(ROUND(INDEX(Нормативы!$D$2:$L$71,L454,M454)*100,0),6000)/100),2),INT(MOD(ROUND(INDEX(Нормативы!$D$2:$L$71,L454,M454)*100,0),6000)/100))&amp;"."&amp;RIGHT("0"&amp;MOD(ROUND(INDEX(Нормативы!$D$2:$L$71,L454,M454)*100,0),100),2)))</f>
        <v/>
      </c>
      <c r="J454" s="12" t="str">
        <f aca="false">IF(D454="","",SUMIFS('Базовые времена'!$D$2:$D$71,'Базовые времена'!$A$2:$A$71,B454,'Базовые времена'!$B$2:$B$71,C454,'Базовые времена'!$C$2:$C$71,D454))</f>
        <v/>
      </c>
      <c r="K454" s="12" t="str">
        <f aca="false">IF(E454="","",IF(ISNUMBER(E454),IF(E454&lt;1,E454*86400,E454),IFERROR(IF(ISNUMBER(FIND(":",SUBSTITUTE(TRIM(E454),",","."))),VALUE(LEFT(SUBSTITUTE(TRIM(E454),",","."),FIND(":",SUBSTITUTE(TRIM(E454),",","."))-1))*60+_xlfn.NUMBERVALUE(MID(SUBSTITUTE(TRIM(E454),",","."),FIND(":",SUBSTITUTE(TRIM(E454),",","."))+1,99),"."),_xlfn.NUMBERVALUE(SUBSTITUTE(TRIM(E454),",","."),".")),0)))</f>
        <v/>
      </c>
      <c r="L454" s="3" t="str">
        <f aca="false">IF(OR(D454="",N(K454)&lt;=0),"",IFERROR(MATCH(B454&amp;"|"&amp;C454&amp;"|"&amp;D454,Нормативы!$M$2:$M$71,0),""))</f>
        <v/>
      </c>
      <c r="M454" s="3" t="str">
        <f aca="false">IF(L454="","",SUMPRODUCT((INDEX(Нормативы!$D$2:$L$71,L454,0)&lt;K454)*ISNUMBER(INDEX(Нормативы!$D$2:$L$71,L454,0))))</f>
        <v/>
      </c>
    </row>
    <row r="455" customFormat="false" ht="15" hidden="false" customHeight="false" outlineLevel="0" collapsed="false">
      <c r="A455" s="5"/>
      <c r="B455" s="5"/>
      <c r="C455" s="5"/>
      <c r="D455" s="5"/>
      <c r="E455" s="14"/>
      <c r="F455" s="4" t="str">
        <f aca="false">IF(OR(J455="",K455="",N(J455)=0,N(K455)&lt;=0),"",ROUNDDOWN(1000*(J455/K455)^3,0))</f>
        <v/>
      </c>
      <c r="G455" s="4" t="str">
        <f aca="false">IF(M455="","",IF(M455+1&gt;COUNT(INDEX(Нормативы!$D$2:$L$71,L455,0)),"Разряда нет",INDEX(Нормативы!$D$1:$L$1,1,M455+1)))</f>
        <v/>
      </c>
      <c r="H455" s="2" t="str">
        <f aca="false">IF(M455="","",IF(M455=0,"—",INDEX(Нормативы!$D$1:$L$1,1,M455)))</f>
        <v/>
      </c>
      <c r="I455" s="7" t="str">
        <f aca="false">IF(M455="","",IF(M455=0,"",IF(INT(ROUND(INDEX(Нормативы!$D$2:$L$71,L455,M455)*100,0)/6000)&gt;0,INT(ROUND(INDEX(Нормативы!$D$2:$L$71,L455,M455)*100,0)/6000)&amp;":"&amp;RIGHT("0"&amp;INT(MOD(ROUND(INDEX(Нормативы!$D$2:$L$71,L455,M455)*100,0),6000)/100),2),INT(MOD(ROUND(INDEX(Нормативы!$D$2:$L$71,L455,M455)*100,0),6000)/100))&amp;"."&amp;RIGHT("0"&amp;MOD(ROUND(INDEX(Нормативы!$D$2:$L$71,L455,M455)*100,0),100),2)))</f>
        <v/>
      </c>
      <c r="J455" s="12" t="str">
        <f aca="false">IF(D455="","",SUMIFS('Базовые времена'!$D$2:$D$71,'Базовые времена'!$A$2:$A$71,B455,'Базовые времена'!$B$2:$B$71,C455,'Базовые времена'!$C$2:$C$71,D455))</f>
        <v/>
      </c>
      <c r="K455" s="12" t="str">
        <f aca="false">IF(E455="","",IF(ISNUMBER(E455),IF(E455&lt;1,E455*86400,E455),IFERROR(IF(ISNUMBER(FIND(":",SUBSTITUTE(TRIM(E455),",","."))),VALUE(LEFT(SUBSTITUTE(TRIM(E455),",","."),FIND(":",SUBSTITUTE(TRIM(E455),",","."))-1))*60+_xlfn.NUMBERVALUE(MID(SUBSTITUTE(TRIM(E455),",","."),FIND(":",SUBSTITUTE(TRIM(E455),",","."))+1,99),"."),_xlfn.NUMBERVALUE(SUBSTITUTE(TRIM(E455),",","."),".")),0)))</f>
        <v/>
      </c>
      <c r="L455" s="3" t="str">
        <f aca="false">IF(OR(D455="",N(K455)&lt;=0),"",IFERROR(MATCH(B455&amp;"|"&amp;C455&amp;"|"&amp;D455,Нормативы!$M$2:$M$71,0),""))</f>
        <v/>
      </c>
      <c r="M455" s="3" t="str">
        <f aca="false">IF(L455="","",SUMPRODUCT((INDEX(Нормативы!$D$2:$L$71,L455,0)&lt;K455)*ISNUMBER(INDEX(Нормативы!$D$2:$L$71,L455,0))))</f>
        <v/>
      </c>
    </row>
    <row r="456" customFormat="false" ht="15" hidden="false" customHeight="false" outlineLevel="0" collapsed="false">
      <c r="A456" s="5"/>
      <c r="B456" s="5"/>
      <c r="C456" s="5"/>
      <c r="D456" s="5"/>
      <c r="E456" s="14"/>
      <c r="F456" s="4" t="str">
        <f aca="false">IF(OR(J456="",K456="",N(J456)=0,N(K456)&lt;=0),"",ROUNDDOWN(1000*(J456/K456)^3,0))</f>
        <v/>
      </c>
      <c r="G456" s="4" t="str">
        <f aca="false">IF(M456="","",IF(M456+1&gt;COUNT(INDEX(Нормативы!$D$2:$L$71,L456,0)),"Разряда нет",INDEX(Нормативы!$D$1:$L$1,1,M456+1)))</f>
        <v/>
      </c>
      <c r="H456" s="2" t="str">
        <f aca="false">IF(M456="","",IF(M456=0,"—",INDEX(Нормативы!$D$1:$L$1,1,M456)))</f>
        <v/>
      </c>
      <c r="I456" s="7" t="str">
        <f aca="false">IF(M456="","",IF(M456=0,"",IF(INT(ROUND(INDEX(Нормативы!$D$2:$L$71,L456,M456)*100,0)/6000)&gt;0,INT(ROUND(INDEX(Нормативы!$D$2:$L$71,L456,M456)*100,0)/6000)&amp;":"&amp;RIGHT("0"&amp;INT(MOD(ROUND(INDEX(Нормативы!$D$2:$L$71,L456,M456)*100,0),6000)/100),2),INT(MOD(ROUND(INDEX(Нормативы!$D$2:$L$71,L456,M456)*100,0),6000)/100))&amp;"."&amp;RIGHT("0"&amp;MOD(ROUND(INDEX(Нормативы!$D$2:$L$71,L456,M456)*100,0),100),2)))</f>
        <v/>
      </c>
      <c r="J456" s="12" t="str">
        <f aca="false">IF(D456="","",SUMIFS('Базовые времена'!$D$2:$D$71,'Базовые времена'!$A$2:$A$71,B456,'Базовые времена'!$B$2:$B$71,C456,'Базовые времена'!$C$2:$C$71,D456))</f>
        <v/>
      </c>
      <c r="K456" s="12" t="str">
        <f aca="false">IF(E456="","",IF(ISNUMBER(E456),IF(E456&lt;1,E456*86400,E456),IFERROR(IF(ISNUMBER(FIND(":",SUBSTITUTE(TRIM(E456),",","."))),VALUE(LEFT(SUBSTITUTE(TRIM(E456),",","."),FIND(":",SUBSTITUTE(TRIM(E456),",","."))-1))*60+_xlfn.NUMBERVALUE(MID(SUBSTITUTE(TRIM(E456),",","."),FIND(":",SUBSTITUTE(TRIM(E456),",","."))+1,99),"."),_xlfn.NUMBERVALUE(SUBSTITUTE(TRIM(E456),",","."),".")),0)))</f>
        <v/>
      </c>
      <c r="L456" s="3" t="str">
        <f aca="false">IF(OR(D456="",N(K456)&lt;=0),"",IFERROR(MATCH(B456&amp;"|"&amp;C456&amp;"|"&amp;D456,Нормативы!$M$2:$M$71,0),""))</f>
        <v/>
      </c>
      <c r="M456" s="3" t="str">
        <f aca="false">IF(L456="","",SUMPRODUCT((INDEX(Нормативы!$D$2:$L$71,L456,0)&lt;K456)*ISNUMBER(INDEX(Нормативы!$D$2:$L$71,L456,0))))</f>
        <v/>
      </c>
    </row>
    <row r="457" customFormat="false" ht="15" hidden="false" customHeight="false" outlineLevel="0" collapsed="false">
      <c r="A457" s="5"/>
      <c r="B457" s="5"/>
      <c r="C457" s="5"/>
      <c r="D457" s="5"/>
      <c r="E457" s="14"/>
      <c r="F457" s="4" t="str">
        <f aca="false">IF(OR(J457="",K457="",N(J457)=0,N(K457)&lt;=0),"",ROUNDDOWN(1000*(J457/K457)^3,0))</f>
        <v/>
      </c>
      <c r="G457" s="4" t="str">
        <f aca="false">IF(M457="","",IF(M457+1&gt;COUNT(INDEX(Нормативы!$D$2:$L$71,L457,0)),"Разряда нет",INDEX(Нормативы!$D$1:$L$1,1,M457+1)))</f>
        <v/>
      </c>
      <c r="H457" s="2" t="str">
        <f aca="false">IF(M457="","",IF(M457=0,"—",INDEX(Нормативы!$D$1:$L$1,1,M457)))</f>
        <v/>
      </c>
      <c r="I457" s="7" t="str">
        <f aca="false">IF(M457="","",IF(M457=0,"",IF(INT(ROUND(INDEX(Нормативы!$D$2:$L$71,L457,M457)*100,0)/6000)&gt;0,INT(ROUND(INDEX(Нормативы!$D$2:$L$71,L457,M457)*100,0)/6000)&amp;":"&amp;RIGHT("0"&amp;INT(MOD(ROUND(INDEX(Нормативы!$D$2:$L$71,L457,M457)*100,0),6000)/100),2),INT(MOD(ROUND(INDEX(Нормативы!$D$2:$L$71,L457,M457)*100,0),6000)/100))&amp;"."&amp;RIGHT("0"&amp;MOD(ROUND(INDEX(Нормативы!$D$2:$L$71,L457,M457)*100,0),100),2)))</f>
        <v/>
      </c>
      <c r="J457" s="12" t="str">
        <f aca="false">IF(D457="","",SUMIFS('Базовые времена'!$D$2:$D$71,'Базовые времена'!$A$2:$A$71,B457,'Базовые времена'!$B$2:$B$71,C457,'Базовые времена'!$C$2:$C$71,D457))</f>
        <v/>
      </c>
      <c r="K457" s="12" t="str">
        <f aca="false">IF(E457="","",IF(ISNUMBER(E457),IF(E457&lt;1,E457*86400,E457),IFERROR(IF(ISNUMBER(FIND(":",SUBSTITUTE(TRIM(E457),",","."))),VALUE(LEFT(SUBSTITUTE(TRIM(E457),",","."),FIND(":",SUBSTITUTE(TRIM(E457),",","."))-1))*60+_xlfn.NUMBERVALUE(MID(SUBSTITUTE(TRIM(E457),",","."),FIND(":",SUBSTITUTE(TRIM(E457),",","."))+1,99),"."),_xlfn.NUMBERVALUE(SUBSTITUTE(TRIM(E457),",","."),".")),0)))</f>
        <v/>
      </c>
      <c r="L457" s="3" t="str">
        <f aca="false">IF(OR(D457="",N(K457)&lt;=0),"",IFERROR(MATCH(B457&amp;"|"&amp;C457&amp;"|"&amp;D457,Нормативы!$M$2:$M$71,0),""))</f>
        <v/>
      </c>
      <c r="M457" s="3" t="str">
        <f aca="false">IF(L457="","",SUMPRODUCT((INDEX(Нормативы!$D$2:$L$71,L457,0)&lt;K457)*ISNUMBER(INDEX(Нормативы!$D$2:$L$71,L457,0))))</f>
        <v/>
      </c>
    </row>
    <row r="458" customFormat="false" ht="15" hidden="false" customHeight="false" outlineLevel="0" collapsed="false">
      <c r="A458" s="5"/>
      <c r="B458" s="5"/>
      <c r="C458" s="5"/>
      <c r="D458" s="5"/>
      <c r="E458" s="14"/>
      <c r="F458" s="4" t="str">
        <f aca="false">IF(OR(J458="",K458="",N(J458)=0,N(K458)&lt;=0),"",ROUNDDOWN(1000*(J458/K458)^3,0))</f>
        <v/>
      </c>
      <c r="G458" s="4" t="str">
        <f aca="false">IF(M458="","",IF(M458+1&gt;COUNT(INDEX(Нормативы!$D$2:$L$71,L458,0)),"Разряда нет",INDEX(Нормативы!$D$1:$L$1,1,M458+1)))</f>
        <v/>
      </c>
      <c r="H458" s="2" t="str">
        <f aca="false">IF(M458="","",IF(M458=0,"—",INDEX(Нормативы!$D$1:$L$1,1,M458)))</f>
        <v/>
      </c>
      <c r="I458" s="7" t="str">
        <f aca="false">IF(M458="","",IF(M458=0,"",IF(INT(ROUND(INDEX(Нормативы!$D$2:$L$71,L458,M458)*100,0)/6000)&gt;0,INT(ROUND(INDEX(Нормативы!$D$2:$L$71,L458,M458)*100,0)/6000)&amp;":"&amp;RIGHT("0"&amp;INT(MOD(ROUND(INDEX(Нормативы!$D$2:$L$71,L458,M458)*100,0),6000)/100),2),INT(MOD(ROUND(INDEX(Нормативы!$D$2:$L$71,L458,M458)*100,0),6000)/100))&amp;"."&amp;RIGHT("0"&amp;MOD(ROUND(INDEX(Нормативы!$D$2:$L$71,L458,M458)*100,0),100),2)))</f>
        <v/>
      </c>
      <c r="J458" s="12" t="str">
        <f aca="false">IF(D458="","",SUMIFS('Базовые времена'!$D$2:$D$71,'Базовые времена'!$A$2:$A$71,B458,'Базовые времена'!$B$2:$B$71,C458,'Базовые времена'!$C$2:$C$71,D458))</f>
        <v/>
      </c>
      <c r="K458" s="12" t="str">
        <f aca="false">IF(E458="","",IF(ISNUMBER(E458),IF(E458&lt;1,E458*86400,E458),IFERROR(IF(ISNUMBER(FIND(":",SUBSTITUTE(TRIM(E458),",","."))),VALUE(LEFT(SUBSTITUTE(TRIM(E458),",","."),FIND(":",SUBSTITUTE(TRIM(E458),",","."))-1))*60+_xlfn.NUMBERVALUE(MID(SUBSTITUTE(TRIM(E458),",","."),FIND(":",SUBSTITUTE(TRIM(E458),",","."))+1,99),"."),_xlfn.NUMBERVALUE(SUBSTITUTE(TRIM(E458),",","."),".")),0)))</f>
        <v/>
      </c>
      <c r="L458" s="3" t="str">
        <f aca="false">IF(OR(D458="",N(K458)&lt;=0),"",IFERROR(MATCH(B458&amp;"|"&amp;C458&amp;"|"&amp;D458,Нормативы!$M$2:$M$71,0),""))</f>
        <v/>
      </c>
      <c r="M458" s="3" t="str">
        <f aca="false">IF(L458="","",SUMPRODUCT((INDEX(Нормативы!$D$2:$L$71,L458,0)&lt;K458)*ISNUMBER(INDEX(Нормативы!$D$2:$L$71,L458,0))))</f>
        <v/>
      </c>
    </row>
    <row r="459" customFormat="false" ht="15" hidden="false" customHeight="false" outlineLevel="0" collapsed="false">
      <c r="A459" s="5"/>
      <c r="B459" s="5"/>
      <c r="C459" s="5"/>
      <c r="D459" s="5"/>
      <c r="E459" s="14"/>
      <c r="F459" s="4" t="str">
        <f aca="false">IF(OR(J459="",K459="",N(J459)=0,N(K459)&lt;=0),"",ROUNDDOWN(1000*(J459/K459)^3,0))</f>
        <v/>
      </c>
      <c r="G459" s="4" t="str">
        <f aca="false">IF(M459="","",IF(M459+1&gt;COUNT(INDEX(Нормативы!$D$2:$L$71,L459,0)),"Разряда нет",INDEX(Нормативы!$D$1:$L$1,1,M459+1)))</f>
        <v/>
      </c>
      <c r="H459" s="2" t="str">
        <f aca="false">IF(M459="","",IF(M459=0,"—",INDEX(Нормативы!$D$1:$L$1,1,M459)))</f>
        <v/>
      </c>
      <c r="I459" s="7" t="str">
        <f aca="false">IF(M459="","",IF(M459=0,"",IF(INT(ROUND(INDEX(Нормативы!$D$2:$L$71,L459,M459)*100,0)/6000)&gt;0,INT(ROUND(INDEX(Нормативы!$D$2:$L$71,L459,M459)*100,0)/6000)&amp;":"&amp;RIGHT("0"&amp;INT(MOD(ROUND(INDEX(Нормативы!$D$2:$L$71,L459,M459)*100,0),6000)/100),2),INT(MOD(ROUND(INDEX(Нормативы!$D$2:$L$71,L459,M459)*100,0),6000)/100))&amp;"."&amp;RIGHT("0"&amp;MOD(ROUND(INDEX(Нормативы!$D$2:$L$71,L459,M459)*100,0),100),2)))</f>
        <v/>
      </c>
      <c r="J459" s="12" t="str">
        <f aca="false">IF(D459="","",SUMIFS('Базовые времена'!$D$2:$D$71,'Базовые времена'!$A$2:$A$71,B459,'Базовые времена'!$B$2:$B$71,C459,'Базовые времена'!$C$2:$C$71,D459))</f>
        <v/>
      </c>
      <c r="K459" s="12" t="str">
        <f aca="false">IF(E459="","",IF(ISNUMBER(E459),IF(E459&lt;1,E459*86400,E459),IFERROR(IF(ISNUMBER(FIND(":",SUBSTITUTE(TRIM(E459),",","."))),VALUE(LEFT(SUBSTITUTE(TRIM(E459),",","."),FIND(":",SUBSTITUTE(TRIM(E459),",","."))-1))*60+_xlfn.NUMBERVALUE(MID(SUBSTITUTE(TRIM(E459),",","."),FIND(":",SUBSTITUTE(TRIM(E459),",","."))+1,99),"."),_xlfn.NUMBERVALUE(SUBSTITUTE(TRIM(E459),",","."),".")),0)))</f>
        <v/>
      </c>
      <c r="L459" s="3" t="str">
        <f aca="false">IF(OR(D459="",N(K459)&lt;=0),"",IFERROR(MATCH(B459&amp;"|"&amp;C459&amp;"|"&amp;D459,Нормативы!$M$2:$M$71,0),""))</f>
        <v/>
      </c>
      <c r="M459" s="3" t="str">
        <f aca="false">IF(L459="","",SUMPRODUCT((INDEX(Нормативы!$D$2:$L$71,L459,0)&lt;K459)*ISNUMBER(INDEX(Нормативы!$D$2:$L$71,L459,0))))</f>
        <v/>
      </c>
    </row>
    <row r="460" customFormat="false" ht="15" hidden="false" customHeight="false" outlineLevel="0" collapsed="false">
      <c r="A460" s="5"/>
      <c r="B460" s="5"/>
      <c r="C460" s="5"/>
      <c r="D460" s="5"/>
      <c r="E460" s="14"/>
      <c r="F460" s="4" t="str">
        <f aca="false">IF(OR(J460="",K460="",N(J460)=0,N(K460)&lt;=0),"",ROUNDDOWN(1000*(J460/K460)^3,0))</f>
        <v/>
      </c>
      <c r="G460" s="4" t="str">
        <f aca="false">IF(M460="","",IF(M460+1&gt;COUNT(INDEX(Нормативы!$D$2:$L$71,L460,0)),"Разряда нет",INDEX(Нормативы!$D$1:$L$1,1,M460+1)))</f>
        <v/>
      </c>
      <c r="H460" s="2" t="str">
        <f aca="false">IF(M460="","",IF(M460=0,"—",INDEX(Нормативы!$D$1:$L$1,1,M460)))</f>
        <v/>
      </c>
      <c r="I460" s="7" t="str">
        <f aca="false">IF(M460="","",IF(M460=0,"",IF(INT(ROUND(INDEX(Нормативы!$D$2:$L$71,L460,M460)*100,0)/6000)&gt;0,INT(ROUND(INDEX(Нормативы!$D$2:$L$71,L460,M460)*100,0)/6000)&amp;":"&amp;RIGHT("0"&amp;INT(MOD(ROUND(INDEX(Нормативы!$D$2:$L$71,L460,M460)*100,0),6000)/100),2),INT(MOD(ROUND(INDEX(Нормативы!$D$2:$L$71,L460,M460)*100,0),6000)/100))&amp;"."&amp;RIGHT("0"&amp;MOD(ROUND(INDEX(Нормативы!$D$2:$L$71,L460,M460)*100,0),100),2)))</f>
        <v/>
      </c>
      <c r="J460" s="12" t="str">
        <f aca="false">IF(D460="","",SUMIFS('Базовые времена'!$D$2:$D$71,'Базовые времена'!$A$2:$A$71,B460,'Базовые времена'!$B$2:$B$71,C460,'Базовые времена'!$C$2:$C$71,D460))</f>
        <v/>
      </c>
      <c r="K460" s="12" t="str">
        <f aca="false">IF(E460="","",IF(ISNUMBER(E460),IF(E460&lt;1,E460*86400,E460),IFERROR(IF(ISNUMBER(FIND(":",SUBSTITUTE(TRIM(E460),",","."))),VALUE(LEFT(SUBSTITUTE(TRIM(E460),",","."),FIND(":",SUBSTITUTE(TRIM(E460),",","."))-1))*60+_xlfn.NUMBERVALUE(MID(SUBSTITUTE(TRIM(E460),",","."),FIND(":",SUBSTITUTE(TRIM(E460),",","."))+1,99),"."),_xlfn.NUMBERVALUE(SUBSTITUTE(TRIM(E460),",","."),".")),0)))</f>
        <v/>
      </c>
      <c r="L460" s="3" t="str">
        <f aca="false">IF(OR(D460="",N(K460)&lt;=0),"",IFERROR(MATCH(B460&amp;"|"&amp;C460&amp;"|"&amp;D460,Нормативы!$M$2:$M$71,0),""))</f>
        <v/>
      </c>
      <c r="M460" s="3" t="str">
        <f aca="false">IF(L460="","",SUMPRODUCT((INDEX(Нормативы!$D$2:$L$71,L460,0)&lt;K460)*ISNUMBER(INDEX(Нормативы!$D$2:$L$71,L460,0))))</f>
        <v/>
      </c>
    </row>
    <row r="461" customFormat="false" ht="15" hidden="false" customHeight="false" outlineLevel="0" collapsed="false">
      <c r="A461" s="5"/>
      <c r="B461" s="5"/>
      <c r="C461" s="5"/>
      <c r="D461" s="5"/>
      <c r="E461" s="14"/>
      <c r="F461" s="4" t="str">
        <f aca="false">IF(OR(J461="",K461="",N(J461)=0,N(K461)&lt;=0),"",ROUNDDOWN(1000*(J461/K461)^3,0))</f>
        <v/>
      </c>
      <c r="G461" s="4" t="str">
        <f aca="false">IF(M461="","",IF(M461+1&gt;COUNT(INDEX(Нормативы!$D$2:$L$71,L461,0)),"Разряда нет",INDEX(Нормативы!$D$1:$L$1,1,M461+1)))</f>
        <v/>
      </c>
      <c r="H461" s="2" t="str">
        <f aca="false">IF(M461="","",IF(M461=0,"—",INDEX(Нормативы!$D$1:$L$1,1,M461)))</f>
        <v/>
      </c>
      <c r="I461" s="7" t="str">
        <f aca="false">IF(M461="","",IF(M461=0,"",IF(INT(ROUND(INDEX(Нормативы!$D$2:$L$71,L461,M461)*100,0)/6000)&gt;0,INT(ROUND(INDEX(Нормативы!$D$2:$L$71,L461,M461)*100,0)/6000)&amp;":"&amp;RIGHT("0"&amp;INT(MOD(ROUND(INDEX(Нормативы!$D$2:$L$71,L461,M461)*100,0),6000)/100),2),INT(MOD(ROUND(INDEX(Нормативы!$D$2:$L$71,L461,M461)*100,0),6000)/100))&amp;"."&amp;RIGHT("0"&amp;MOD(ROUND(INDEX(Нормативы!$D$2:$L$71,L461,M461)*100,0),100),2)))</f>
        <v/>
      </c>
      <c r="J461" s="12" t="str">
        <f aca="false">IF(D461="","",SUMIFS('Базовые времена'!$D$2:$D$71,'Базовые времена'!$A$2:$A$71,B461,'Базовые времена'!$B$2:$B$71,C461,'Базовые времена'!$C$2:$C$71,D461))</f>
        <v/>
      </c>
      <c r="K461" s="12" t="str">
        <f aca="false">IF(E461="","",IF(ISNUMBER(E461),IF(E461&lt;1,E461*86400,E461),IFERROR(IF(ISNUMBER(FIND(":",SUBSTITUTE(TRIM(E461),",","."))),VALUE(LEFT(SUBSTITUTE(TRIM(E461),",","."),FIND(":",SUBSTITUTE(TRIM(E461),",","."))-1))*60+_xlfn.NUMBERVALUE(MID(SUBSTITUTE(TRIM(E461),",","."),FIND(":",SUBSTITUTE(TRIM(E461),",","."))+1,99),"."),_xlfn.NUMBERVALUE(SUBSTITUTE(TRIM(E461),",","."),".")),0)))</f>
        <v/>
      </c>
      <c r="L461" s="3" t="str">
        <f aca="false">IF(OR(D461="",N(K461)&lt;=0),"",IFERROR(MATCH(B461&amp;"|"&amp;C461&amp;"|"&amp;D461,Нормативы!$M$2:$M$71,0),""))</f>
        <v/>
      </c>
      <c r="M461" s="3" t="str">
        <f aca="false">IF(L461="","",SUMPRODUCT((INDEX(Нормативы!$D$2:$L$71,L461,0)&lt;K461)*ISNUMBER(INDEX(Нормативы!$D$2:$L$71,L461,0))))</f>
        <v/>
      </c>
    </row>
    <row r="462" customFormat="false" ht="15" hidden="false" customHeight="false" outlineLevel="0" collapsed="false">
      <c r="A462" s="5"/>
      <c r="B462" s="5"/>
      <c r="C462" s="5"/>
      <c r="D462" s="5"/>
      <c r="E462" s="14"/>
      <c r="F462" s="4" t="str">
        <f aca="false">IF(OR(J462="",K462="",N(J462)=0,N(K462)&lt;=0),"",ROUNDDOWN(1000*(J462/K462)^3,0))</f>
        <v/>
      </c>
      <c r="G462" s="4" t="str">
        <f aca="false">IF(M462="","",IF(M462+1&gt;COUNT(INDEX(Нормативы!$D$2:$L$71,L462,0)),"Разряда нет",INDEX(Нормативы!$D$1:$L$1,1,M462+1)))</f>
        <v/>
      </c>
      <c r="H462" s="2" t="str">
        <f aca="false">IF(M462="","",IF(M462=0,"—",INDEX(Нормативы!$D$1:$L$1,1,M462)))</f>
        <v/>
      </c>
      <c r="I462" s="7" t="str">
        <f aca="false">IF(M462="","",IF(M462=0,"",IF(INT(ROUND(INDEX(Нормативы!$D$2:$L$71,L462,M462)*100,0)/6000)&gt;0,INT(ROUND(INDEX(Нормативы!$D$2:$L$71,L462,M462)*100,0)/6000)&amp;":"&amp;RIGHT("0"&amp;INT(MOD(ROUND(INDEX(Нормативы!$D$2:$L$71,L462,M462)*100,0),6000)/100),2),INT(MOD(ROUND(INDEX(Нормативы!$D$2:$L$71,L462,M462)*100,0),6000)/100))&amp;"."&amp;RIGHT("0"&amp;MOD(ROUND(INDEX(Нормативы!$D$2:$L$71,L462,M462)*100,0),100),2)))</f>
        <v/>
      </c>
      <c r="J462" s="12" t="str">
        <f aca="false">IF(D462="","",SUMIFS('Базовые времена'!$D$2:$D$71,'Базовые времена'!$A$2:$A$71,B462,'Базовые времена'!$B$2:$B$71,C462,'Базовые времена'!$C$2:$C$71,D462))</f>
        <v/>
      </c>
      <c r="K462" s="12" t="str">
        <f aca="false">IF(E462="","",IF(ISNUMBER(E462),IF(E462&lt;1,E462*86400,E462),IFERROR(IF(ISNUMBER(FIND(":",SUBSTITUTE(TRIM(E462),",","."))),VALUE(LEFT(SUBSTITUTE(TRIM(E462),",","."),FIND(":",SUBSTITUTE(TRIM(E462),",","."))-1))*60+_xlfn.NUMBERVALUE(MID(SUBSTITUTE(TRIM(E462),",","."),FIND(":",SUBSTITUTE(TRIM(E462),",","."))+1,99),"."),_xlfn.NUMBERVALUE(SUBSTITUTE(TRIM(E462),",","."),".")),0)))</f>
        <v/>
      </c>
      <c r="L462" s="3" t="str">
        <f aca="false">IF(OR(D462="",N(K462)&lt;=0),"",IFERROR(MATCH(B462&amp;"|"&amp;C462&amp;"|"&amp;D462,Нормативы!$M$2:$M$71,0),""))</f>
        <v/>
      </c>
      <c r="M462" s="3" t="str">
        <f aca="false">IF(L462="","",SUMPRODUCT((INDEX(Нормативы!$D$2:$L$71,L462,0)&lt;K462)*ISNUMBER(INDEX(Нормативы!$D$2:$L$71,L462,0))))</f>
        <v/>
      </c>
    </row>
    <row r="463" customFormat="false" ht="15" hidden="false" customHeight="false" outlineLevel="0" collapsed="false">
      <c r="A463" s="5"/>
      <c r="B463" s="5"/>
      <c r="C463" s="5"/>
      <c r="D463" s="5"/>
      <c r="E463" s="14"/>
      <c r="F463" s="4" t="str">
        <f aca="false">IF(OR(J463="",K463="",N(J463)=0,N(K463)&lt;=0),"",ROUNDDOWN(1000*(J463/K463)^3,0))</f>
        <v/>
      </c>
      <c r="G463" s="4" t="str">
        <f aca="false">IF(M463="","",IF(M463+1&gt;COUNT(INDEX(Нормативы!$D$2:$L$71,L463,0)),"Разряда нет",INDEX(Нормативы!$D$1:$L$1,1,M463+1)))</f>
        <v/>
      </c>
      <c r="H463" s="2" t="str">
        <f aca="false">IF(M463="","",IF(M463=0,"—",INDEX(Нормативы!$D$1:$L$1,1,M463)))</f>
        <v/>
      </c>
      <c r="I463" s="7" t="str">
        <f aca="false">IF(M463="","",IF(M463=0,"",IF(INT(ROUND(INDEX(Нормативы!$D$2:$L$71,L463,M463)*100,0)/6000)&gt;0,INT(ROUND(INDEX(Нормативы!$D$2:$L$71,L463,M463)*100,0)/6000)&amp;":"&amp;RIGHT("0"&amp;INT(MOD(ROUND(INDEX(Нормативы!$D$2:$L$71,L463,M463)*100,0),6000)/100),2),INT(MOD(ROUND(INDEX(Нормативы!$D$2:$L$71,L463,M463)*100,0),6000)/100))&amp;"."&amp;RIGHT("0"&amp;MOD(ROUND(INDEX(Нормативы!$D$2:$L$71,L463,M463)*100,0),100),2)))</f>
        <v/>
      </c>
      <c r="J463" s="12" t="str">
        <f aca="false">IF(D463="","",SUMIFS('Базовые времена'!$D$2:$D$71,'Базовые времена'!$A$2:$A$71,B463,'Базовые времена'!$B$2:$B$71,C463,'Базовые времена'!$C$2:$C$71,D463))</f>
        <v/>
      </c>
      <c r="K463" s="12" t="str">
        <f aca="false">IF(E463="","",IF(ISNUMBER(E463),IF(E463&lt;1,E463*86400,E463),IFERROR(IF(ISNUMBER(FIND(":",SUBSTITUTE(TRIM(E463),",","."))),VALUE(LEFT(SUBSTITUTE(TRIM(E463),",","."),FIND(":",SUBSTITUTE(TRIM(E463),",","."))-1))*60+_xlfn.NUMBERVALUE(MID(SUBSTITUTE(TRIM(E463),",","."),FIND(":",SUBSTITUTE(TRIM(E463),",","."))+1,99),"."),_xlfn.NUMBERVALUE(SUBSTITUTE(TRIM(E463),",","."),".")),0)))</f>
        <v/>
      </c>
      <c r="L463" s="3" t="str">
        <f aca="false">IF(OR(D463="",N(K463)&lt;=0),"",IFERROR(MATCH(B463&amp;"|"&amp;C463&amp;"|"&amp;D463,Нормативы!$M$2:$M$71,0),""))</f>
        <v/>
      </c>
      <c r="M463" s="3" t="str">
        <f aca="false">IF(L463="","",SUMPRODUCT((INDEX(Нормативы!$D$2:$L$71,L463,0)&lt;K463)*ISNUMBER(INDEX(Нормативы!$D$2:$L$71,L463,0))))</f>
        <v/>
      </c>
    </row>
    <row r="464" customFormat="false" ht="15" hidden="false" customHeight="false" outlineLevel="0" collapsed="false">
      <c r="A464" s="5"/>
      <c r="B464" s="5"/>
      <c r="C464" s="5"/>
      <c r="D464" s="5"/>
      <c r="E464" s="14"/>
      <c r="F464" s="4" t="str">
        <f aca="false">IF(OR(J464="",K464="",N(J464)=0,N(K464)&lt;=0),"",ROUNDDOWN(1000*(J464/K464)^3,0))</f>
        <v/>
      </c>
      <c r="G464" s="4" t="str">
        <f aca="false">IF(M464="","",IF(M464+1&gt;COUNT(INDEX(Нормативы!$D$2:$L$71,L464,0)),"Разряда нет",INDEX(Нормативы!$D$1:$L$1,1,M464+1)))</f>
        <v/>
      </c>
      <c r="H464" s="2" t="str">
        <f aca="false">IF(M464="","",IF(M464=0,"—",INDEX(Нормативы!$D$1:$L$1,1,M464)))</f>
        <v/>
      </c>
      <c r="I464" s="7" t="str">
        <f aca="false">IF(M464="","",IF(M464=0,"",IF(INT(ROUND(INDEX(Нормативы!$D$2:$L$71,L464,M464)*100,0)/6000)&gt;0,INT(ROUND(INDEX(Нормативы!$D$2:$L$71,L464,M464)*100,0)/6000)&amp;":"&amp;RIGHT("0"&amp;INT(MOD(ROUND(INDEX(Нормативы!$D$2:$L$71,L464,M464)*100,0),6000)/100),2),INT(MOD(ROUND(INDEX(Нормативы!$D$2:$L$71,L464,M464)*100,0),6000)/100))&amp;"."&amp;RIGHT("0"&amp;MOD(ROUND(INDEX(Нормативы!$D$2:$L$71,L464,M464)*100,0),100),2)))</f>
        <v/>
      </c>
      <c r="J464" s="12" t="str">
        <f aca="false">IF(D464="","",SUMIFS('Базовые времена'!$D$2:$D$71,'Базовые времена'!$A$2:$A$71,B464,'Базовые времена'!$B$2:$B$71,C464,'Базовые времена'!$C$2:$C$71,D464))</f>
        <v/>
      </c>
      <c r="K464" s="12" t="str">
        <f aca="false">IF(E464="","",IF(ISNUMBER(E464),IF(E464&lt;1,E464*86400,E464),IFERROR(IF(ISNUMBER(FIND(":",SUBSTITUTE(TRIM(E464),",","."))),VALUE(LEFT(SUBSTITUTE(TRIM(E464),",","."),FIND(":",SUBSTITUTE(TRIM(E464),",","."))-1))*60+_xlfn.NUMBERVALUE(MID(SUBSTITUTE(TRIM(E464),",","."),FIND(":",SUBSTITUTE(TRIM(E464),",","."))+1,99),"."),_xlfn.NUMBERVALUE(SUBSTITUTE(TRIM(E464),",","."),".")),0)))</f>
        <v/>
      </c>
      <c r="L464" s="3" t="str">
        <f aca="false">IF(OR(D464="",N(K464)&lt;=0),"",IFERROR(MATCH(B464&amp;"|"&amp;C464&amp;"|"&amp;D464,Нормативы!$M$2:$M$71,0),""))</f>
        <v/>
      </c>
      <c r="M464" s="3" t="str">
        <f aca="false">IF(L464="","",SUMPRODUCT((INDEX(Нормативы!$D$2:$L$71,L464,0)&lt;K464)*ISNUMBER(INDEX(Нормативы!$D$2:$L$71,L464,0))))</f>
        <v/>
      </c>
    </row>
    <row r="465" customFormat="false" ht="15" hidden="false" customHeight="false" outlineLevel="0" collapsed="false">
      <c r="A465" s="5"/>
      <c r="B465" s="5"/>
      <c r="C465" s="5"/>
      <c r="D465" s="5"/>
      <c r="E465" s="14"/>
      <c r="F465" s="4" t="str">
        <f aca="false">IF(OR(J465="",K465="",N(J465)=0,N(K465)&lt;=0),"",ROUNDDOWN(1000*(J465/K465)^3,0))</f>
        <v/>
      </c>
      <c r="G465" s="4" t="str">
        <f aca="false">IF(M465="","",IF(M465+1&gt;COUNT(INDEX(Нормативы!$D$2:$L$71,L465,0)),"Разряда нет",INDEX(Нормативы!$D$1:$L$1,1,M465+1)))</f>
        <v/>
      </c>
      <c r="H465" s="2" t="str">
        <f aca="false">IF(M465="","",IF(M465=0,"—",INDEX(Нормативы!$D$1:$L$1,1,M465)))</f>
        <v/>
      </c>
      <c r="I465" s="7" t="str">
        <f aca="false">IF(M465="","",IF(M465=0,"",IF(INT(ROUND(INDEX(Нормативы!$D$2:$L$71,L465,M465)*100,0)/6000)&gt;0,INT(ROUND(INDEX(Нормативы!$D$2:$L$71,L465,M465)*100,0)/6000)&amp;":"&amp;RIGHT("0"&amp;INT(MOD(ROUND(INDEX(Нормативы!$D$2:$L$71,L465,M465)*100,0),6000)/100),2),INT(MOD(ROUND(INDEX(Нормативы!$D$2:$L$71,L465,M465)*100,0),6000)/100))&amp;"."&amp;RIGHT("0"&amp;MOD(ROUND(INDEX(Нормативы!$D$2:$L$71,L465,M465)*100,0),100),2)))</f>
        <v/>
      </c>
      <c r="J465" s="12" t="str">
        <f aca="false">IF(D465="","",SUMIFS('Базовые времена'!$D$2:$D$71,'Базовые времена'!$A$2:$A$71,B465,'Базовые времена'!$B$2:$B$71,C465,'Базовые времена'!$C$2:$C$71,D465))</f>
        <v/>
      </c>
      <c r="K465" s="12" t="str">
        <f aca="false">IF(E465="","",IF(ISNUMBER(E465),IF(E465&lt;1,E465*86400,E465),IFERROR(IF(ISNUMBER(FIND(":",SUBSTITUTE(TRIM(E465),",","."))),VALUE(LEFT(SUBSTITUTE(TRIM(E465),",","."),FIND(":",SUBSTITUTE(TRIM(E465),",","."))-1))*60+_xlfn.NUMBERVALUE(MID(SUBSTITUTE(TRIM(E465),",","."),FIND(":",SUBSTITUTE(TRIM(E465),",","."))+1,99),"."),_xlfn.NUMBERVALUE(SUBSTITUTE(TRIM(E465),",","."),".")),0)))</f>
        <v/>
      </c>
      <c r="L465" s="3" t="str">
        <f aca="false">IF(OR(D465="",N(K465)&lt;=0),"",IFERROR(MATCH(B465&amp;"|"&amp;C465&amp;"|"&amp;D465,Нормативы!$M$2:$M$71,0),""))</f>
        <v/>
      </c>
      <c r="M465" s="3" t="str">
        <f aca="false">IF(L465="","",SUMPRODUCT((INDEX(Нормативы!$D$2:$L$71,L465,0)&lt;K465)*ISNUMBER(INDEX(Нормативы!$D$2:$L$71,L465,0))))</f>
        <v/>
      </c>
    </row>
    <row r="466" customFormat="false" ht="15" hidden="false" customHeight="false" outlineLevel="0" collapsed="false">
      <c r="A466" s="5"/>
      <c r="B466" s="5"/>
      <c r="C466" s="5"/>
      <c r="D466" s="5"/>
      <c r="E466" s="14"/>
      <c r="F466" s="4" t="str">
        <f aca="false">IF(OR(J466="",K466="",N(J466)=0,N(K466)&lt;=0),"",ROUNDDOWN(1000*(J466/K466)^3,0))</f>
        <v/>
      </c>
      <c r="G466" s="4" t="str">
        <f aca="false">IF(M466="","",IF(M466+1&gt;COUNT(INDEX(Нормативы!$D$2:$L$71,L466,0)),"Разряда нет",INDEX(Нормативы!$D$1:$L$1,1,M466+1)))</f>
        <v/>
      </c>
      <c r="H466" s="2" t="str">
        <f aca="false">IF(M466="","",IF(M466=0,"—",INDEX(Нормативы!$D$1:$L$1,1,M466)))</f>
        <v/>
      </c>
      <c r="I466" s="7" t="str">
        <f aca="false">IF(M466="","",IF(M466=0,"",IF(INT(ROUND(INDEX(Нормативы!$D$2:$L$71,L466,M466)*100,0)/6000)&gt;0,INT(ROUND(INDEX(Нормативы!$D$2:$L$71,L466,M466)*100,0)/6000)&amp;":"&amp;RIGHT("0"&amp;INT(MOD(ROUND(INDEX(Нормативы!$D$2:$L$71,L466,M466)*100,0),6000)/100),2),INT(MOD(ROUND(INDEX(Нормативы!$D$2:$L$71,L466,M466)*100,0),6000)/100))&amp;"."&amp;RIGHT("0"&amp;MOD(ROUND(INDEX(Нормативы!$D$2:$L$71,L466,M466)*100,0),100),2)))</f>
        <v/>
      </c>
      <c r="J466" s="12" t="str">
        <f aca="false">IF(D466="","",SUMIFS('Базовые времена'!$D$2:$D$71,'Базовые времена'!$A$2:$A$71,B466,'Базовые времена'!$B$2:$B$71,C466,'Базовые времена'!$C$2:$C$71,D466))</f>
        <v/>
      </c>
      <c r="K466" s="12" t="str">
        <f aca="false">IF(E466="","",IF(ISNUMBER(E466),IF(E466&lt;1,E466*86400,E466),IFERROR(IF(ISNUMBER(FIND(":",SUBSTITUTE(TRIM(E466),",","."))),VALUE(LEFT(SUBSTITUTE(TRIM(E466),",","."),FIND(":",SUBSTITUTE(TRIM(E466),",","."))-1))*60+_xlfn.NUMBERVALUE(MID(SUBSTITUTE(TRIM(E466),",","."),FIND(":",SUBSTITUTE(TRIM(E466),",","."))+1,99),"."),_xlfn.NUMBERVALUE(SUBSTITUTE(TRIM(E466),",","."),".")),0)))</f>
        <v/>
      </c>
      <c r="L466" s="3" t="str">
        <f aca="false">IF(OR(D466="",N(K466)&lt;=0),"",IFERROR(MATCH(B466&amp;"|"&amp;C466&amp;"|"&amp;D466,Нормативы!$M$2:$M$71,0),""))</f>
        <v/>
      </c>
      <c r="M466" s="3" t="str">
        <f aca="false">IF(L466="","",SUMPRODUCT((INDEX(Нормативы!$D$2:$L$71,L466,0)&lt;K466)*ISNUMBER(INDEX(Нормативы!$D$2:$L$71,L466,0))))</f>
        <v/>
      </c>
    </row>
    <row r="467" customFormat="false" ht="15" hidden="false" customHeight="false" outlineLevel="0" collapsed="false">
      <c r="A467" s="5"/>
      <c r="B467" s="5"/>
      <c r="C467" s="5"/>
      <c r="D467" s="5"/>
      <c r="E467" s="14"/>
      <c r="F467" s="4" t="str">
        <f aca="false">IF(OR(J467="",K467="",N(J467)=0,N(K467)&lt;=0),"",ROUNDDOWN(1000*(J467/K467)^3,0))</f>
        <v/>
      </c>
      <c r="G467" s="4" t="str">
        <f aca="false">IF(M467="","",IF(M467+1&gt;COUNT(INDEX(Нормативы!$D$2:$L$71,L467,0)),"Разряда нет",INDEX(Нормативы!$D$1:$L$1,1,M467+1)))</f>
        <v/>
      </c>
      <c r="H467" s="2" t="str">
        <f aca="false">IF(M467="","",IF(M467=0,"—",INDEX(Нормативы!$D$1:$L$1,1,M467)))</f>
        <v/>
      </c>
      <c r="I467" s="7" t="str">
        <f aca="false">IF(M467="","",IF(M467=0,"",IF(INT(ROUND(INDEX(Нормативы!$D$2:$L$71,L467,M467)*100,0)/6000)&gt;0,INT(ROUND(INDEX(Нормативы!$D$2:$L$71,L467,M467)*100,0)/6000)&amp;":"&amp;RIGHT("0"&amp;INT(MOD(ROUND(INDEX(Нормативы!$D$2:$L$71,L467,M467)*100,0),6000)/100),2),INT(MOD(ROUND(INDEX(Нормативы!$D$2:$L$71,L467,M467)*100,0),6000)/100))&amp;"."&amp;RIGHT("0"&amp;MOD(ROUND(INDEX(Нормативы!$D$2:$L$71,L467,M467)*100,0),100),2)))</f>
        <v/>
      </c>
      <c r="J467" s="12" t="str">
        <f aca="false">IF(D467="","",SUMIFS('Базовые времена'!$D$2:$D$71,'Базовые времена'!$A$2:$A$71,B467,'Базовые времена'!$B$2:$B$71,C467,'Базовые времена'!$C$2:$C$71,D467))</f>
        <v/>
      </c>
      <c r="K467" s="12" t="str">
        <f aca="false">IF(E467="","",IF(ISNUMBER(E467),IF(E467&lt;1,E467*86400,E467),IFERROR(IF(ISNUMBER(FIND(":",SUBSTITUTE(TRIM(E467),",","."))),VALUE(LEFT(SUBSTITUTE(TRIM(E467),",","."),FIND(":",SUBSTITUTE(TRIM(E467),",","."))-1))*60+_xlfn.NUMBERVALUE(MID(SUBSTITUTE(TRIM(E467),",","."),FIND(":",SUBSTITUTE(TRIM(E467),",","."))+1,99),"."),_xlfn.NUMBERVALUE(SUBSTITUTE(TRIM(E467),",","."),".")),0)))</f>
        <v/>
      </c>
      <c r="L467" s="3" t="str">
        <f aca="false">IF(OR(D467="",N(K467)&lt;=0),"",IFERROR(MATCH(B467&amp;"|"&amp;C467&amp;"|"&amp;D467,Нормативы!$M$2:$M$71,0),""))</f>
        <v/>
      </c>
      <c r="M467" s="3" t="str">
        <f aca="false">IF(L467="","",SUMPRODUCT((INDEX(Нормативы!$D$2:$L$71,L467,0)&lt;K467)*ISNUMBER(INDEX(Нормативы!$D$2:$L$71,L467,0))))</f>
        <v/>
      </c>
    </row>
    <row r="468" customFormat="false" ht="15" hidden="false" customHeight="false" outlineLevel="0" collapsed="false">
      <c r="A468" s="5"/>
      <c r="B468" s="5"/>
      <c r="C468" s="5"/>
      <c r="D468" s="5"/>
      <c r="E468" s="14"/>
      <c r="F468" s="4" t="str">
        <f aca="false">IF(OR(J468="",K468="",N(J468)=0,N(K468)&lt;=0),"",ROUNDDOWN(1000*(J468/K468)^3,0))</f>
        <v/>
      </c>
      <c r="G468" s="4" t="str">
        <f aca="false">IF(M468="","",IF(M468+1&gt;COUNT(INDEX(Нормативы!$D$2:$L$71,L468,0)),"Разряда нет",INDEX(Нормативы!$D$1:$L$1,1,M468+1)))</f>
        <v/>
      </c>
      <c r="H468" s="2" t="str">
        <f aca="false">IF(M468="","",IF(M468=0,"—",INDEX(Нормативы!$D$1:$L$1,1,M468)))</f>
        <v/>
      </c>
      <c r="I468" s="7" t="str">
        <f aca="false">IF(M468="","",IF(M468=0,"",IF(INT(ROUND(INDEX(Нормативы!$D$2:$L$71,L468,M468)*100,0)/6000)&gt;0,INT(ROUND(INDEX(Нормативы!$D$2:$L$71,L468,M468)*100,0)/6000)&amp;":"&amp;RIGHT("0"&amp;INT(MOD(ROUND(INDEX(Нормативы!$D$2:$L$71,L468,M468)*100,0),6000)/100),2),INT(MOD(ROUND(INDEX(Нормативы!$D$2:$L$71,L468,M468)*100,0),6000)/100))&amp;"."&amp;RIGHT("0"&amp;MOD(ROUND(INDEX(Нормативы!$D$2:$L$71,L468,M468)*100,0),100),2)))</f>
        <v/>
      </c>
      <c r="J468" s="12" t="str">
        <f aca="false">IF(D468="","",SUMIFS('Базовые времена'!$D$2:$D$71,'Базовые времена'!$A$2:$A$71,B468,'Базовые времена'!$B$2:$B$71,C468,'Базовые времена'!$C$2:$C$71,D468))</f>
        <v/>
      </c>
      <c r="K468" s="12" t="str">
        <f aca="false">IF(E468="","",IF(ISNUMBER(E468),IF(E468&lt;1,E468*86400,E468),IFERROR(IF(ISNUMBER(FIND(":",SUBSTITUTE(TRIM(E468),",","."))),VALUE(LEFT(SUBSTITUTE(TRIM(E468),",","."),FIND(":",SUBSTITUTE(TRIM(E468),",","."))-1))*60+_xlfn.NUMBERVALUE(MID(SUBSTITUTE(TRIM(E468),",","."),FIND(":",SUBSTITUTE(TRIM(E468),",","."))+1,99),"."),_xlfn.NUMBERVALUE(SUBSTITUTE(TRIM(E468),",","."),".")),0)))</f>
        <v/>
      </c>
      <c r="L468" s="3" t="str">
        <f aca="false">IF(OR(D468="",N(K468)&lt;=0),"",IFERROR(MATCH(B468&amp;"|"&amp;C468&amp;"|"&amp;D468,Нормативы!$M$2:$M$71,0),""))</f>
        <v/>
      </c>
      <c r="M468" s="3" t="str">
        <f aca="false">IF(L468="","",SUMPRODUCT((INDEX(Нормативы!$D$2:$L$71,L468,0)&lt;K468)*ISNUMBER(INDEX(Нормативы!$D$2:$L$71,L468,0))))</f>
        <v/>
      </c>
    </row>
    <row r="469" customFormat="false" ht="15" hidden="false" customHeight="false" outlineLevel="0" collapsed="false">
      <c r="A469" s="5"/>
      <c r="B469" s="5"/>
      <c r="C469" s="5"/>
      <c r="D469" s="5"/>
      <c r="E469" s="14"/>
      <c r="F469" s="4" t="str">
        <f aca="false">IF(OR(J469="",K469="",N(J469)=0,N(K469)&lt;=0),"",ROUNDDOWN(1000*(J469/K469)^3,0))</f>
        <v/>
      </c>
      <c r="G469" s="4" t="str">
        <f aca="false">IF(M469="","",IF(M469+1&gt;COUNT(INDEX(Нормативы!$D$2:$L$71,L469,0)),"Разряда нет",INDEX(Нормативы!$D$1:$L$1,1,M469+1)))</f>
        <v/>
      </c>
      <c r="H469" s="2" t="str">
        <f aca="false">IF(M469="","",IF(M469=0,"—",INDEX(Нормативы!$D$1:$L$1,1,M469)))</f>
        <v/>
      </c>
      <c r="I469" s="7" t="str">
        <f aca="false">IF(M469="","",IF(M469=0,"",IF(INT(ROUND(INDEX(Нормативы!$D$2:$L$71,L469,M469)*100,0)/6000)&gt;0,INT(ROUND(INDEX(Нормативы!$D$2:$L$71,L469,M469)*100,0)/6000)&amp;":"&amp;RIGHT("0"&amp;INT(MOD(ROUND(INDEX(Нормативы!$D$2:$L$71,L469,M469)*100,0),6000)/100),2),INT(MOD(ROUND(INDEX(Нормативы!$D$2:$L$71,L469,M469)*100,0),6000)/100))&amp;"."&amp;RIGHT("0"&amp;MOD(ROUND(INDEX(Нормативы!$D$2:$L$71,L469,M469)*100,0),100),2)))</f>
        <v/>
      </c>
      <c r="J469" s="12" t="str">
        <f aca="false">IF(D469="","",SUMIFS('Базовые времена'!$D$2:$D$71,'Базовые времена'!$A$2:$A$71,B469,'Базовые времена'!$B$2:$B$71,C469,'Базовые времена'!$C$2:$C$71,D469))</f>
        <v/>
      </c>
      <c r="K469" s="12" t="str">
        <f aca="false">IF(E469="","",IF(ISNUMBER(E469),IF(E469&lt;1,E469*86400,E469),IFERROR(IF(ISNUMBER(FIND(":",SUBSTITUTE(TRIM(E469),",","."))),VALUE(LEFT(SUBSTITUTE(TRIM(E469),",","."),FIND(":",SUBSTITUTE(TRIM(E469),",","."))-1))*60+_xlfn.NUMBERVALUE(MID(SUBSTITUTE(TRIM(E469),",","."),FIND(":",SUBSTITUTE(TRIM(E469),",","."))+1,99),"."),_xlfn.NUMBERVALUE(SUBSTITUTE(TRIM(E469),",","."),".")),0)))</f>
        <v/>
      </c>
      <c r="L469" s="3" t="str">
        <f aca="false">IF(OR(D469="",N(K469)&lt;=0),"",IFERROR(MATCH(B469&amp;"|"&amp;C469&amp;"|"&amp;D469,Нормативы!$M$2:$M$71,0),""))</f>
        <v/>
      </c>
      <c r="M469" s="3" t="str">
        <f aca="false">IF(L469="","",SUMPRODUCT((INDEX(Нормативы!$D$2:$L$71,L469,0)&lt;K469)*ISNUMBER(INDEX(Нормативы!$D$2:$L$71,L469,0))))</f>
        <v/>
      </c>
    </row>
    <row r="470" customFormat="false" ht="15" hidden="false" customHeight="false" outlineLevel="0" collapsed="false">
      <c r="A470" s="5"/>
      <c r="B470" s="5"/>
      <c r="C470" s="5"/>
      <c r="D470" s="5"/>
      <c r="E470" s="14"/>
      <c r="F470" s="4" t="str">
        <f aca="false">IF(OR(J470="",K470="",N(J470)=0,N(K470)&lt;=0),"",ROUNDDOWN(1000*(J470/K470)^3,0))</f>
        <v/>
      </c>
      <c r="G470" s="4" t="str">
        <f aca="false">IF(M470="","",IF(M470+1&gt;COUNT(INDEX(Нормативы!$D$2:$L$71,L470,0)),"Разряда нет",INDEX(Нормативы!$D$1:$L$1,1,M470+1)))</f>
        <v/>
      </c>
      <c r="H470" s="2" t="str">
        <f aca="false">IF(M470="","",IF(M470=0,"—",INDEX(Нормативы!$D$1:$L$1,1,M470)))</f>
        <v/>
      </c>
      <c r="I470" s="7" t="str">
        <f aca="false">IF(M470="","",IF(M470=0,"",IF(INT(ROUND(INDEX(Нормативы!$D$2:$L$71,L470,M470)*100,0)/6000)&gt;0,INT(ROUND(INDEX(Нормативы!$D$2:$L$71,L470,M470)*100,0)/6000)&amp;":"&amp;RIGHT("0"&amp;INT(MOD(ROUND(INDEX(Нормативы!$D$2:$L$71,L470,M470)*100,0),6000)/100),2),INT(MOD(ROUND(INDEX(Нормативы!$D$2:$L$71,L470,M470)*100,0),6000)/100))&amp;"."&amp;RIGHT("0"&amp;MOD(ROUND(INDEX(Нормативы!$D$2:$L$71,L470,M470)*100,0),100),2)))</f>
        <v/>
      </c>
      <c r="J470" s="12" t="str">
        <f aca="false">IF(D470="","",SUMIFS('Базовые времена'!$D$2:$D$71,'Базовые времена'!$A$2:$A$71,B470,'Базовые времена'!$B$2:$B$71,C470,'Базовые времена'!$C$2:$C$71,D470))</f>
        <v/>
      </c>
      <c r="K470" s="12" t="str">
        <f aca="false">IF(E470="","",IF(ISNUMBER(E470),IF(E470&lt;1,E470*86400,E470),IFERROR(IF(ISNUMBER(FIND(":",SUBSTITUTE(TRIM(E470),",","."))),VALUE(LEFT(SUBSTITUTE(TRIM(E470),",","."),FIND(":",SUBSTITUTE(TRIM(E470),",","."))-1))*60+_xlfn.NUMBERVALUE(MID(SUBSTITUTE(TRIM(E470),",","."),FIND(":",SUBSTITUTE(TRIM(E470),",","."))+1,99),"."),_xlfn.NUMBERVALUE(SUBSTITUTE(TRIM(E470),",","."),".")),0)))</f>
        <v/>
      </c>
      <c r="L470" s="3" t="str">
        <f aca="false">IF(OR(D470="",N(K470)&lt;=0),"",IFERROR(MATCH(B470&amp;"|"&amp;C470&amp;"|"&amp;D470,Нормативы!$M$2:$M$71,0),""))</f>
        <v/>
      </c>
      <c r="M470" s="3" t="str">
        <f aca="false">IF(L470="","",SUMPRODUCT((INDEX(Нормативы!$D$2:$L$71,L470,0)&lt;K470)*ISNUMBER(INDEX(Нормативы!$D$2:$L$71,L470,0))))</f>
        <v/>
      </c>
    </row>
    <row r="471" customFormat="false" ht="15" hidden="false" customHeight="false" outlineLevel="0" collapsed="false">
      <c r="A471" s="5"/>
      <c r="B471" s="5"/>
      <c r="C471" s="5"/>
      <c r="D471" s="5"/>
      <c r="E471" s="14"/>
      <c r="F471" s="4" t="str">
        <f aca="false">IF(OR(J471="",K471="",N(J471)=0,N(K471)&lt;=0),"",ROUNDDOWN(1000*(J471/K471)^3,0))</f>
        <v/>
      </c>
      <c r="G471" s="4" t="str">
        <f aca="false">IF(M471="","",IF(M471+1&gt;COUNT(INDEX(Нормативы!$D$2:$L$71,L471,0)),"Разряда нет",INDEX(Нормативы!$D$1:$L$1,1,M471+1)))</f>
        <v/>
      </c>
      <c r="H471" s="2" t="str">
        <f aca="false">IF(M471="","",IF(M471=0,"—",INDEX(Нормативы!$D$1:$L$1,1,M471)))</f>
        <v/>
      </c>
      <c r="I471" s="7" t="str">
        <f aca="false">IF(M471="","",IF(M471=0,"",IF(INT(ROUND(INDEX(Нормативы!$D$2:$L$71,L471,M471)*100,0)/6000)&gt;0,INT(ROUND(INDEX(Нормативы!$D$2:$L$71,L471,M471)*100,0)/6000)&amp;":"&amp;RIGHT("0"&amp;INT(MOD(ROUND(INDEX(Нормативы!$D$2:$L$71,L471,M471)*100,0),6000)/100),2),INT(MOD(ROUND(INDEX(Нормативы!$D$2:$L$71,L471,M471)*100,0),6000)/100))&amp;"."&amp;RIGHT("0"&amp;MOD(ROUND(INDEX(Нормативы!$D$2:$L$71,L471,M471)*100,0),100),2)))</f>
        <v/>
      </c>
      <c r="J471" s="12" t="str">
        <f aca="false">IF(D471="","",SUMIFS('Базовые времена'!$D$2:$D$71,'Базовые времена'!$A$2:$A$71,B471,'Базовые времена'!$B$2:$B$71,C471,'Базовые времена'!$C$2:$C$71,D471))</f>
        <v/>
      </c>
      <c r="K471" s="12" t="str">
        <f aca="false">IF(E471="","",IF(ISNUMBER(E471),IF(E471&lt;1,E471*86400,E471),IFERROR(IF(ISNUMBER(FIND(":",SUBSTITUTE(TRIM(E471),",","."))),VALUE(LEFT(SUBSTITUTE(TRIM(E471),",","."),FIND(":",SUBSTITUTE(TRIM(E471),",","."))-1))*60+_xlfn.NUMBERVALUE(MID(SUBSTITUTE(TRIM(E471),",","."),FIND(":",SUBSTITUTE(TRIM(E471),",","."))+1,99),"."),_xlfn.NUMBERVALUE(SUBSTITUTE(TRIM(E471),",","."),".")),0)))</f>
        <v/>
      </c>
      <c r="L471" s="3" t="str">
        <f aca="false">IF(OR(D471="",N(K471)&lt;=0),"",IFERROR(MATCH(B471&amp;"|"&amp;C471&amp;"|"&amp;D471,Нормативы!$M$2:$M$71,0),""))</f>
        <v/>
      </c>
      <c r="M471" s="3" t="str">
        <f aca="false">IF(L471="","",SUMPRODUCT((INDEX(Нормативы!$D$2:$L$71,L471,0)&lt;K471)*ISNUMBER(INDEX(Нормативы!$D$2:$L$71,L471,0))))</f>
        <v/>
      </c>
    </row>
    <row r="472" customFormat="false" ht="15" hidden="false" customHeight="false" outlineLevel="0" collapsed="false">
      <c r="A472" s="5"/>
      <c r="B472" s="5"/>
      <c r="C472" s="5"/>
      <c r="D472" s="5"/>
      <c r="E472" s="14"/>
      <c r="F472" s="4" t="str">
        <f aca="false">IF(OR(J472="",K472="",N(J472)=0,N(K472)&lt;=0),"",ROUNDDOWN(1000*(J472/K472)^3,0))</f>
        <v/>
      </c>
      <c r="G472" s="4" t="str">
        <f aca="false">IF(M472="","",IF(M472+1&gt;COUNT(INDEX(Нормативы!$D$2:$L$71,L472,0)),"Разряда нет",INDEX(Нормативы!$D$1:$L$1,1,M472+1)))</f>
        <v/>
      </c>
      <c r="H472" s="2" t="str">
        <f aca="false">IF(M472="","",IF(M472=0,"—",INDEX(Нормативы!$D$1:$L$1,1,M472)))</f>
        <v/>
      </c>
      <c r="I472" s="7" t="str">
        <f aca="false">IF(M472="","",IF(M472=0,"",IF(INT(ROUND(INDEX(Нормативы!$D$2:$L$71,L472,M472)*100,0)/6000)&gt;0,INT(ROUND(INDEX(Нормативы!$D$2:$L$71,L472,M472)*100,0)/6000)&amp;":"&amp;RIGHT("0"&amp;INT(MOD(ROUND(INDEX(Нормативы!$D$2:$L$71,L472,M472)*100,0),6000)/100),2),INT(MOD(ROUND(INDEX(Нормативы!$D$2:$L$71,L472,M472)*100,0),6000)/100))&amp;"."&amp;RIGHT("0"&amp;MOD(ROUND(INDEX(Нормативы!$D$2:$L$71,L472,M472)*100,0),100),2)))</f>
        <v/>
      </c>
      <c r="J472" s="12" t="str">
        <f aca="false">IF(D472="","",SUMIFS('Базовые времена'!$D$2:$D$71,'Базовые времена'!$A$2:$A$71,B472,'Базовые времена'!$B$2:$B$71,C472,'Базовые времена'!$C$2:$C$71,D472))</f>
        <v/>
      </c>
      <c r="K472" s="12" t="str">
        <f aca="false">IF(E472="","",IF(ISNUMBER(E472),IF(E472&lt;1,E472*86400,E472),IFERROR(IF(ISNUMBER(FIND(":",SUBSTITUTE(TRIM(E472),",","."))),VALUE(LEFT(SUBSTITUTE(TRIM(E472),",","."),FIND(":",SUBSTITUTE(TRIM(E472),",","."))-1))*60+_xlfn.NUMBERVALUE(MID(SUBSTITUTE(TRIM(E472),",","."),FIND(":",SUBSTITUTE(TRIM(E472),",","."))+1,99),"."),_xlfn.NUMBERVALUE(SUBSTITUTE(TRIM(E472),",","."),".")),0)))</f>
        <v/>
      </c>
      <c r="L472" s="3" t="str">
        <f aca="false">IF(OR(D472="",N(K472)&lt;=0),"",IFERROR(MATCH(B472&amp;"|"&amp;C472&amp;"|"&amp;D472,Нормативы!$M$2:$M$71,0),""))</f>
        <v/>
      </c>
      <c r="M472" s="3" t="str">
        <f aca="false">IF(L472="","",SUMPRODUCT((INDEX(Нормативы!$D$2:$L$71,L472,0)&lt;K472)*ISNUMBER(INDEX(Нормативы!$D$2:$L$71,L472,0))))</f>
        <v/>
      </c>
    </row>
    <row r="473" customFormat="false" ht="15" hidden="false" customHeight="false" outlineLevel="0" collapsed="false">
      <c r="A473" s="5"/>
      <c r="B473" s="5"/>
      <c r="C473" s="5"/>
      <c r="D473" s="5"/>
      <c r="E473" s="14"/>
      <c r="F473" s="4" t="str">
        <f aca="false">IF(OR(J473="",K473="",N(J473)=0,N(K473)&lt;=0),"",ROUNDDOWN(1000*(J473/K473)^3,0))</f>
        <v/>
      </c>
      <c r="G473" s="4" t="str">
        <f aca="false">IF(M473="","",IF(M473+1&gt;COUNT(INDEX(Нормативы!$D$2:$L$71,L473,0)),"Разряда нет",INDEX(Нормативы!$D$1:$L$1,1,M473+1)))</f>
        <v/>
      </c>
      <c r="H473" s="2" t="str">
        <f aca="false">IF(M473="","",IF(M473=0,"—",INDEX(Нормативы!$D$1:$L$1,1,M473)))</f>
        <v/>
      </c>
      <c r="I473" s="7" t="str">
        <f aca="false">IF(M473="","",IF(M473=0,"",IF(INT(ROUND(INDEX(Нормативы!$D$2:$L$71,L473,M473)*100,0)/6000)&gt;0,INT(ROUND(INDEX(Нормативы!$D$2:$L$71,L473,M473)*100,0)/6000)&amp;":"&amp;RIGHT("0"&amp;INT(MOD(ROUND(INDEX(Нормативы!$D$2:$L$71,L473,M473)*100,0),6000)/100),2),INT(MOD(ROUND(INDEX(Нормативы!$D$2:$L$71,L473,M473)*100,0),6000)/100))&amp;"."&amp;RIGHT("0"&amp;MOD(ROUND(INDEX(Нормативы!$D$2:$L$71,L473,M473)*100,0),100),2)))</f>
        <v/>
      </c>
      <c r="J473" s="12" t="str">
        <f aca="false">IF(D473="","",SUMIFS('Базовые времена'!$D$2:$D$71,'Базовые времена'!$A$2:$A$71,B473,'Базовые времена'!$B$2:$B$71,C473,'Базовые времена'!$C$2:$C$71,D473))</f>
        <v/>
      </c>
      <c r="K473" s="12" t="str">
        <f aca="false">IF(E473="","",IF(ISNUMBER(E473),IF(E473&lt;1,E473*86400,E473),IFERROR(IF(ISNUMBER(FIND(":",SUBSTITUTE(TRIM(E473),",","."))),VALUE(LEFT(SUBSTITUTE(TRIM(E473),",","."),FIND(":",SUBSTITUTE(TRIM(E473),",","."))-1))*60+_xlfn.NUMBERVALUE(MID(SUBSTITUTE(TRIM(E473),",","."),FIND(":",SUBSTITUTE(TRIM(E473),",","."))+1,99),"."),_xlfn.NUMBERVALUE(SUBSTITUTE(TRIM(E473),",","."),".")),0)))</f>
        <v/>
      </c>
      <c r="L473" s="3" t="str">
        <f aca="false">IF(OR(D473="",N(K473)&lt;=0),"",IFERROR(MATCH(B473&amp;"|"&amp;C473&amp;"|"&amp;D473,Нормативы!$M$2:$M$71,0),""))</f>
        <v/>
      </c>
      <c r="M473" s="3" t="str">
        <f aca="false">IF(L473="","",SUMPRODUCT((INDEX(Нормативы!$D$2:$L$71,L473,0)&lt;K473)*ISNUMBER(INDEX(Нормативы!$D$2:$L$71,L473,0))))</f>
        <v/>
      </c>
    </row>
    <row r="474" customFormat="false" ht="15" hidden="false" customHeight="false" outlineLevel="0" collapsed="false">
      <c r="A474" s="5"/>
      <c r="B474" s="5"/>
      <c r="C474" s="5"/>
      <c r="D474" s="5"/>
      <c r="E474" s="14"/>
      <c r="F474" s="4" t="str">
        <f aca="false">IF(OR(J474="",K474="",N(J474)=0,N(K474)&lt;=0),"",ROUNDDOWN(1000*(J474/K474)^3,0))</f>
        <v/>
      </c>
      <c r="G474" s="4" t="str">
        <f aca="false">IF(M474="","",IF(M474+1&gt;COUNT(INDEX(Нормативы!$D$2:$L$71,L474,0)),"Разряда нет",INDEX(Нормативы!$D$1:$L$1,1,M474+1)))</f>
        <v/>
      </c>
      <c r="H474" s="2" t="str">
        <f aca="false">IF(M474="","",IF(M474=0,"—",INDEX(Нормативы!$D$1:$L$1,1,M474)))</f>
        <v/>
      </c>
      <c r="I474" s="7" t="str">
        <f aca="false">IF(M474="","",IF(M474=0,"",IF(INT(ROUND(INDEX(Нормативы!$D$2:$L$71,L474,M474)*100,0)/6000)&gt;0,INT(ROUND(INDEX(Нормативы!$D$2:$L$71,L474,M474)*100,0)/6000)&amp;":"&amp;RIGHT("0"&amp;INT(MOD(ROUND(INDEX(Нормативы!$D$2:$L$71,L474,M474)*100,0),6000)/100),2),INT(MOD(ROUND(INDEX(Нормативы!$D$2:$L$71,L474,M474)*100,0),6000)/100))&amp;"."&amp;RIGHT("0"&amp;MOD(ROUND(INDEX(Нормативы!$D$2:$L$71,L474,M474)*100,0),100),2)))</f>
        <v/>
      </c>
      <c r="J474" s="12" t="str">
        <f aca="false">IF(D474="","",SUMIFS('Базовые времена'!$D$2:$D$71,'Базовые времена'!$A$2:$A$71,B474,'Базовые времена'!$B$2:$B$71,C474,'Базовые времена'!$C$2:$C$71,D474))</f>
        <v/>
      </c>
      <c r="K474" s="12" t="str">
        <f aca="false">IF(E474="","",IF(ISNUMBER(E474),IF(E474&lt;1,E474*86400,E474),IFERROR(IF(ISNUMBER(FIND(":",SUBSTITUTE(TRIM(E474),",","."))),VALUE(LEFT(SUBSTITUTE(TRIM(E474),",","."),FIND(":",SUBSTITUTE(TRIM(E474),",","."))-1))*60+_xlfn.NUMBERVALUE(MID(SUBSTITUTE(TRIM(E474),",","."),FIND(":",SUBSTITUTE(TRIM(E474),",","."))+1,99),"."),_xlfn.NUMBERVALUE(SUBSTITUTE(TRIM(E474),",","."),".")),0)))</f>
        <v/>
      </c>
      <c r="L474" s="3" t="str">
        <f aca="false">IF(OR(D474="",N(K474)&lt;=0),"",IFERROR(MATCH(B474&amp;"|"&amp;C474&amp;"|"&amp;D474,Нормативы!$M$2:$M$71,0),""))</f>
        <v/>
      </c>
      <c r="M474" s="3" t="str">
        <f aca="false">IF(L474="","",SUMPRODUCT((INDEX(Нормативы!$D$2:$L$71,L474,0)&lt;K474)*ISNUMBER(INDEX(Нормативы!$D$2:$L$71,L474,0))))</f>
        <v/>
      </c>
    </row>
    <row r="475" customFormat="false" ht="15" hidden="false" customHeight="false" outlineLevel="0" collapsed="false">
      <c r="A475" s="5"/>
      <c r="B475" s="5"/>
      <c r="C475" s="5"/>
      <c r="D475" s="5"/>
      <c r="E475" s="14"/>
      <c r="F475" s="4" t="str">
        <f aca="false">IF(OR(J475="",K475="",N(J475)=0,N(K475)&lt;=0),"",ROUNDDOWN(1000*(J475/K475)^3,0))</f>
        <v/>
      </c>
      <c r="G475" s="4" t="str">
        <f aca="false">IF(M475="","",IF(M475+1&gt;COUNT(INDEX(Нормативы!$D$2:$L$71,L475,0)),"Разряда нет",INDEX(Нормативы!$D$1:$L$1,1,M475+1)))</f>
        <v/>
      </c>
      <c r="H475" s="2" t="str">
        <f aca="false">IF(M475="","",IF(M475=0,"—",INDEX(Нормативы!$D$1:$L$1,1,M475)))</f>
        <v/>
      </c>
      <c r="I475" s="7" t="str">
        <f aca="false">IF(M475="","",IF(M475=0,"",IF(INT(ROUND(INDEX(Нормативы!$D$2:$L$71,L475,M475)*100,0)/6000)&gt;0,INT(ROUND(INDEX(Нормативы!$D$2:$L$71,L475,M475)*100,0)/6000)&amp;":"&amp;RIGHT("0"&amp;INT(MOD(ROUND(INDEX(Нормативы!$D$2:$L$71,L475,M475)*100,0),6000)/100),2),INT(MOD(ROUND(INDEX(Нормативы!$D$2:$L$71,L475,M475)*100,0),6000)/100))&amp;"."&amp;RIGHT("0"&amp;MOD(ROUND(INDEX(Нормативы!$D$2:$L$71,L475,M475)*100,0),100),2)))</f>
        <v/>
      </c>
      <c r="J475" s="12" t="str">
        <f aca="false">IF(D475="","",SUMIFS('Базовые времена'!$D$2:$D$71,'Базовые времена'!$A$2:$A$71,B475,'Базовые времена'!$B$2:$B$71,C475,'Базовые времена'!$C$2:$C$71,D475))</f>
        <v/>
      </c>
      <c r="K475" s="12" t="str">
        <f aca="false">IF(E475="","",IF(ISNUMBER(E475),IF(E475&lt;1,E475*86400,E475),IFERROR(IF(ISNUMBER(FIND(":",SUBSTITUTE(TRIM(E475),",","."))),VALUE(LEFT(SUBSTITUTE(TRIM(E475),",","."),FIND(":",SUBSTITUTE(TRIM(E475),",","."))-1))*60+_xlfn.NUMBERVALUE(MID(SUBSTITUTE(TRIM(E475),",","."),FIND(":",SUBSTITUTE(TRIM(E475),",","."))+1,99),"."),_xlfn.NUMBERVALUE(SUBSTITUTE(TRIM(E475),",","."),".")),0)))</f>
        <v/>
      </c>
      <c r="L475" s="3" t="str">
        <f aca="false">IF(OR(D475="",N(K475)&lt;=0),"",IFERROR(MATCH(B475&amp;"|"&amp;C475&amp;"|"&amp;D475,Нормативы!$M$2:$M$71,0),""))</f>
        <v/>
      </c>
      <c r="M475" s="3" t="str">
        <f aca="false">IF(L475="","",SUMPRODUCT((INDEX(Нормативы!$D$2:$L$71,L475,0)&lt;K475)*ISNUMBER(INDEX(Нормативы!$D$2:$L$71,L475,0))))</f>
        <v/>
      </c>
    </row>
    <row r="476" customFormat="false" ht="15" hidden="false" customHeight="false" outlineLevel="0" collapsed="false">
      <c r="A476" s="5"/>
      <c r="B476" s="5"/>
      <c r="C476" s="5"/>
      <c r="D476" s="5"/>
      <c r="E476" s="14"/>
      <c r="F476" s="4" t="str">
        <f aca="false">IF(OR(J476="",K476="",N(J476)=0,N(K476)&lt;=0),"",ROUNDDOWN(1000*(J476/K476)^3,0))</f>
        <v/>
      </c>
      <c r="G476" s="4" t="str">
        <f aca="false">IF(M476="","",IF(M476+1&gt;COUNT(INDEX(Нормативы!$D$2:$L$71,L476,0)),"Разряда нет",INDEX(Нормативы!$D$1:$L$1,1,M476+1)))</f>
        <v/>
      </c>
      <c r="H476" s="2" t="str">
        <f aca="false">IF(M476="","",IF(M476=0,"—",INDEX(Нормативы!$D$1:$L$1,1,M476)))</f>
        <v/>
      </c>
      <c r="I476" s="7" t="str">
        <f aca="false">IF(M476="","",IF(M476=0,"",IF(INT(ROUND(INDEX(Нормативы!$D$2:$L$71,L476,M476)*100,0)/6000)&gt;0,INT(ROUND(INDEX(Нормативы!$D$2:$L$71,L476,M476)*100,0)/6000)&amp;":"&amp;RIGHT("0"&amp;INT(MOD(ROUND(INDEX(Нормативы!$D$2:$L$71,L476,M476)*100,0),6000)/100),2),INT(MOD(ROUND(INDEX(Нормативы!$D$2:$L$71,L476,M476)*100,0),6000)/100))&amp;"."&amp;RIGHT("0"&amp;MOD(ROUND(INDEX(Нормативы!$D$2:$L$71,L476,M476)*100,0),100),2)))</f>
        <v/>
      </c>
      <c r="J476" s="12" t="str">
        <f aca="false">IF(D476="","",SUMIFS('Базовые времена'!$D$2:$D$71,'Базовые времена'!$A$2:$A$71,B476,'Базовые времена'!$B$2:$B$71,C476,'Базовые времена'!$C$2:$C$71,D476))</f>
        <v/>
      </c>
      <c r="K476" s="12" t="str">
        <f aca="false">IF(E476="","",IF(ISNUMBER(E476),IF(E476&lt;1,E476*86400,E476),IFERROR(IF(ISNUMBER(FIND(":",SUBSTITUTE(TRIM(E476),",","."))),VALUE(LEFT(SUBSTITUTE(TRIM(E476),",","."),FIND(":",SUBSTITUTE(TRIM(E476),",","."))-1))*60+_xlfn.NUMBERVALUE(MID(SUBSTITUTE(TRIM(E476),",","."),FIND(":",SUBSTITUTE(TRIM(E476),",","."))+1,99),"."),_xlfn.NUMBERVALUE(SUBSTITUTE(TRIM(E476),",","."),".")),0)))</f>
        <v/>
      </c>
      <c r="L476" s="3" t="str">
        <f aca="false">IF(OR(D476="",N(K476)&lt;=0),"",IFERROR(MATCH(B476&amp;"|"&amp;C476&amp;"|"&amp;D476,Нормативы!$M$2:$M$71,0),""))</f>
        <v/>
      </c>
      <c r="M476" s="3" t="str">
        <f aca="false">IF(L476="","",SUMPRODUCT((INDEX(Нормативы!$D$2:$L$71,L476,0)&lt;K476)*ISNUMBER(INDEX(Нормативы!$D$2:$L$71,L476,0))))</f>
        <v/>
      </c>
    </row>
    <row r="477" customFormat="false" ht="15" hidden="false" customHeight="false" outlineLevel="0" collapsed="false">
      <c r="A477" s="5"/>
      <c r="B477" s="5"/>
      <c r="C477" s="5"/>
      <c r="D477" s="5"/>
      <c r="E477" s="14"/>
      <c r="F477" s="4" t="str">
        <f aca="false">IF(OR(J477="",K477="",N(J477)=0,N(K477)&lt;=0),"",ROUNDDOWN(1000*(J477/K477)^3,0))</f>
        <v/>
      </c>
      <c r="G477" s="4" t="str">
        <f aca="false">IF(M477="","",IF(M477+1&gt;COUNT(INDEX(Нормативы!$D$2:$L$71,L477,0)),"Разряда нет",INDEX(Нормативы!$D$1:$L$1,1,M477+1)))</f>
        <v/>
      </c>
      <c r="H477" s="2" t="str">
        <f aca="false">IF(M477="","",IF(M477=0,"—",INDEX(Нормативы!$D$1:$L$1,1,M477)))</f>
        <v/>
      </c>
      <c r="I477" s="7" t="str">
        <f aca="false">IF(M477="","",IF(M477=0,"",IF(INT(ROUND(INDEX(Нормативы!$D$2:$L$71,L477,M477)*100,0)/6000)&gt;0,INT(ROUND(INDEX(Нормативы!$D$2:$L$71,L477,M477)*100,0)/6000)&amp;":"&amp;RIGHT("0"&amp;INT(MOD(ROUND(INDEX(Нормативы!$D$2:$L$71,L477,M477)*100,0),6000)/100),2),INT(MOD(ROUND(INDEX(Нормативы!$D$2:$L$71,L477,M477)*100,0),6000)/100))&amp;"."&amp;RIGHT("0"&amp;MOD(ROUND(INDEX(Нормативы!$D$2:$L$71,L477,M477)*100,0),100),2)))</f>
        <v/>
      </c>
      <c r="J477" s="12" t="str">
        <f aca="false">IF(D477="","",SUMIFS('Базовые времена'!$D$2:$D$71,'Базовые времена'!$A$2:$A$71,B477,'Базовые времена'!$B$2:$B$71,C477,'Базовые времена'!$C$2:$C$71,D477))</f>
        <v/>
      </c>
      <c r="K477" s="12" t="str">
        <f aca="false">IF(E477="","",IF(ISNUMBER(E477),IF(E477&lt;1,E477*86400,E477),IFERROR(IF(ISNUMBER(FIND(":",SUBSTITUTE(TRIM(E477),",","."))),VALUE(LEFT(SUBSTITUTE(TRIM(E477),",","."),FIND(":",SUBSTITUTE(TRIM(E477),",","."))-1))*60+_xlfn.NUMBERVALUE(MID(SUBSTITUTE(TRIM(E477),",","."),FIND(":",SUBSTITUTE(TRIM(E477),",","."))+1,99),"."),_xlfn.NUMBERVALUE(SUBSTITUTE(TRIM(E477),",","."),".")),0)))</f>
        <v/>
      </c>
      <c r="L477" s="3" t="str">
        <f aca="false">IF(OR(D477="",N(K477)&lt;=0),"",IFERROR(MATCH(B477&amp;"|"&amp;C477&amp;"|"&amp;D477,Нормативы!$M$2:$M$71,0),""))</f>
        <v/>
      </c>
      <c r="M477" s="3" t="str">
        <f aca="false">IF(L477="","",SUMPRODUCT((INDEX(Нормативы!$D$2:$L$71,L477,0)&lt;K477)*ISNUMBER(INDEX(Нормативы!$D$2:$L$71,L477,0))))</f>
        <v/>
      </c>
    </row>
    <row r="478" customFormat="false" ht="15" hidden="false" customHeight="false" outlineLevel="0" collapsed="false">
      <c r="A478" s="5"/>
      <c r="B478" s="5"/>
      <c r="C478" s="5"/>
      <c r="D478" s="5"/>
      <c r="E478" s="14"/>
      <c r="F478" s="4" t="str">
        <f aca="false">IF(OR(J478="",K478="",N(J478)=0,N(K478)&lt;=0),"",ROUNDDOWN(1000*(J478/K478)^3,0))</f>
        <v/>
      </c>
      <c r="G478" s="4" t="str">
        <f aca="false">IF(M478="","",IF(M478+1&gt;COUNT(INDEX(Нормативы!$D$2:$L$71,L478,0)),"Разряда нет",INDEX(Нормативы!$D$1:$L$1,1,M478+1)))</f>
        <v/>
      </c>
      <c r="H478" s="2" t="str">
        <f aca="false">IF(M478="","",IF(M478=0,"—",INDEX(Нормативы!$D$1:$L$1,1,M478)))</f>
        <v/>
      </c>
      <c r="I478" s="7" t="str">
        <f aca="false">IF(M478="","",IF(M478=0,"",IF(INT(ROUND(INDEX(Нормативы!$D$2:$L$71,L478,M478)*100,0)/6000)&gt;0,INT(ROUND(INDEX(Нормативы!$D$2:$L$71,L478,M478)*100,0)/6000)&amp;":"&amp;RIGHT("0"&amp;INT(MOD(ROUND(INDEX(Нормативы!$D$2:$L$71,L478,M478)*100,0),6000)/100),2),INT(MOD(ROUND(INDEX(Нормативы!$D$2:$L$71,L478,M478)*100,0),6000)/100))&amp;"."&amp;RIGHT("0"&amp;MOD(ROUND(INDEX(Нормативы!$D$2:$L$71,L478,M478)*100,0),100),2)))</f>
        <v/>
      </c>
      <c r="J478" s="12" t="str">
        <f aca="false">IF(D478="","",SUMIFS('Базовые времена'!$D$2:$D$71,'Базовые времена'!$A$2:$A$71,B478,'Базовые времена'!$B$2:$B$71,C478,'Базовые времена'!$C$2:$C$71,D478))</f>
        <v/>
      </c>
      <c r="K478" s="12" t="str">
        <f aca="false">IF(E478="","",IF(ISNUMBER(E478),IF(E478&lt;1,E478*86400,E478),IFERROR(IF(ISNUMBER(FIND(":",SUBSTITUTE(TRIM(E478),",","."))),VALUE(LEFT(SUBSTITUTE(TRIM(E478),",","."),FIND(":",SUBSTITUTE(TRIM(E478),",","."))-1))*60+_xlfn.NUMBERVALUE(MID(SUBSTITUTE(TRIM(E478),",","."),FIND(":",SUBSTITUTE(TRIM(E478),",","."))+1,99),"."),_xlfn.NUMBERVALUE(SUBSTITUTE(TRIM(E478),",","."),".")),0)))</f>
        <v/>
      </c>
      <c r="L478" s="3" t="str">
        <f aca="false">IF(OR(D478="",N(K478)&lt;=0),"",IFERROR(MATCH(B478&amp;"|"&amp;C478&amp;"|"&amp;D478,Нормативы!$M$2:$M$71,0),""))</f>
        <v/>
      </c>
      <c r="M478" s="3" t="str">
        <f aca="false">IF(L478="","",SUMPRODUCT((INDEX(Нормативы!$D$2:$L$71,L478,0)&lt;K478)*ISNUMBER(INDEX(Нормативы!$D$2:$L$71,L478,0))))</f>
        <v/>
      </c>
    </row>
    <row r="479" customFormat="false" ht="15" hidden="false" customHeight="false" outlineLevel="0" collapsed="false">
      <c r="A479" s="5"/>
      <c r="B479" s="5"/>
      <c r="C479" s="5"/>
      <c r="D479" s="5"/>
      <c r="E479" s="14"/>
      <c r="F479" s="4" t="str">
        <f aca="false">IF(OR(J479="",K479="",N(J479)=0,N(K479)&lt;=0),"",ROUNDDOWN(1000*(J479/K479)^3,0))</f>
        <v/>
      </c>
      <c r="G479" s="4" t="str">
        <f aca="false">IF(M479="","",IF(M479+1&gt;COUNT(INDEX(Нормативы!$D$2:$L$71,L479,0)),"Разряда нет",INDEX(Нормативы!$D$1:$L$1,1,M479+1)))</f>
        <v/>
      </c>
      <c r="H479" s="2" t="str">
        <f aca="false">IF(M479="","",IF(M479=0,"—",INDEX(Нормативы!$D$1:$L$1,1,M479)))</f>
        <v/>
      </c>
      <c r="I479" s="7" t="str">
        <f aca="false">IF(M479="","",IF(M479=0,"",IF(INT(ROUND(INDEX(Нормативы!$D$2:$L$71,L479,M479)*100,0)/6000)&gt;0,INT(ROUND(INDEX(Нормативы!$D$2:$L$71,L479,M479)*100,0)/6000)&amp;":"&amp;RIGHT("0"&amp;INT(MOD(ROUND(INDEX(Нормативы!$D$2:$L$71,L479,M479)*100,0),6000)/100),2),INT(MOD(ROUND(INDEX(Нормативы!$D$2:$L$71,L479,M479)*100,0),6000)/100))&amp;"."&amp;RIGHT("0"&amp;MOD(ROUND(INDEX(Нормативы!$D$2:$L$71,L479,M479)*100,0),100),2)))</f>
        <v/>
      </c>
      <c r="J479" s="12" t="str">
        <f aca="false">IF(D479="","",SUMIFS('Базовые времена'!$D$2:$D$71,'Базовые времена'!$A$2:$A$71,B479,'Базовые времена'!$B$2:$B$71,C479,'Базовые времена'!$C$2:$C$71,D479))</f>
        <v/>
      </c>
      <c r="K479" s="12" t="str">
        <f aca="false">IF(E479="","",IF(ISNUMBER(E479),IF(E479&lt;1,E479*86400,E479),IFERROR(IF(ISNUMBER(FIND(":",SUBSTITUTE(TRIM(E479),",","."))),VALUE(LEFT(SUBSTITUTE(TRIM(E479),",","."),FIND(":",SUBSTITUTE(TRIM(E479),",","."))-1))*60+_xlfn.NUMBERVALUE(MID(SUBSTITUTE(TRIM(E479),",","."),FIND(":",SUBSTITUTE(TRIM(E479),",","."))+1,99),"."),_xlfn.NUMBERVALUE(SUBSTITUTE(TRIM(E479),",","."),".")),0)))</f>
        <v/>
      </c>
      <c r="L479" s="3" t="str">
        <f aca="false">IF(OR(D479="",N(K479)&lt;=0),"",IFERROR(MATCH(B479&amp;"|"&amp;C479&amp;"|"&amp;D479,Нормативы!$M$2:$M$71,0),""))</f>
        <v/>
      </c>
      <c r="M479" s="3" t="str">
        <f aca="false">IF(L479="","",SUMPRODUCT((INDEX(Нормативы!$D$2:$L$71,L479,0)&lt;K479)*ISNUMBER(INDEX(Нормативы!$D$2:$L$71,L479,0))))</f>
        <v/>
      </c>
    </row>
    <row r="480" customFormat="false" ht="15" hidden="false" customHeight="false" outlineLevel="0" collapsed="false">
      <c r="A480" s="5"/>
      <c r="B480" s="5"/>
      <c r="C480" s="5"/>
      <c r="D480" s="5"/>
      <c r="E480" s="14"/>
      <c r="F480" s="4" t="str">
        <f aca="false">IF(OR(J480="",K480="",N(J480)=0,N(K480)&lt;=0),"",ROUNDDOWN(1000*(J480/K480)^3,0))</f>
        <v/>
      </c>
      <c r="G480" s="4" t="str">
        <f aca="false">IF(M480="","",IF(M480+1&gt;COUNT(INDEX(Нормативы!$D$2:$L$71,L480,0)),"Разряда нет",INDEX(Нормативы!$D$1:$L$1,1,M480+1)))</f>
        <v/>
      </c>
      <c r="H480" s="2" t="str">
        <f aca="false">IF(M480="","",IF(M480=0,"—",INDEX(Нормативы!$D$1:$L$1,1,M480)))</f>
        <v/>
      </c>
      <c r="I480" s="7" t="str">
        <f aca="false">IF(M480="","",IF(M480=0,"",IF(INT(ROUND(INDEX(Нормативы!$D$2:$L$71,L480,M480)*100,0)/6000)&gt;0,INT(ROUND(INDEX(Нормативы!$D$2:$L$71,L480,M480)*100,0)/6000)&amp;":"&amp;RIGHT("0"&amp;INT(MOD(ROUND(INDEX(Нормативы!$D$2:$L$71,L480,M480)*100,0),6000)/100),2),INT(MOD(ROUND(INDEX(Нормативы!$D$2:$L$71,L480,M480)*100,0),6000)/100))&amp;"."&amp;RIGHT("0"&amp;MOD(ROUND(INDEX(Нормативы!$D$2:$L$71,L480,M480)*100,0),100),2)))</f>
        <v/>
      </c>
      <c r="J480" s="12" t="str">
        <f aca="false">IF(D480="","",SUMIFS('Базовые времена'!$D$2:$D$71,'Базовые времена'!$A$2:$A$71,B480,'Базовые времена'!$B$2:$B$71,C480,'Базовые времена'!$C$2:$C$71,D480))</f>
        <v/>
      </c>
      <c r="K480" s="12" t="str">
        <f aca="false">IF(E480="","",IF(ISNUMBER(E480),IF(E480&lt;1,E480*86400,E480),IFERROR(IF(ISNUMBER(FIND(":",SUBSTITUTE(TRIM(E480),",","."))),VALUE(LEFT(SUBSTITUTE(TRIM(E480),",","."),FIND(":",SUBSTITUTE(TRIM(E480),",","."))-1))*60+_xlfn.NUMBERVALUE(MID(SUBSTITUTE(TRIM(E480),",","."),FIND(":",SUBSTITUTE(TRIM(E480),",","."))+1,99),"."),_xlfn.NUMBERVALUE(SUBSTITUTE(TRIM(E480),",","."),".")),0)))</f>
        <v/>
      </c>
      <c r="L480" s="3" t="str">
        <f aca="false">IF(OR(D480="",N(K480)&lt;=0),"",IFERROR(MATCH(B480&amp;"|"&amp;C480&amp;"|"&amp;D480,Нормативы!$M$2:$M$71,0),""))</f>
        <v/>
      </c>
      <c r="M480" s="3" t="str">
        <f aca="false">IF(L480="","",SUMPRODUCT((INDEX(Нормативы!$D$2:$L$71,L480,0)&lt;K480)*ISNUMBER(INDEX(Нормативы!$D$2:$L$71,L480,0))))</f>
        <v/>
      </c>
    </row>
    <row r="481" customFormat="false" ht="15" hidden="false" customHeight="false" outlineLevel="0" collapsed="false">
      <c r="A481" s="5"/>
      <c r="B481" s="5"/>
      <c r="C481" s="5"/>
      <c r="D481" s="5"/>
      <c r="E481" s="14"/>
      <c r="F481" s="4" t="str">
        <f aca="false">IF(OR(J481="",K481="",N(J481)=0,N(K481)&lt;=0),"",ROUNDDOWN(1000*(J481/K481)^3,0))</f>
        <v/>
      </c>
      <c r="G481" s="4" t="str">
        <f aca="false">IF(M481="","",IF(M481+1&gt;COUNT(INDEX(Нормативы!$D$2:$L$71,L481,0)),"Разряда нет",INDEX(Нормативы!$D$1:$L$1,1,M481+1)))</f>
        <v/>
      </c>
      <c r="H481" s="2" t="str">
        <f aca="false">IF(M481="","",IF(M481=0,"—",INDEX(Нормативы!$D$1:$L$1,1,M481)))</f>
        <v/>
      </c>
      <c r="I481" s="7" t="str">
        <f aca="false">IF(M481="","",IF(M481=0,"",IF(INT(ROUND(INDEX(Нормативы!$D$2:$L$71,L481,M481)*100,0)/6000)&gt;0,INT(ROUND(INDEX(Нормативы!$D$2:$L$71,L481,M481)*100,0)/6000)&amp;":"&amp;RIGHT("0"&amp;INT(MOD(ROUND(INDEX(Нормативы!$D$2:$L$71,L481,M481)*100,0),6000)/100),2),INT(MOD(ROUND(INDEX(Нормативы!$D$2:$L$71,L481,M481)*100,0),6000)/100))&amp;"."&amp;RIGHT("0"&amp;MOD(ROUND(INDEX(Нормативы!$D$2:$L$71,L481,M481)*100,0),100),2)))</f>
        <v/>
      </c>
      <c r="J481" s="12" t="str">
        <f aca="false">IF(D481="","",SUMIFS('Базовые времена'!$D$2:$D$71,'Базовые времена'!$A$2:$A$71,B481,'Базовые времена'!$B$2:$B$71,C481,'Базовые времена'!$C$2:$C$71,D481))</f>
        <v/>
      </c>
      <c r="K481" s="12" t="str">
        <f aca="false">IF(E481="","",IF(ISNUMBER(E481),IF(E481&lt;1,E481*86400,E481),IFERROR(IF(ISNUMBER(FIND(":",SUBSTITUTE(TRIM(E481),",","."))),VALUE(LEFT(SUBSTITUTE(TRIM(E481),",","."),FIND(":",SUBSTITUTE(TRIM(E481),",","."))-1))*60+_xlfn.NUMBERVALUE(MID(SUBSTITUTE(TRIM(E481),",","."),FIND(":",SUBSTITUTE(TRIM(E481),",","."))+1,99),"."),_xlfn.NUMBERVALUE(SUBSTITUTE(TRIM(E481),",","."),".")),0)))</f>
        <v/>
      </c>
      <c r="L481" s="3" t="str">
        <f aca="false">IF(OR(D481="",N(K481)&lt;=0),"",IFERROR(MATCH(B481&amp;"|"&amp;C481&amp;"|"&amp;D481,Нормативы!$M$2:$M$71,0),""))</f>
        <v/>
      </c>
      <c r="M481" s="3" t="str">
        <f aca="false">IF(L481="","",SUMPRODUCT((INDEX(Нормативы!$D$2:$L$71,L481,0)&lt;K481)*ISNUMBER(INDEX(Нормативы!$D$2:$L$71,L481,0))))</f>
        <v/>
      </c>
    </row>
    <row r="482" customFormat="false" ht="15" hidden="false" customHeight="false" outlineLevel="0" collapsed="false">
      <c r="A482" s="5"/>
      <c r="B482" s="5"/>
      <c r="C482" s="5"/>
      <c r="D482" s="5"/>
      <c r="E482" s="14"/>
      <c r="F482" s="4" t="str">
        <f aca="false">IF(OR(J482="",K482="",N(J482)=0,N(K482)&lt;=0),"",ROUNDDOWN(1000*(J482/K482)^3,0))</f>
        <v/>
      </c>
      <c r="G482" s="4" t="str">
        <f aca="false">IF(M482="","",IF(M482+1&gt;COUNT(INDEX(Нормативы!$D$2:$L$71,L482,0)),"Разряда нет",INDEX(Нормативы!$D$1:$L$1,1,M482+1)))</f>
        <v/>
      </c>
      <c r="H482" s="2" t="str">
        <f aca="false">IF(M482="","",IF(M482=0,"—",INDEX(Нормативы!$D$1:$L$1,1,M482)))</f>
        <v/>
      </c>
      <c r="I482" s="7" t="str">
        <f aca="false">IF(M482="","",IF(M482=0,"",IF(INT(ROUND(INDEX(Нормативы!$D$2:$L$71,L482,M482)*100,0)/6000)&gt;0,INT(ROUND(INDEX(Нормативы!$D$2:$L$71,L482,M482)*100,0)/6000)&amp;":"&amp;RIGHT("0"&amp;INT(MOD(ROUND(INDEX(Нормативы!$D$2:$L$71,L482,M482)*100,0),6000)/100),2),INT(MOD(ROUND(INDEX(Нормативы!$D$2:$L$71,L482,M482)*100,0),6000)/100))&amp;"."&amp;RIGHT("0"&amp;MOD(ROUND(INDEX(Нормативы!$D$2:$L$71,L482,M482)*100,0),100),2)))</f>
        <v/>
      </c>
      <c r="J482" s="12" t="str">
        <f aca="false">IF(D482="","",SUMIFS('Базовые времена'!$D$2:$D$71,'Базовые времена'!$A$2:$A$71,B482,'Базовые времена'!$B$2:$B$71,C482,'Базовые времена'!$C$2:$C$71,D482))</f>
        <v/>
      </c>
      <c r="K482" s="12" t="str">
        <f aca="false">IF(E482="","",IF(ISNUMBER(E482),IF(E482&lt;1,E482*86400,E482),IFERROR(IF(ISNUMBER(FIND(":",SUBSTITUTE(TRIM(E482),",","."))),VALUE(LEFT(SUBSTITUTE(TRIM(E482),",","."),FIND(":",SUBSTITUTE(TRIM(E482),",","."))-1))*60+_xlfn.NUMBERVALUE(MID(SUBSTITUTE(TRIM(E482),",","."),FIND(":",SUBSTITUTE(TRIM(E482),",","."))+1,99),"."),_xlfn.NUMBERVALUE(SUBSTITUTE(TRIM(E482),",","."),".")),0)))</f>
        <v/>
      </c>
      <c r="L482" s="3" t="str">
        <f aca="false">IF(OR(D482="",N(K482)&lt;=0),"",IFERROR(MATCH(B482&amp;"|"&amp;C482&amp;"|"&amp;D482,Нормативы!$M$2:$M$71,0),""))</f>
        <v/>
      </c>
      <c r="M482" s="3" t="str">
        <f aca="false">IF(L482="","",SUMPRODUCT((INDEX(Нормативы!$D$2:$L$71,L482,0)&lt;K482)*ISNUMBER(INDEX(Нормативы!$D$2:$L$71,L482,0))))</f>
        <v/>
      </c>
    </row>
    <row r="483" customFormat="false" ht="15" hidden="false" customHeight="false" outlineLevel="0" collapsed="false">
      <c r="A483" s="5"/>
      <c r="B483" s="5"/>
      <c r="C483" s="5"/>
      <c r="D483" s="5"/>
      <c r="E483" s="14"/>
      <c r="F483" s="4" t="str">
        <f aca="false">IF(OR(J483="",K483="",N(J483)=0,N(K483)&lt;=0),"",ROUNDDOWN(1000*(J483/K483)^3,0))</f>
        <v/>
      </c>
      <c r="G483" s="4" t="str">
        <f aca="false">IF(M483="","",IF(M483+1&gt;COUNT(INDEX(Нормативы!$D$2:$L$71,L483,0)),"Разряда нет",INDEX(Нормативы!$D$1:$L$1,1,M483+1)))</f>
        <v/>
      </c>
      <c r="H483" s="2" t="str">
        <f aca="false">IF(M483="","",IF(M483=0,"—",INDEX(Нормативы!$D$1:$L$1,1,M483)))</f>
        <v/>
      </c>
      <c r="I483" s="7" t="str">
        <f aca="false">IF(M483="","",IF(M483=0,"",IF(INT(ROUND(INDEX(Нормативы!$D$2:$L$71,L483,M483)*100,0)/6000)&gt;0,INT(ROUND(INDEX(Нормативы!$D$2:$L$71,L483,M483)*100,0)/6000)&amp;":"&amp;RIGHT("0"&amp;INT(MOD(ROUND(INDEX(Нормативы!$D$2:$L$71,L483,M483)*100,0),6000)/100),2),INT(MOD(ROUND(INDEX(Нормативы!$D$2:$L$71,L483,M483)*100,0),6000)/100))&amp;"."&amp;RIGHT("0"&amp;MOD(ROUND(INDEX(Нормативы!$D$2:$L$71,L483,M483)*100,0),100),2)))</f>
        <v/>
      </c>
      <c r="J483" s="12" t="str">
        <f aca="false">IF(D483="","",SUMIFS('Базовые времена'!$D$2:$D$71,'Базовые времена'!$A$2:$A$71,B483,'Базовые времена'!$B$2:$B$71,C483,'Базовые времена'!$C$2:$C$71,D483))</f>
        <v/>
      </c>
      <c r="K483" s="12" t="str">
        <f aca="false">IF(E483="","",IF(ISNUMBER(E483),IF(E483&lt;1,E483*86400,E483),IFERROR(IF(ISNUMBER(FIND(":",SUBSTITUTE(TRIM(E483),",","."))),VALUE(LEFT(SUBSTITUTE(TRIM(E483),",","."),FIND(":",SUBSTITUTE(TRIM(E483),",","."))-1))*60+_xlfn.NUMBERVALUE(MID(SUBSTITUTE(TRIM(E483),",","."),FIND(":",SUBSTITUTE(TRIM(E483),",","."))+1,99),"."),_xlfn.NUMBERVALUE(SUBSTITUTE(TRIM(E483),",","."),".")),0)))</f>
        <v/>
      </c>
      <c r="L483" s="3" t="str">
        <f aca="false">IF(OR(D483="",N(K483)&lt;=0),"",IFERROR(MATCH(B483&amp;"|"&amp;C483&amp;"|"&amp;D483,Нормативы!$M$2:$M$71,0),""))</f>
        <v/>
      </c>
      <c r="M483" s="3" t="str">
        <f aca="false">IF(L483="","",SUMPRODUCT((INDEX(Нормативы!$D$2:$L$71,L483,0)&lt;K483)*ISNUMBER(INDEX(Нормативы!$D$2:$L$71,L483,0))))</f>
        <v/>
      </c>
    </row>
    <row r="484" customFormat="false" ht="15" hidden="false" customHeight="false" outlineLevel="0" collapsed="false">
      <c r="A484" s="5"/>
      <c r="B484" s="5"/>
      <c r="C484" s="5"/>
      <c r="D484" s="5"/>
      <c r="E484" s="14"/>
      <c r="F484" s="4" t="str">
        <f aca="false">IF(OR(J484="",K484="",N(J484)=0,N(K484)&lt;=0),"",ROUNDDOWN(1000*(J484/K484)^3,0))</f>
        <v/>
      </c>
      <c r="G484" s="4" t="str">
        <f aca="false">IF(M484="","",IF(M484+1&gt;COUNT(INDEX(Нормативы!$D$2:$L$71,L484,0)),"Разряда нет",INDEX(Нормативы!$D$1:$L$1,1,M484+1)))</f>
        <v/>
      </c>
      <c r="H484" s="2" t="str">
        <f aca="false">IF(M484="","",IF(M484=0,"—",INDEX(Нормативы!$D$1:$L$1,1,M484)))</f>
        <v/>
      </c>
      <c r="I484" s="7" t="str">
        <f aca="false">IF(M484="","",IF(M484=0,"",IF(INT(ROUND(INDEX(Нормативы!$D$2:$L$71,L484,M484)*100,0)/6000)&gt;0,INT(ROUND(INDEX(Нормативы!$D$2:$L$71,L484,M484)*100,0)/6000)&amp;":"&amp;RIGHT("0"&amp;INT(MOD(ROUND(INDEX(Нормативы!$D$2:$L$71,L484,M484)*100,0),6000)/100),2),INT(MOD(ROUND(INDEX(Нормативы!$D$2:$L$71,L484,M484)*100,0),6000)/100))&amp;"."&amp;RIGHT("0"&amp;MOD(ROUND(INDEX(Нормативы!$D$2:$L$71,L484,M484)*100,0),100),2)))</f>
        <v/>
      </c>
      <c r="J484" s="12" t="str">
        <f aca="false">IF(D484="","",SUMIFS('Базовые времена'!$D$2:$D$71,'Базовые времена'!$A$2:$A$71,B484,'Базовые времена'!$B$2:$B$71,C484,'Базовые времена'!$C$2:$C$71,D484))</f>
        <v/>
      </c>
      <c r="K484" s="12" t="str">
        <f aca="false">IF(E484="","",IF(ISNUMBER(E484),IF(E484&lt;1,E484*86400,E484),IFERROR(IF(ISNUMBER(FIND(":",SUBSTITUTE(TRIM(E484),",","."))),VALUE(LEFT(SUBSTITUTE(TRIM(E484),",","."),FIND(":",SUBSTITUTE(TRIM(E484),",","."))-1))*60+_xlfn.NUMBERVALUE(MID(SUBSTITUTE(TRIM(E484),",","."),FIND(":",SUBSTITUTE(TRIM(E484),",","."))+1,99),"."),_xlfn.NUMBERVALUE(SUBSTITUTE(TRIM(E484),",","."),".")),0)))</f>
        <v/>
      </c>
      <c r="L484" s="3" t="str">
        <f aca="false">IF(OR(D484="",N(K484)&lt;=0),"",IFERROR(MATCH(B484&amp;"|"&amp;C484&amp;"|"&amp;D484,Нормативы!$M$2:$M$71,0),""))</f>
        <v/>
      </c>
      <c r="M484" s="3" t="str">
        <f aca="false">IF(L484="","",SUMPRODUCT((INDEX(Нормативы!$D$2:$L$71,L484,0)&lt;K484)*ISNUMBER(INDEX(Нормативы!$D$2:$L$71,L484,0))))</f>
        <v/>
      </c>
    </row>
    <row r="485" customFormat="false" ht="15" hidden="false" customHeight="false" outlineLevel="0" collapsed="false">
      <c r="A485" s="5"/>
      <c r="B485" s="5"/>
      <c r="C485" s="5"/>
      <c r="D485" s="5"/>
      <c r="E485" s="14"/>
      <c r="F485" s="4" t="str">
        <f aca="false">IF(OR(J485="",K485="",N(J485)=0,N(K485)&lt;=0),"",ROUNDDOWN(1000*(J485/K485)^3,0))</f>
        <v/>
      </c>
      <c r="G485" s="4" t="str">
        <f aca="false">IF(M485="","",IF(M485+1&gt;COUNT(INDEX(Нормативы!$D$2:$L$71,L485,0)),"Разряда нет",INDEX(Нормативы!$D$1:$L$1,1,M485+1)))</f>
        <v/>
      </c>
      <c r="H485" s="2" t="str">
        <f aca="false">IF(M485="","",IF(M485=0,"—",INDEX(Нормативы!$D$1:$L$1,1,M485)))</f>
        <v/>
      </c>
      <c r="I485" s="7" t="str">
        <f aca="false">IF(M485="","",IF(M485=0,"",IF(INT(ROUND(INDEX(Нормативы!$D$2:$L$71,L485,M485)*100,0)/6000)&gt;0,INT(ROUND(INDEX(Нормативы!$D$2:$L$71,L485,M485)*100,0)/6000)&amp;":"&amp;RIGHT("0"&amp;INT(MOD(ROUND(INDEX(Нормативы!$D$2:$L$71,L485,M485)*100,0),6000)/100),2),INT(MOD(ROUND(INDEX(Нормативы!$D$2:$L$71,L485,M485)*100,0),6000)/100))&amp;"."&amp;RIGHT("0"&amp;MOD(ROUND(INDEX(Нормативы!$D$2:$L$71,L485,M485)*100,0),100),2)))</f>
        <v/>
      </c>
      <c r="J485" s="12" t="str">
        <f aca="false">IF(D485="","",SUMIFS('Базовые времена'!$D$2:$D$71,'Базовые времена'!$A$2:$A$71,B485,'Базовые времена'!$B$2:$B$71,C485,'Базовые времена'!$C$2:$C$71,D485))</f>
        <v/>
      </c>
      <c r="K485" s="12" t="str">
        <f aca="false">IF(E485="","",IF(ISNUMBER(E485),IF(E485&lt;1,E485*86400,E485),IFERROR(IF(ISNUMBER(FIND(":",SUBSTITUTE(TRIM(E485),",","."))),VALUE(LEFT(SUBSTITUTE(TRIM(E485),",","."),FIND(":",SUBSTITUTE(TRIM(E485),",","."))-1))*60+_xlfn.NUMBERVALUE(MID(SUBSTITUTE(TRIM(E485),",","."),FIND(":",SUBSTITUTE(TRIM(E485),",","."))+1,99),"."),_xlfn.NUMBERVALUE(SUBSTITUTE(TRIM(E485),",","."),".")),0)))</f>
        <v/>
      </c>
      <c r="L485" s="3" t="str">
        <f aca="false">IF(OR(D485="",N(K485)&lt;=0),"",IFERROR(MATCH(B485&amp;"|"&amp;C485&amp;"|"&amp;D485,Нормативы!$M$2:$M$71,0),""))</f>
        <v/>
      </c>
      <c r="M485" s="3" t="str">
        <f aca="false">IF(L485="","",SUMPRODUCT((INDEX(Нормативы!$D$2:$L$71,L485,0)&lt;K485)*ISNUMBER(INDEX(Нормативы!$D$2:$L$71,L485,0))))</f>
        <v/>
      </c>
    </row>
    <row r="486" customFormat="false" ht="15" hidden="false" customHeight="false" outlineLevel="0" collapsed="false">
      <c r="A486" s="5"/>
      <c r="B486" s="5"/>
      <c r="C486" s="5"/>
      <c r="D486" s="5"/>
      <c r="E486" s="14"/>
      <c r="F486" s="4" t="str">
        <f aca="false">IF(OR(J486="",K486="",N(J486)=0,N(K486)&lt;=0),"",ROUNDDOWN(1000*(J486/K486)^3,0))</f>
        <v/>
      </c>
      <c r="G486" s="4" t="str">
        <f aca="false">IF(M486="","",IF(M486+1&gt;COUNT(INDEX(Нормативы!$D$2:$L$71,L486,0)),"Разряда нет",INDEX(Нормативы!$D$1:$L$1,1,M486+1)))</f>
        <v/>
      </c>
      <c r="H486" s="2" t="str">
        <f aca="false">IF(M486="","",IF(M486=0,"—",INDEX(Нормативы!$D$1:$L$1,1,M486)))</f>
        <v/>
      </c>
      <c r="I486" s="7" t="str">
        <f aca="false">IF(M486="","",IF(M486=0,"",IF(INT(ROUND(INDEX(Нормативы!$D$2:$L$71,L486,M486)*100,0)/6000)&gt;0,INT(ROUND(INDEX(Нормативы!$D$2:$L$71,L486,M486)*100,0)/6000)&amp;":"&amp;RIGHT("0"&amp;INT(MOD(ROUND(INDEX(Нормативы!$D$2:$L$71,L486,M486)*100,0),6000)/100),2),INT(MOD(ROUND(INDEX(Нормативы!$D$2:$L$71,L486,M486)*100,0),6000)/100))&amp;"."&amp;RIGHT("0"&amp;MOD(ROUND(INDEX(Нормативы!$D$2:$L$71,L486,M486)*100,0),100),2)))</f>
        <v/>
      </c>
      <c r="J486" s="12" t="str">
        <f aca="false">IF(D486="","",SUMIFS('Базовые времена'!$D$2:$D$71,'Базовые времена'!$A$2:$A$71,B486,'Базовые времена'!$B$2:$B$71,C486,'Базовые времена'!$C$2:$C$71,D486))</f>
        <v/>
      </c>
      <c r="K486" s="12" t="str">
        <f aca="false">IF(E486="","",IF(ISNUMBER(E486),IF(E486&lt;1,E486*86400,E486),IFERROR(IF(ISNUMBER(FIND(":",SUBSTITUTE(TRIM(E486),",","."))),VALUE(LEFT(SUBSTITUTE(TRIM(E486),",","."),FIND(":",SUBSTITUTE(TRIM(E486),",","."))-1))*60+_xlfn.NUMBERVALUE(MID(SUBSTITUTE(TRIM(E486),",","."),FIND(":",SUBSTITUTE(TRIM(E486),",","."))+1,99),"."),_xlfn.NUMBERVALUE(SUBSTITUTE(TRIM(E486),",","."),".")),0)))</f>
        <v/>
      </c>
      <c r="L486" s="3" t="str">
        <f aca="false">IF(OR(D486="",N(K486)&lt;=0),"",IFERROR(MATCH(B486&amp;"|"&amp;C486&amp;"|"&amp;D486,Нормативы!$M$2:$M$71,0),""))</f>
        <v/>
      </c>
      <c r="M486" s="3" t="str">
        <f aca="false">IF(L486="","",SUMPRODUCT((INDEX(Нормативы!$D$2:$L$71,L486,0)&lt;K486)*ISNUMBER(INDEX(Нормативы!$D$2:$L$71,L486,0))))</f>
        <v/>
      </c>
    </row>
    <row r="487" customFormat="false" ht="15" hidden="false" customHeight="false" outlineLevel="0" collapsed="false">
      <c r="A487" s="5"/>
      <c r="B487" s="5"/>
      <c r="C487" s="5"/>
      <c r="D487" s="5"/>
      <c r="E487" s="14"/>
      <c r="F487" s="4" t="str">
        <f aca="false">IF(OR(J487="",K487="",N(J487)=0,N(K487)&lt;=0),"",ROUNDDOWN(1000*(J487/K487)^3,0))</f>
        <v/>
      </c>
      <c r="G487" s="4" t="str">
        <f aca="false">IF(M487="","",IF(M487+1&gt;COUNT(INDEX(Нормативы!$D$2:$L$71,L487,0)),"Разряда нет",INDEX(Нормативы!$D$1:$L$1,1,M487+1)))</f>
        <v/>
      </c>
      <c r="H487" s="2" t="str">
        <f aca="false">IF(M487="","",IF(M487=0,"—",INDEX(Нормативы!$D$1:$L$1,1,M487)))</f>
        <v/>
      </c>
      <c r="I487" s="7" t="str">
        <f aca="false">IF(M487="","",IF(M487=0,"",IF(INT(ROUND(INDEX(Нормативы!$D$2:$L$71,L487,M487)*100,0)/6000)&gt;0,INT(ROUND(INDEX(Нормативы!$D$2:$L$71,L487,M487)*100,0)/6000)&amp;":"&amp;RIGHT("0"&amp;INT(MOD(ROUND(INDEX(Нормативы!$D$2:$L$71,L487,M487)*100,0),6000)/100),2),INT(MOD(ROUND(INDEX(Нормативы!$D$2:$L$71,L487,M487)*100,0),6000)/100))&amp;"."&amp;RIGHT("0"&amp;MOD(ROUND(INDEX(Нормативы!$D$2:$L$71,L487,M487)*100,0),100),2)))</f>
        <v/>
      </c>
      <c r="J487" s="12" t="str">
        <f aca="false">IF(D487="","",SUMIFS('Базовые времена'!$D$2:$D$71,'Базовые времена'!$A$2:$A$71,B487,'Базовые времена'!$B$2:$B$71,C487,'Базовые времена'!$C$2:$C$71,D487))</f>
        <v/>
      </c>
      <c r="K487" s="12" t="str">
        <f aca="false">IF(E487="","",IF(ISNUMBER(E487),IF(E487&lt;1,E487*86400,E487),IFERROR(IF(ISNUMBER(FIND(":",SUBSTITUTE(TRIM(E487),",","."))),VALUE(LEFT(SUBSTITUTE(TRIM(E487),",","."),FIND(":",SUBSTITUTE(TRIM(E487),",","."))-1))*60+_xlfn.NUMBERVALUE(MID(SUBSTITUTE(TRIM(E487),",","."),FIND(":",SUBSTITUTE(TRIM(E487),",","."))+1,99),"."),_xlfn.NUMBERVALUE(SUBSTITUTE(TRIM(E487),",","."),".")),0)))</f>
        <v/>
      </c>
      <c r="L487" s="3" t="str">
        <f aca="false">IF(OR(D487="",N(K487)&lt;=0),"",IFERROR(MATCH(B487&amp;"|"&amp;C487&amp;"|"&amp;D487,Нормативы!$M$2:$M$71,0),""))</f>
        <v/>
      </c>
      <c r="M487" s="3" t="str">
        <f aca="false">IF(L487="","",SUMPRODUCT((INDEX(Нормативы!$D$2:$L$71,L487,0)&lt;K487)*ISNUMBER(INDEX(Нормативы!$D$2:$L$71,L487,0))))</f>
        <v/>
      </c>
    </row>
    <row r="488" customFormat="false" ht="15" hidden="false" customHeight="false" outlineLevel="0" collapsed="false">
      <c r="A488" s="5"/>
      <c r="B488" s="5"/>
      <c r="C488" s="5"/>
      <c r="D488" s="5"/>
      <c r="E488" s="14"/>
      <c r="F488" s="4" t="str">
        <f aca="false">IF(OR(J488="",K488="",N(J488)=0,N(K488)&lt;=0),"",ROUNDDOWN(1000*(J488/K488)^3,0))</f>
        <v/>
      </c>
      <c r="G488" s="4" t="str">
        <f aca="false">IF(M488="","",IF(M488+1&gt;COUNT(INDEX(Нормативы!$D$2:$L$71,L488,0)),"Разряда нет",INDEX(Нормативы!$D$1:$L$1,1,M488+1)))</f>
        <v/>
      </c>
      <c r="H488" s="2" t="str">
        <f aca="false">IF(M488="","",IF(M488=0,"—",INDEX(Нормативы!$D$1:$L$1,1,M488)))</f>
        <v/>
      </c>
      <c r="I488" s="7" t="str">
        <f aca="false">IF(M488="","",IF(M488=0,"",IF(INT(ROUND(INDEX(Нормативы!$D$2:$L$71,L488,M488)*100,0)/6000)&gt;0,INT(ROUND(INDEX(Нормативы!$D$2:$L$71,L488,M488)*100,0)/6000)&amp;":"&amp;RIGHT("0"&amp;INT(MOD(ROUND(INDEX(Нормативы!$D$2:$L$71,L488,M488)*100,0),6000)/100),2),INT(MOD(ROUND(INDEX(Нормативы!$D$2:$L$71,L488,M488)*100,0),6000)/100))&amp;"."&amp;RIGHT("0"&amp;MOD(ROUND(INDEX(Нормативы!$D$2:$L$71,L488,M488)*100,0),100),2)))</f>
        <v/>
      </c>
      <c r="J488" s="12" t="str">
        <f aca="false">IF(D488="","",SUMIFS('Базовые времена'!$D$2:$D$71,'Базовые времена'!$A$2:$A$71,B488,'Базовые времена'!$B$2:$B$71,C488,'Базовые времена'!$C$2:$C$71,D488))</f>
        <v/>
      </c>
      <c r="K488" s="12" t="str">
        <f aca="false">IF(E488="","",IF(ISNUMBER(E488),IF(E488&lt;1,E488*86400,E488),IFERROR(IF(ISNUMBER(FIND(":",SUBSTITUTE(TRIM(E488),",","."))),VALUE(LEFT(SUBSTITUTE(TRIM(E488),",","."),FIND(":",SUBSTITUTE(TRIM(E488),",","."))-1))*60+_xlfn.NUMBERVALUE(MID(SUBSTITUTE(TRIM(E488),",","."),FIND(":",SUBSTITUTE(TRIM(E488),",","."))+1,99),"."),_xlfn.NUMBERVALUE(SUBSTITUTE(TRIM(E488),",","."),".")),0)))</f>
        <v/>
      </c>
      <c r="L488" s="3" t="str">
        <f aca="false">IF(OR(D488="",N(K488)&lt;=0),"",IFERROR(MATCH(B488&amp;"|"&amp;C488&amp;"|"&amp;D488,Нормативы!$M$2:$M$71,0),""))</f>
        <v/>
      </c>
      <c r="M488" s="3" t="str">
        <f aca="false">IF(L488="","",SUMPRODUCT((INDEX(Нормативы!$D$2:$L$71,L488,0)&lt;K488)*ISNUMBER(INDEX(Нормативы!$D$2:$L$71,L488,0))))</f>
        <v/>
      </c>
    </row>
    <row r="489" customFormat="false" ht="15" hidden="false" customHeight="false" outlineLevel="0" collapsed="false">
      <c r="A489" s="5"/>
      <c r="B489" s="5"/>
      <c r="C489" s="5"/>
      <c r="D489" s="5"/>
      <c r="E489" s="14"/>
      <c r="F489" s="4" t="str">
        <f aca="false">IF(OR(J489="",K489="",N(J489)=0,N(K489)&lt;=0),"",ROUNDDOWN(1000*(J489/K489)^3,0))</f>
        <v/>
      </c>
      <c r="G489" s="4" t="str">
        <f aca="false">IF(M489="","",IF(M489+1&gt;COUNT(INDEX(Нормативы!$D$2:$L$71,L489,0)),"Разряда нет",INDEX(Нормативы!$D$1:$L$1,1,M489+1)))</f>
        <v/>
      </c>
      <c r="H489" s="2" t="str">
        <f aca="false">IF(M489="","",IF(M489=0,"—",INDEX(Нормативы!$D$1:$L$1,1,M489)))</f>
        <v/>
      </c>
      <c r="I489" s="7" t="str">
        <f aca="false">IF(M489="","",IF(M489=0,"",IF(INT(ROUND(INDEX(Нормативы!$D$2:$L$71,L489,M489)*100,0)/6000)&gt;0,INT(ROUND(INDEX(Нормативы!$D$2:$L$71,L489,M489)*100,0)/6000)&amp;":"&amp;RIGHT("0"&amp;INT(MOD(ROUND(INDEX(Нормативы!$D$2:$L$71,L489,M489)*100,0),6000)/100),2),INT(MOD(ROUND(INDEX(Нормативы!$D$2:$L$71,L489,M489)*100,0),6000)/100))&amp;"."&amp;RIGHT("0"&amp;MOD(ROUND(INDEX(Нормативы!$D$2:$L$71,L489,M489)*100,0),100),2)))</f>
        <v/>
      </c>
      <c r="J489" s="12" t="str">
        <f aca="false">IF(D489="","",SUMIFS('Базовые времена'!$D$2:$D$71,'Базовые времена'!$A$2:$A$71,B489,'Базовые времена'!$B$2:$B$71,C489,'Базовые времена'!$C$2:$C$71,D489))</f>
        <v/>
      </c>
      <c r="K489" s="12" t="str">
        <f aca="false">IF(E489="","",IF(ISNUMBER(E489),IF(E489&lt;1,E489*86400,E489),IFERROR(IF(ISNUMBER(FIND(":",SUBSTITUTE(TRIM(E489),",","."))),VALUE(LEFT(SUBSTITUTE(TRIM(E489),",","."),FIND(":",SUBSTITUTE(TRIM(E489),",","."))-1))*60+_xlfn.NUMBERVALUE(MID(SUBSTITUTE(TRIM(E489),",","."),FIND(":",SUBSTITUTE(TRIM(E489),",","."))+1,99),"."),_xlfn.NUMBERVALUE(SUBSTITUTE(TRIM(E489),",","."),".")),0)))</f>
        <v/>
      </c>
      <c r="L489" s="3" t="str">
        <f aca="false">IF(OR(D489="",N(K489)&lt;=0),"",IFERROR(MATCH(B489&amp;"|"&amp;C489&amp;"|"&amp;D489,Нормативы!$M$2:$M$71,0),""))</f>
        <v/>
      </c>
      <c r="M489" s="3" t="str">
        <f aca="false">IF(L489="","",SUMPRODUCT((INDEX(Нормативы!$D$2:$L$71,L489,0)&lt;K489)*ISNUMBER(INDEX(Нормативы!$D$2:$L$71,L489,0))))</f>
        <v/>
      </c>
    </row>
    <row r="490" customFormat="false" ht="15" hidden="false" customHeight="false" outlineLevel="0" collapsed="false">
      <c r="A490" s="5"/>
      <c r="B490" s="5"/>
      <c r="C490" s="5"/>
      <c r="D490" s="5"/>
      <c r="E490" s="14"/>
      <c r="F490" s="4" t="str">
        <f aca="false">IF(OR(J490="",K490="",N(J490)=0,N(K490)&lt;=0),"",ROUNDDOWN(1000*(J490/K490)^3,0))</f>
        <v/>
      </c>
      <c r="G490" s="4" t="str">
        <f aca="false">IF(M490="","",IF(M490+1&gt;COUNT(INDEX(Нормативы!$D$2:$L$71,L490,0)),"Разряда нет",INDEX(Нормативы!$D$1:$L$1,1,M490+1)))</f>
        <v/>
      </c>
      <c r="H490" s="2" t="str">
        <f aca="false">IF(M490="","",IF(M490=0,"—",INDEX(Нормативы!$D$1:$L$1,1,M490)))</f>
        <v/>
      </c>
      <c r="I490" s="7" t="str">
        <f aca="false">IF(M490="","",IF(M490=0,"",IF(INT(ROUND(INDEX(Нормативы!$D$2:$L$71,L490,M490)*100,0)/6000)&gt;0,INT(ROUND(INDEX(Нормативы!$D$2:$L$71,L490,M490)*100,0)/6000)&amp;":"&amp;RIGHT("0"&amp;INT(MOD(ROUND(INDEX(Нормативы!$D$2:$L$71,L490,M490)*100,0),6000)/100),2),INT(MOD(ROUND(INDEX(Нормативы!$D$2:$L$71,L490,M490)*100,0),6000)/100))&amp;"."&amp;RIGHT("0"&amp;MOD(ROUND(INDEX(Нормативы!$D$2:$L$71,L490,M490)*100,0),100),2)))</f>
        <v/>
      </c>
      <c r="J490" s="12" t="str">
        <f aca="false">IF(D490="","",SUMIFS('Базовые времена'!$D$2:$D$71,'Базовые времена'!$A$2:$A$71,B490,'Базовые времена'!$B$2:$B$71,C490,'Базовые времена'!$C$2:$C$71,D490))</f>
        <v/>
      </c>
      <c r="K490" s="12" t="str">
        <f aca="false">IF(E490="","",IF(ISNUMBER(E490),IF(E490&lt;1,E490*86400,E490),IFERROR(IF(ISNUMBER(FIND(":",SUBSTITUTE(TRIM(E490),",","."))),VALUE(LEFT(SUBSTITUTE(TRIM(E490),",","."),FIND(":",SUBSTITUTE(TRIM(E490),",","."))-1))*60+_xlfn.NUMBERVALUE(MID(SUBSTITUTE(TRIM(E490),",","."),FIND(":",SUBSTITUTE(TRIM(E490),",","."))+1,99),"."),_xlfn.NUMBERVALUE(SUBSTITUTE(TRIM(E490),",","."),".")),0)))</f>
        <v/>
      </c>
      <c r="L490" s="3" t="str">
        <f aca="false">IF(OR(D490="",N(K490)&lt;=0),"",IFERROR(MATCH(B490&amp;"|"&amp;C490&amp;"|"&amp;D490,Нормативы!$M$2:$M$71,0),""))</f>
        <v/>
      </c>
      <c r="M490" s="3" t="str">
        <f aca="false">IF(L490="","",SUMPRODUCT((INDEX(Нормативы!$D$2:$L$71,L490,0)&lt;K490)*ISNUMBER(INDEX(Нормативы!$D$2:$L$71,L490,0))))</f>
        <v/>
      </c>
    </row>
    <row r="491" customFormat="false" ht="15" hidden="false" customHeight="false" outlineLevel="0" collapsed="false">
      <c r="A491" s="5"/>
      <c r="B491" s="5"/>
      <c r="C491" s="5"/>
      <c r="D491" s="5"/>
      <c r="E491" s="14"/>
      <c r="F491" s="4" t="str">
        <f aca="false">IF(OR(J491="",K491="",N(J491)=0,N(K491)&lt;=0),"",ROUNDDOWN(1000*(J491/K491)^3,0))</f>
        <v/>
      </c>
      <c r="G491" s="4" t="str">
        <f aca="false">IF(M491="","",IF(M491+1&gt;COUNT(INDEX(Нормативы!$D$2:$L$71,L491,0)),"Разряда нет",INDEX(Нормативы!$D$1:$L$1,1,M491+1)))</f>
        <v/>
      </c>
      <c r="H491" s="2" t="str">
        <f aca="false">IF(M491="","",IF(M491=0,"—",INDEX(Нормативы!$D$1:$L$1,1,M491)))</f>
        <v/>
      </c>
      <c r="I491" s="7" t="str">
        <f aca="false">IF(M491="","",IF(M491=0,"",IF(INT(ROUND(INDEX(Нормативы!$D$2:$L$71,L491,M491)*100,0)/6000)&gt;0,INT(ROUND(INDEX(Нормативы!$D$2:$L$71,L491,M491)*100,0)/6000)&amp;":"&amp;RIGHT("0"&amp;INT(MOD(ROUND(INDEX(Нормативы!$D$2:$L$71,L491,M491)*100,0),6000)/100),2),INT(MOD(ROUND(INDEX(Нормативы!$D$2:$L$71,L491,M491)*100,0),6000)/100))&amp;"."&amp;RIGHT("0"&amp;MOD(ROUND(INDEX(Нормативы!$D$2:$L$71,L491,M491)*100,0),100),2)))</f>
        <v/>
      </c>
      <c r="J491" s="12" t="str">
        <f aca="false">IF(D491="","",SUMIFS('Базовые времена'!$D$2:$D$71,'Базовые времена'!$A$2:$A$71,B491,'Базовые времена'!$B$2:$B$71,C491,'Базовые времена'!$C$2:$C$71,D491))</f>
        <v/>
      </c>
      <c r="K491" s="12" t="str">
        <f aca="false">IF(E491="","",IF(ISNUMBER(E491),IF(E491&lt;1,E491*86400,E491),IFERROR(IF(ISNUMBER(FIND(":",SUBSTITUTE(TRIM(E491),",","."))),VALUE(LEFT(SUBSTITUTE(TRIM(E491),",","."),FIND(":",SUBSTITUTE(TRIM(E491),",","."))-1))*60+_xlfn.NUMBERVALUE(MID(SUBSTITUTE(TRIM(E491),",","."),FIND(":",SUBSTITUTE(TRIM(E491),",","."))+1,99),"."),_xlfn.NUMBERVALUE(SUBSTITUTE(TRIM(E491),",","."),".")),0)))</f>
        <v/>
      </c>
      <c r="L491" s="3" t="str">
        <f aca="false">IF(OR(D491="",N(K491)&lt;=0),"",IFERROR(MATCH(B491&amp;"|"&amp;C491&amp;"|"&amp;D491,Нормативы!$M$2:$M$71,0),""))</f>
        <v/>
      </c>
      <c r="M491" s="3" t="str">
        <f aca="false">IF(L491="","",SUMPRODUCT((INDEX(Нормативы!$D$2:$L$71,L491,0)&lt;K491)*ISNUMBER(INDEX(Нормативы!$D$2:$L$71,L491,0))))</f>
        <v/>
      </c>
    </row>
    <row r="492" customFormat="false" ht="15" hidden="false" customHeight="false" outlineLevel="0" collapsed="false">
      <c r="A492" s="5"/>
      <c r="B492" s="5"/>
      <c r="C492" s="5"/>
      <c r="D492" s="5"/>
      <c r="E492" s="14"/>
      <c r="F492" s="4" t="str">
        <f aca="false">IF(OR(J492="",K492="",N(J492)=0,N(K492)&lt;=0),"",ROUNDDOWN(1000*(J492/K492)^3,0))</f>
        <v/>
      </c>
      <c r="G492" s="4" t="str">
        <f aca="false">IF(M492="","",IF(M492+1&gt;COUNT(INDEX(Нормативы!$D$2:$L$71,L492,0)),"Разряда нет",INDEX(Нормативы!$D$1:$L$1,1,M492+1)))</f>
        <v/>
      </c>
      <c r="H492" s="2" t="str">
        <f aca="false">IF(M492="","",IF(M492=0,"—",INDEX(Нормативы!$D$1:$L$1,1,M492)))</f>
        <v/>
      </c>
      <c r="I492" s="7" t="str">
        <f aca="false">IF(M492="","",IF(M492=0,"",IF(INT(ROUND(INDEX(Нормативы!$D$2:$L$71,L492,M492)*100,0)/6000)&gt;0,INT(ROUND(INDEX(Нормативы!$D$2:$L$71,L492,M492)*100,0)/6000)&amp;":"&amp;RIGHT("0"&amp;INT(MOD(ROUND(INDEX(Нормативы!$D$2:$L$71,L492,M492)*100,0),6000)/100),2),INT(MOD(ROUND(INDEX(Нормативы!$D$2:$L$71,L492,M492)*100,0),6000)/100))&amp;"."&amp;RIGHT("0"&amp;MOD(ROUND(INDEX(Нормативы!$D$2:$L$71,L492,M492)*100,0),100),2)))</f>
        <v/>
      </c>
      <c r="J492" s="12" t="str">
        <f aca="false">IF(D492="","",SUMIFS('Базовые времена'!$D$2:$D$71,'Базовые времена'!$A$2:$A$71,B492,'Базовые времена'!$B$2:$B$71,C492,'Базовые времена'!$C$2:$C$71,D492))</f>
        <v/>
      </c>
      <c r="K492" s="12" t="str">
        <f aca="false">IF(E492="","",IF(ISNUMBER(E492),IF(E492&lt;1,E492*86400,E492),IFERROR(IF(ISNUMBER(FIND(":",SUBSTITUTE(TRIM(E492),",","."))),VALUE(LEFT(SUBSTITUTE(TRIM(E492),",","."),FIND(":",SUBSTITUTE(TRIM(E492),",","."))-1))*60+_xlfn.NUMBERVALUE(MID(SUBSTITUTE(TRIM(E492),",","."),FIND(":",SUBSTITUTE(TRIM(E492),",","."))+1,99),"."),_xlfn.NUMBERVALUE(SUBSTITUTE(TRIM(E492),",","."),".")),0)))</f>
        <v/>
      </c>
      <c r="L492" s="3" t="str">
        <f aca="false">IF(OR(D492="",N(K492)&lt;=0),"",IFERROR(MATCH(B492&amp;"|"&amp;C492&amp;"|"&amp;D492,Нормативы!$M$2:$M$71,0),""))</f>
        <v/>
      </c>
      <c r="M492" s="3" t="str">
        <f aca="false">IF(L492="","",SUMPRODUCT((INDEX(Нормативы!$D$2:$L$71,L492,0)&lt;K492)*ISNUMBER(INDEX(Нормативы!$D$2:$L$71,L492,0))))</f>
        <v/>
      </c>
    </row>
    <row r="493" customFormat="false" ht="15" hidden="false" customHeight="false" outlineLevel="0" collapsed="false">
      <c r="A493" s="5"/>
      <c r="B493" s="5"/>
      <c r="C493" s="5"/>
      <c r="D493" s="5"/>
      <c r="E493" s="14"/>
      <c r="F493" s="4" t="str">
        <f aca="false">IF(OR(J493="",K493="",N(J493)=0,N(K493)&lt;=0),"",ROUNDDOWN(1000*(J493/K493)^3,0))</f>
        <v/>
      </c>
      <c r="G493" s="4" t="str">
        <f aca="false">IF(M493="","",IF(M493+1&gt;COUNT(INDEX(Нормативы!$D$2:$L$71,L493,0)),"Разряда нет",INDEX(Нормативы!$D$1:$L$1,1,M493+1)))</f>
        <v/>
      </c>
      <c r="H493" s="2" t="str">
        <f aca="false">IF(M493="","",IF(M493=0,"—",INDEX(Нормативы!$D$1:$L$1,1,M493)))</f>
        <v/>
      </c>
      <c r="I493" s="7" t="str">
        <f aca="false">IF(M493="","",IF(M493=0,"",IF(INT(ROUND(INDEX(Нормативы!$D$2:$L$71,L493,M493)*100,0)/6000)&gt;0,INT(ROUND(INDEX(Нормативы!$D$2:$L$71,L493,M493)*100,0)/6000)&amp;":"&amp;RIGHT("0"&amp;INT(MOD(ROUND(INDEX(Нормативы!$D$2:$L$71,L493,M493)*100,0),6000)/100),2),INT(MOD(ROUND(INDEX(Нормативы!$D$2:$L$71,L493,M493)*100,0),6000)/100))&amp;"."&amp;RIGHT("0"&amp;MOD(ROUND(INDEX(Нормативы!$D$2:$L$71,L493,M493)*100,0),100),2)))</f>
        <v/>
      </c>
      <c r="J493" s="12" t="str">
        <f aca="false">IF(D493="","",SUMIFS('Базовые времена'!$D$2:$D$71,'Базовые времена'!$A$2:$A$71,B493,'Базовые времена'!$B$2:$B$71,C493,'Базовые времена'!$C$2:$C$71,D493))</f>
        <v/>
      </c>
      <c r="K493" s="12" t="str">
        <f aca="false">IF(E493="","",IF(ISNUMBER(E493),IF(E493&lt;1,E493*86400,E493),IFERROR(IF(ISNUMBER(FIND(":",SUBSTITUTE(TRIM(E493),",","."))),VALUE(LEFT(SUBSTITUTE(TRIM(E493),",","."),FIND(":",SUBSTITUTE(TRIM(E493),",","."))-1))*60+_xlfn.NUMBERVALUE(MID(SUBSTITUTE(TRIM(E493),",","."),FIND(":",SUBSTITUTE(TRIM(E493),",","."))+1,99),"."),_xlfn.NUMBERVALUE(SUBSTITUTE(TRIM(E493),",","."),".")),0)))</f>
        <v/>
      </c>
      <c r="L493" s="3" t="str">
        <f aca="false">IF(OR(D493="",N(K493)&lt;=0),"",IFERROR(MATCH(B493&amp;"|"&amp;C493&amp;"|"&amp;D493,Нормативы!$M$2:$M$71,0),""))</f>
        <v/>
      </c>
      <c r="M493" s="3" t="str">
        <f aca="false">IF(L493="","",SUMPRODUCT((INDEX(Нормативы!$D$2:$L$71,L493,0)&lt;K493)*ISNUMBER(INDEX(Нормативы!$D$2:$L$71,L493,0))))</f>
        <v/>
      </c>
    </row>
    <row r="494" customFormat="false" ht="15" hidden="false" customHeight="false" outlineLevel="0" collapsed="false">
      <c r="A494" s="5"/>
      <c r="B494" s="5"/>
      <c r="C494" s="5"/>
      <c r="D494" s="5"/>
      <c r="E494" s="14"/>
      <c r="F494" s="4" t="str">
        <f aca="false">IF(OR(J494="",K494="",N(J494)=0,N(K494)&lt;=0),"",ROUNDDOWN(1000*(J494/K494)^3,0))</f>
        <v/>
      </c>
      <c r="G494" s="4" t="str">
        <f aca="false">IF(M494="","",IF(M494+1&gt;COUNT(INDEX(Нормативы!$D$2:$L$71,L494,0)),"Разряда нет",INDEX(Нормативы!$D$1:$L$1,1,M494+1)))</f>
        <v/>
      </c>
      <c r="H494" s="2" t="str">
        <f aca="false">IF(M494="","",IF(M494=0,"—",INDEX(Нормативы!$D$1:$L$1,1,M494)))</f>
        <v/>
      </c>
      <c r="I494" s="7" t="str">
        <f aca="false">IF(M494="","",IF(M494=0,"",IF(INT(ROUND(INDEX(Нормативы!$D$2:$L$71,L494,M494)*100,0)/6000)&gt;0,INT(ROUND(INDEX(Нормативы!$D$2:$L$71,L494,M494)*100,0)/6000)&amp;":"&amp;RIGHT("0"&amp;INT(MOD(ROUND(INDEX(Нормативы!$D$2:$L$71,L494,M494)*100,0),6000)/100),2),INT(MOD(ROUND(INDEX(Нормативы!$D$2:$L$71,L494,M494)*100,0),6000)/100))&amp;"."&amp;RIGHT("0"&amp;MOD(ROUND(INDEX(Нормативы!$D$2:$L$71,L494,M494)*100,0),100),2)))</f>
        <v/>
      </c>
      <c r="J494" s="12" t="str">
        <f aca="false">IF(D494="","",SUMIFS('Базовые времена'!$D$2:$D$71,'Базовые времена'!$A$2:$A$71,B494,'Базовые времена'!$B$2:$B$71,C494,'Базовые времена'!$C$2:$C$71,D494))</f>
        <v/>
      </c>
      <c r="K494" s="12" t="str">
        <f aca="false">IF(E494="","",IF(ISNUMBER(E494),IF(E494&lt;1,E494*86400,E494),IFERROR(IF(ISNUMBER(FIND(":",SUBSTITUTE(TRIM(E494),",","."))),VALUE(LEFT(SUBSTITUTE(TRIM(E494),",","."),FIND(":",SUBSTITUTE(TRIM(E494),",","."))-1))*60+_xlfn.NUMBERVALUE(MID(SUBSTITUTE(TRIM(E494),",","."),FIND(":",SUBSTITUTE(TRIM(E494),",","."))+1,99),"."),_xlfn.NUMBERVALUE(SUBSTITUTE(TRIM(E494),",","."),".")),0)))</f>
        <v/>
      </c>
      <c r="L494" s="3" t="str">
        <f aca="false">IF(OR(D494="",N(K494)&lt;=0),"",IFERROR(MATCH(B494&amp;"|"&amp;C494&amp;"|"&amp;D494,Нормативы!$M$2:$M$71,0),""))</f>
        <v/>
      </c>
      <c r="M494" s="3" t="str">
        <f aca="false">IF(L494="","",SUMPRODUCT((INDEX(Нормативы!$D$2:$L$71,L494,0)&lt;K494)*ISNUMBER(INDEX(Нормативы!$D$2:$L$71,L494,0))))</f>
        <v/>
      </c>
    </row>
    <row r="495" customFormat="false" ht="15" hidden="false" customHeight="false" outlineLevel="0" collapsed="false">
      <c r="A495" s="5"/>
      <c r="B495" s="5"/>
      <c r="C495" s="5"/>
      <c r="D495" s="5"/>
      <c r="E495" s="14"/>
      <c r="F495" s="4" t="str">
        <f aca="false">IF(OR(J495="",K495="",N(J495)=0,N(K495)&lt;=0),"",ROUNDDOWN(1000*(J495/K495)^3,0))</f>
        <v/>
      </c>
      <c r="G495" s="4" t="str">
        <f aca="false">IF(M495="","",IF(M495+1&gt;COUNT(INDEX(Нормативы!$D$2:$L$71,L495,0)),"Разряда нет",INDEX(Нормативы!$D$1:$L$1,1,M495+1)))</f>
        <v/>
      </c>
      <c r="H495" s="2" t="str">
        <f aca="false">IF(M495="","",IF(M495=0,"—",INDEX(Нормативы!$D$1:$L$1,1,M495)))</f>
        <v/>
      </c>
      <c r="I495" s="7" t="str">
        <f aca="false">IF(M495="","",IF(M495=0,"",IF(INT(ROUND(INDEX(Нормативы!$D$2:$L$71,L495,M495)*100,0)/6000)&gt;0,INT(ROUND(INDEX(Нормативы!$D$2:$L$71,L495,M495)*100,0)/6000)&amp;":"&amp;RIGHT("0"&amp;INT(MOD(ROUND(INDEX(Нормативы!$D$2:$L$71,L495,M495)*100,0),6000)/100),2),INT(MOD(ROUND(INDEX(Нормативы!$D$2:$L$71,L495,M495)*100,0),6000)/100))&amp;"."&amp;RIGHT("0"&amp;MOD(ROUND(INDEX(Нормативы!$D$2:$L$71,L495,M495)*100,0),100),2)))</f>
        <v/>
      </c>
      <c r="J495" s="12" t="str">
        <f aca="false">IF(D495="","",SUMIFS('Базовые времена'!$D$2:$D$71,'Базовые времена'!$A$2:$A$71,B495,'Базовые времена'!$B$2:$B$71,C495,'Базовые времена'!$C$2:$C$71,D495))</f>
        <v/>
      </c>
      <c r="K495" s="12" t="str">
        <f aca="false">IF(E495="","",IF(ISNUMBER(E495),IF(E495&lt;1,E495*86400,E495),IFERROR(IF(ISNUMBER(FIND(":",SUBSTITUTE(TRIM(E495),",","."))),VALUE(LEFT(SUBSTITUTE(TRIM(E495),",","."),FIND(":",SUBSTITUTE(TRIM(E495),",","."))-1))*60+_xlfn.NUMBERVALUE(MID(SUBSTITUTE(TRIM(E495),",","."),FIND(":",SUBSTITUTE(TRIM(E495),",","."))+1,99),"."),_xlfn.NUMBERVALUE(SUBSTITUTE(TRIM(E495),",","."),".")),0)))</f>
        <v/>
      </c>
      <c r="L495" s="3" t="str">
        <f aca="false">IF(OR(D495="",N(K495)&lt;=0),"",IFERROR(MATCH(B495&amp;"|"&amp;C495&amp;"|"&amp;D495,Нормативы!$M$2:$M$71,0),""))</f>
        <v/>
      </c>
      <c r="M495" s="3" t="str">
        <f aca="false">IF(L495="","",SUMPRODUCT((INDEX(Нормативы!$D$2:$L$71,L495,0)&lt;K495)*ISNUMBER(INDEX(Нормативы!$D$2:$L$71,L495,0))))</f>
        <v/>
      </c>
    </row>
    <row r="496" customFormat="false" ht="15" hidden="false" customHeight="false" outlineLevel="0" collapsed="false">
      <c r="A496" s="5"/>
      <c r="B496" s="5"/>
      <c r="C496" s="5"/>
      <c r="D496" s="5"/>
      <c r="E496" s="14"/>
      <c r="F496" s="4" t="str">
        <f aca="false">IF(OR(J496="",K496="",N(J496)=0,N(K496)&lt;=0),"",ROUNDDOWN(1000*(J496/K496)^3,0))</f>
        <v/>
      </c>
      <c r="G496" s="4" t="str">
        <f aca="false">IF(M496="","",IF(M496+1&gt;COUNT(INDEX(Нормативы!$D$2:$L$71,L496,0)),"Разряда нет",INDEX(Нормативы!$D$1:$L$1,1,M496+1)))</f>
        <v/>
      </c>
      <c r="H496" s="2" t="str">
        <f aca="false">IF(M496="","",IF(M496=0,"—",INDEX(Нормативы!$D$1:$L$1,1,M496)))</f>
        <v/>
      </c>
      <c r="I496" s="7" t="str">
        <f aca="false">IF(M496="","",IF(M496=0,"",IF(INT(ROUND(INDEX(Нормативы!$D$2:$L$71,L496,M496)*100,0)/6000)&gt;0,INT(ROUND(INDEX(Нормативы!$D$2:$L$71,L496,M496)*100,0)/6000)&amp;":"&amp;RIGHT("0"&amp;INT(MOD(ROUND(INDEX(Нормативы!$D$2:$L$71,L496,M496)*100,0),6000)/100),2),INT(MOD(ROUND(INDEX(Нормативы!$D$2:$L$71,L496,M496)*100,0),6000)/100))&amp;"."&amp;RIGHT("0"&amp;MOD(ROUND(INDEX(Нормативы!$D$2:$L$71,L496,M496)*100,0),100),2)))</f>
        <v/>
      </c>
      <c r="J496" s="12" t="str">
        <f aca="false">IF(D496="","",SUMIFS('Базовые времена'!$D$2:$D$71,'Базовые времена'!$A$2:$A$71,B496,'Базовые времена'!$B$2:$B$71,C496,'Базовые времена'!$C$2:$C$71,D496))</f>
        <v/>
      </c>
      <c r="K496" s="12" t="str">
        <f aca="false">IF(E496="","",IF(ISNUMBER(E496),IF(E496&lt;1,E496*86400,E496),IFERROR(IF(ISNUMBER(FIND(":",SUBSTITUTE(TRIM(E496),",","."))),VALUE(LEFT(SUBSTITUTE(TRIM(E496),",","."),FIND(":",SUBSTITUTE(TRIM(E496),",","."))-1))*60+_xlfn.NUMBERVALUE(MID(SUBSTITUTE(TRIM(E496),",","."),FIND(":",SUBSTITUTE(TRIM(E496),",","."))+1,99),"."),_xlfn.NUMBERVALUE(SUBSTITUTE(TRIM(E496),",","."),".")),0)))</f>
        <v/>
      </c>
      <c r="L496" s="3" t="str">
        <f aca="false">IF(OR(D496="",N(K496)&lt;=0),"",IFERROR(MATCH(B496&amp;"|"&amp;C496&amp;"|"&amp;D496,Нормативы!$M$2:$M$71,0),""))</f>
        <v/>
      </c>
      <c r="M496" s="3" t="str">
        <f aca="false">IF(L496="","",SUMPRODUCT((INDEX(Нормативы!$D$2:$L$71,L496,0)&lt;K496)*ISNUMBER(INDEX(Нормативы!$D$2:$L$71,L496,0))))</f>
        <v/>
      </c>
    </row>
    <row r="497" customFormat="false" ht="15" hidden="false" customHeight="false" outlineLevel="0" collapsed="false">
      <c r="A497" s="5"/>
      <c r="B497" s="5"/>
      <c r="C497" s="5"/>
      <c r="D497" s="5"/>
      <c r="E497" s="14"/>
      <c r="F497" s="4" t="str">
        <f aca="false">IF(OR(J497="",K497="",N(J497)=0,N(K497)&lt;=0),"",ROUNDDOWN(1000*(J497/K497)^3,0))</f>
        <v/>
      </c>
      <c r="G497" s="4" t="str">
        <f aca="false">IF(M497="","",IF(M497+1&gt;COUNT(INDEX(Нормативы!$D$2:$L$71,L497,0)),"Разряда нет",INDEX(Нормативы!$D$1:$L$1,1,M497+1)))</f>
        <v/>
      </c>
      <c r="H497" s="2" t="str">
        <f aca="false">IF(M497="","",IF(M497=0,"—",INDEX(Нормативы!$D$1:$L$1,1,M497)))</f>
        <v/>
      </c>
      <c r="I497" s="7" t="str">
        <f aca="false">IF(M497="","",IF(M497=0,"",IF(INT(ROUND(INDEX(Нормативы!$D$2:$L$71,L497,M497)*100,0)/6000)&gt;0,INT(ROUND(INDEX(Нормативы!$D$2:$L$71,L497,M497)*100,0)/6000)&amp;":"&amp;RIGHT("0"&amp;INT(MOD(ROUND(INDEX(Нормативы!$D$2:$L$71,L497,M497)*100,0),6000)/100),2),INT(MOD(ROUND(INDEX(Нормативы!$D$2:$L$71,L497,M497)*100,0),6000)/100))&amp;"."&amp;RIGHT("0"&amp;MOD(ROUND(INDEX(Нормативы!$D$2:$L$71,L497,M497)*100,0),100),2)))</f>
        <v/>
      </c>
      <c r="J497" s="12" t="str">
        <f aca="false">IF(D497="","",SUMIFS('Базовые времена'!$D$2:$D$71,'Базовые времена'!$A$2:$A$71,B497,'Базовые времена'!$B$2:$B$71,C497,'Базовые времена'!$C$2:$C$71,D497))</f>
        <v/>
      </c>
      <c r="K497" s="12" t="str">
        <f aca="false">IF(E497="","",IF(ISNUMBER(E497),IF(E497&lt;1,E497*86400,E497),IFERROR(IF(ISNUMBER(FIND(":",SUBSTITUTE(TRIM(E497),",","."))),VALUE(LEFT(SUBSTITUTE(TRIM(E497),",","."),FIND(":",SUBSTITUTE(TRIM(E497),",","."))-1))*60+_xlfn.NUMBERVALUE(MID(SUBSTITUTE(TRIM(E497),",","."),FIND(":",SUBSTITUTE(TRIM(E497),",","."))+1,99),"."),_xlfn.NUMBERVALUE(SUBSTITUTE(TRIM(E497),",","."),".")),0)))</f>
        <v/>
      </c>
      <c r="L497" s="3" t="str">
        <f aca="false">IF(OR(D497="",N(K497)&lt;=0),"",IFERROR(MATCH(B497&amp;"|"&amp;C497&amp;"|"&amp;D497,Нормативы!$M$2:$M$71,0),""))</f>
        <v/>
      </c>
      <c r="M497" s="3" t="str">
        <f aca="false">IF(L497="","",SUMPRODUCT((INDEX(Нормативы!$D$2:$L$71,L497,0)&lt;K497)*ISNUMBER(INDEX(Нормативы!$D$2:$L$71,L497,0))))</f>
        <v/>
      </c>
    </row>
    <row r="498" customFormat="false" ht="15" hidden="false" customHeight="false" outlineLevel="0" collapsed="false">
      <c r="A498" s="5"/>
      <c r="B498" s="5"/>
      <c r="C498" s="5"/>
      <c r="D498" s="5"/>
      <c r="E498" s="14"/>
      <c r="F498" s="4" t="str">
        <f aca="false">IF(OR(J498="",K498="",N(J498)=0,N(K498)&lt;=0),"",ROUNDDOWN(1000*(J498/K498)^3,0))</f>
        <v/>
      </c>
      <c r="G498" s="4" t="str">
        <f aca="false">IF(M498="","",IF(M498+1&gt;COUNT(INDEX(Нормативы!$D$2:$L$71,L498,0)),"Разряда нет",INDEX(Нормативы!$D$1:$L$1,1,M498+1)))</f>
        <v/>
      </c>
      <c r="H498" s="2" t="str">
        <f aca="false">IF(M498="","",IF(M498=0,"—",INDEX(Нормативы!$D$1:$L$1,1,M498)))</f>
        <v/>
      </c>
      <c r="I498" s="7" t="str">
        <f aca="false">IF(M498="","",IF(M498=0,"",IF(INT(ROUND(INDEX(Нормативы!$D$2:$L$71,L498,M498)*100,0)/6000)&gt;0,INT(ROUND(INDEX(Нормативы!$D$2:$L$71,L498,M498)*100,0)/6000)&amp;":"&amp;RIGHT("0"&amp;INT(MOD(ROUND(INDEX(Нормативы!$D$2:$L$71,L498,M498)*100,0),6000)/100),2),INT(MOD(ROUND(INDEX(Нормативы!$D$2:$L$71,L498,M498)*100,0),6000)/100))&amp;"."&amp;RIGHT("0"&amp;MOD(ROUND(INDEX(Нормативы!$D$2:$L$71,L498,M498)*100,0),100),2)))</f>
        <v/>
      </c>
      <c r="J498" s="12" t="str">
        <f aca="false">IF(D498="","",SUMIFS('Базовые времена'!$D$2:$D$71,'Базовые времена'!$A$2:$A$71,B498,'Базовые времена'!$B$2:$B$71,C498,'Базовые времена'!$C$2:$C$71,D498))</f>
        <v/>
      </c>
      <c r="K498" s="12" t="str">
        <f aca="false">IF(E498="","",IF(ISNUMBER(E498),IF(E498&lt;1,E498*86400,E498),IFERROR(IF(ISNUMBER(FIND(":",SUBSTITUTE(TRIM(E498),",","."))),VALUE(LEFT(SUBSTITUTE(TRIM(E498),",","."),FIND(":",SUBSTITUTE(TRIM(E498),",","."))-1))*60+_xlfn.NUMBERVALUE(MID(SUBSTITUTE(TRIM(E498),",","."),FIND(":",SUBSTITUTE(TRIM(E498),",","."))+1,99),"."),_xlfn.NUMBERVALUE(SUBSTITUTE(TRIM(E498),",","."),".")),0)))</f>
        <v/>
      </c>
      <c r="L498" s="3" t="str">
        <f aca="false">IF(OR(D498="",N(K498)&lt;=0),"",IFERROR(MATCH(B498&amp;"|"&amp;C498&amp;"|"&amp;D498,Нормативы!$M$2:$M$71,0),""))</f>
        <v/>
      </c>
      <c r="M498" s="3" t="str">
        <f aca="false">IF(L498="","",SUMPRODUCT((INDEX(Нормативы!$D$2:$L$71,L498,0)&lt;K498)*ISNUMBER(INDEX(Нормативы!$D$2:$L$71,L498,0))))</f>
        <v/>
      </c>
    </row>
    <row r="499" customFormat="false" ht="15" hidden="false" customHeight="false" outlineLevel="0" collapsed="false">
      <c r="A499" s="5"/>
      <c r="B499" s="5"/>
      <c r="C499" s="5"/>
      <c r="D499" s="5"/>
      <c r="E499" s="14"/>
      <c r="F499" s="4" t="str">
        <f aca="false">IF(OR(J499="",K499="",N(J499)=0,N(K499)&lt;=0),"",ROUNDDOWN(1000*(J499/K499)^3,0))</f>
        <v/>
      </c>
      <c r="G499" s="4" t="str">
        <f aca="false">IF(M499="","",IF(M499+1&gt;COUNT(INDEX(Нормативы!$D$2:$L$71,L499,0)),"Разряда нет",INDEX(Нормативы!$D$1:$L$1,1,M499+1)))</f>
        <v/>
      </c>
      <c r="H499" s="2" t="str">
        <f aca="false">IF(M499="","",IF(M499=0,"—",INDEX(Нормативы!$D$1:$L$1,1,M499)))</f>
        <v/>
      </c>
      <c r="I499" s="7" t="str">
        <f aca="false">IF(M499="","",IF(M499=0,"",IF(INT(ROUND(INDEX(Нормативы!$D$2:$L$71,L499,M499)*100,0)/6000)&gt;0,INT(ROUND(INDEX(Нормативы!$D$2:$L$71,L499,M499)*100,0)/6000)&amp;":"&amp;RIGHT("0"&amp;INT(MOD(ROUND(INDEX(Нормативы!$D$2:$L$71,L499,M499)*100,0),6000)/100),2),INT(MOD(ROUND(INDEX(Нормативы!$D$2:$L$71,L499,M499)*100,0),6000)/100))&amp;"."&amp;RIGHT("0"&amp;MOD(ROUND(INDEX(Нормативы!$D$2:$L$71,L499,M499)*100,0),100),2)))</f>
        <v/>
      </c>
      <c r="J499" s="12" t="str">
        <f aca="false">IF(D499="","",SUMIFS('Базовые времена'!$D$2:$D$71,'Базовые времена'!$A$2:$A$71,B499,'Базовые времена'!$B$2:$B$71,C499,'Базовые времена'!$C$2:$C$71,D499))</f>
        <v/>
      </c>
      <c r="K499" s="12" t="str">
        <f aca="false">IF(E499="","",IF(ISNUMBER(E499),IF(E499&lt;1,E499*86400,E499),IFERROR(IF(ISNUMBER(FIND(":",SUBSTITUTE(TRIM(E499),",","."))),VALUE(LEFT(SUBSTITUTE(TRIM(E499),",","."),FIND(":",SUBSTITUTE(TRIM(E499),",","."))-1))*60+_xlfn.NUMBERVALUE(MID(SUBSTITUTE(TRIM(E499),",","."),FIND(":",SUBSTITUTE(TRIM(E499),",","."))+1,99),"."),_xlfn.NUMBERVALUE(SUBSTITUTE(TRIM(E499),",","."),".")),0)))</f>
        <v/>
      </c>
      <c r="L499" s="3" t="str">
        <f aca="false">IF(OR(D499="",N(K499)&lt;=0),"",IFERROR(MATCH(B499&amp;"|"&amp;C499&amp;"|"&amp;D499,Нормативы!$M$2:$M$71,0),""))</f>
        <v/>
      </c>
      <c r="M499" s="3" t="str">
        <f aca="false">IF(L499="","",SUMPRODUCT((INDEX(Нормативы!$D$2:$L$71,L499,0)&lt;K499)*ISNUMBER(INDEX(Нормативы!$D$2:$L$71,L499,0))))</f>
        <v/>
      </c>
    </row>
    <row r="500" customFormat="false" ht="15" hidden="false" customHeight="false" outlineLevel="0" collapsed="false">
      <c r="A500" s="5"/>
      <c r="B500" s="5"/>
      <c r="C500" s="5"/>
      <c r="D500" s="5"/>
      <c r="E500" s="14"/>
      <c r="F500" s="4" t="str">
        <f aca="false">IF(OR(J500="",K500="",N(J500)=0,N(K500)&lt;=0),"",ROUNDDOWN(1000*(J500/K500)^3,0))</f>
        <v/>
      </c>
      <c r="G500" s="4" t="str">
        <f aca="false">IF(M500="","",IF(M500+1&gt;COUNT(INDEX(Нормативы!$D$2:$L$71,L500,0)),"Разряда нет",INDEX(Нормативы!$D$1:$L$1,1,M500+1)))</f>
        <v/>
      </c>
      <c r="H500" s="2" t="str">
        <f aca="false">IF(M500="","",IF(M500=0,"—",INDEX(Нормативы!$D$1:$L$1,1,M500)))</f>
        <v/>
      </c>
      <c r="I500" s="7" t="str">
        <f aca="false">IF(M500="","",IF(M500=0,"",IF(INT(ROUND(INDEX(Нормативы!$D$2:$L$71,L500,M500)*100,0)/6000)&gt;0,INT(ROUND(INDEX(Нормативы!$D$2:$L$71,L500,M500)*100,0)/6000)&amp;":"&amp;RIGHT("0"&amp;INT(MOD(ROUND(INDEX(Нормативы!$D$2:$L$71,L500,M500)*100,0),6000)/100),2),INT(MOD(ROUND(INDEX(Нормативы!$D$2:$L$71,L500,M500)*100,0),6000)/100))&amp;"."&amp;RIGHT("0"&amp;MOD(ROUND(INDEX(Нормативы!$D$2:$L$71,L500,M500)*100,0),100),2)))</f>
        <v/>
      </c>
      <c r="J500" s="12" t="str">
        <f aca="false">IF(D500="","",SUMIFS('Базовые времена'!$D$2:$D$71,'Базовые времена'!$A$2:$A$71,B500,'Базовые времена'!$B$2:$B$71,C500,'Базовые времена'!$C$2:$C$71,D500))</f>
        <v/>
      </c>
      <c r="K500" s="12" t="str">
        <f aca="false">IF(E500="","",IF(ISNUMBER(E500),IF(E500&lt;1,E500*86400,E500),IFERROR(IF(ISNUMBER(FIND(":",SUBSTITUTE(TRIM(E500),",","."))),VALUE(LEFT(SUBSTITUTE(TRIM(E500),",","."),FIND(":",SUBSTITUTE(TRIM(E500),",","."))-1))*60+_xlfn.NUMBERVALUE(MID(SUBSTITUTE(TRIM(E500),",","."),FIND(":",SUBSTITUTE(TRIM(E500),",","."))+1,99),"."),_xlfn.NUMBERVALUE(SUBSTITUTE(TRIM(E500),",","."),".")),0)))</f>
        <v/>
      </c>
      <c r="L500" s="3" t="str">
        <f aca="false">IF(OR(D500="",N(K500)&lt;=0),"",IFERROR(MATCH(B500&amp;"|"&amp;C500&amp;"|"&amp;D500,Нормативы!$M$2:$M$71,0),""))</f>
        <v/>
      </c>
      <c r="M500" s="3" t="str">
        <f aca="false">IF(L500="","",SUMPRODUCT((INDEX(Нормативы!$D$2:$L$71,L500,0)&lt;K500)*ISNUMBER(INDEX(Нормативы!$D$2:$L$71,L500,0))))</f>
        <v/>
      </c>
    </row>
    <row r="501" customFormat="false" ht="15" hidden="false" customHeight="false" outlineLevel="0" collapsed="false">
      <c r="A501" s="5"/>
      <c r="B501" s="5"/>
      <c r="C501" s="5"/>
      <c r="D501" s="5"/>
      <c r="E501" s="14"/>
      <c r="F501" s="4" t="str">
        <f aca="false">IF(OR(J501="",K501="",N(J501)=0,N(K501)&lt;=0),"",ROUNDDOWN(1000*(J501/K501)^3,0))</f>
        <v/>
      </c>
      <c r="G501" s="4" t="str">
        <f aca="false">IF(M501="","",IF(M501+1&gt;COUNT(INDEX(Нормативы!$D$2:$L$71,L501,0)),"Разряда нет",INDEX(Нормативы!$D$1:$L$1,1,M501+1)))</f>
        <v/>
      </c>
      <c r="H501" s="2" t="str">
        <f aca="false">IF(M501="","",IF(M501=0,"—",INDEX(Нормативы!$D$1:$L$1,1,M501)))</f>
        <v/>
      </c>
      <c r="I501" s="7" t="str">
        <f aca="false">IF(M501="","",IF(M501=0,"",IF(INT(ROUND(INDEX(Нормативы!$D$2:$L$71,L501,M501)*100,0)/6000)&gt;0,INT(ROUND(INDEX(Нормативы!$D$2:$L$71,L501,M501)*100,0)/6000)&amp;":"&amp;RIGHT("0"&amp;INT(MOD(ROUND(INDEX(Нормативы!$D$2:$L$71,L501,M501)*100,0),6000)/100),2),INT(MOD(ROUND(INDEX(Нормативы!$D$2:$L$71,L501,M501)*100,0),6000)/100))&amp;"."&amp;RIGHT("0"&amp;MOD(ROUND(INDEX(Нормативы!$D$2:$L$71,L501,M501)*100,0),100),2)))</f>
        <v/>
      </c>
      <c r="J501" s="12" t="str">
        <f aca="false">IF(D501="","",SUMIFS('Базовые времена'!$D$2:$D$71,'Базовые времена'!$A$2:$A$71,B501,'Базовые времена'!$B$2:$B$71,C501,'Базовые времена'!$C$2:$C$71,D501))</f>
        <v/>
      </c>
      <c r="K501" s="12" t="str">
        <f aca="false">IF(E501="","",IF(ISNUMBER(E501),IF(E501&lt;1,E501*86400,E501),IFERROR(IF(ISNUMBER(FIND(":",SUBSTITUTE(TRIM(E501),",","."))),VALUE(LEFT(SUBSTITUTE(TRIM(E501),",","."),FIND(":",SUBSTITUTE(TRIM(E501),",","."))-1))*60+_xlfn.NUMBERVALUE(MID(SUBSTITUTE(TRIM(E501),",","."),FIND(":",SUBSTITUTE(TRIM(E501),",","."))+1,99),"."),_xlfn.NUMBERVALUE(SUBSTITUTE(TRIM(E501),",","."),".")),0)))</f>
        <v/>
      </c>
      <c r="L501" s="3" t="str">
        <f aca="false">IF(OR(D501="",N(K501)&lt;=0),"",IFERROR(MATCH(B501&amp;"|"&amp;C501&amp;"|"&amp;D501,Нормативы!$M$2:$M$71,0),""))</f>
        <v/>
      </c>
      <c r="M501" s="3" t="str">
        <f aca="false">IF(L501="","",SUMPRODUCT((INDEX(Нормативы!$D$2:$L$71,L501,0)&lt;K501)*ISNUMBER(INDEX(Нормативы!$D$2:$L$71,L501,0))))</f>
        <v/>
      </c>
    </row>
  </sheetData>
  <autoFilter ref="A1:M501"/>
  <dataValidations count="3">
    <dataValidation allowBlank="true" errorStyle="stop" operator="between" showDropDown="false" showErrorMessage="false" showInputMessage="false" sqref="B2:B501" type="list">
      <formula1>Списки!$A$2:$A$3</formula1>
      <formula2>0</formula2>
    </dataValidation>
    <dataValidation allowBlank="true" errorStyle="stop" operator="between" showDropDown="false" showErrorMessage="false" showInputMessage="false" sqref="C2:C501" type="list">
      <formula1>Списки!$B$2:$B$3</formula1>
      <formula2>0</formula2>
    </dataValidation>
    <dataValidation allowBlank="true" errorStyle="stop" operator="between" showDropDown="false" showErrorMessage="false" showInputMessage="false" sqref="D2:D501" type="list">
      <formula1>Списки!$C$2:$C$19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13" t="s">
        <v>2</v>
      </c>
      <c r="B1" s="13" t="s">
        <v>4</v>
      </c>
      <c r="C1" s="13" t="s">
        <v>6</v>
      </c>
      <c r="D1" s="13" t="s">
        <v>12</v>
      </c>
      <c r="E1" s="13" t="s">
        <v>33</v>
      </c>
    </row>
    <row r="2" customFormat="false" ht="15" hidden="false" customHeight="false" outlineLevel="0" collapsed="false">
      <c r="A2" s="2" t="s">
        <v>3</v>
      </c>
      <c r="B2" s="2" t="s">
        <v>5</v>
      </c>
      <c r="C2" s="2" t="s">
        <v>34</v>
      </c>
      <c r="D2" s="15" t="n">
        <v>19.9</v>
      </c>
      <c r="E2" s="7" t="str">
        <f aca="false">IF(INT(ROUND(D2*100,0)/6000)&gt;0,INT(ROUND(D2*100,0)/6000)&amp;":"&amp;RIGHT("0"&amp;INT(MOD(ROUND(D2*100,0),6000)/100),2),INT(MOD(ROUND(D2*100,0),6000)/100))&amp;"."&amp;RIGHT("0"&amp;MOD(ROUND(D2*100,0),100),2)</f>
        <v>19.90</v>
      </c>
    </row>
    <row r="3" customFormat="false" ht="15" hidden="false" customHeight="false" outlineLevel="0" collapsed="false">
      <c r="A3" s="2" t="s">
        <v>3</v>
      </c>
      <c r="B3" s="2" t="s">
        <v>5</v>
      </c>
      <c r="C3" s="2" t="s">
        <v>7</v>
      </c>
      <c r="D3" s="15" t="n">
        <v>44.84</v>
      </c>
      <c r="E3" s="7" t="str">
        <f aca="false">IF(INT(ROUND(D3*100,0)/6000)&gt;0,INT(ROUND(D3*100,0)/6000)&amp;":"&amp;RIGHT("0"&amp;INT(MOD(ROUND(D3*100,0),6000)/100),2),INT(MOD(ROUND(D3*100,0),6000)/100))&amp;"."&amp;RIGHT("0"&amp;MOD(ROUND(D3*100,0),100),2)</f>
        <v>44.84</v>
      </c>
    </row>
    <row r="4" customFormat="false" ht="15" hidden="false" customHeight="false" outlineLevel="0" collapsed="false">
      <c r="A4" s="2" t="s">
        <v>3</v>
      </c>
      <c r="B4" s="2" t="s">
        <v>5</v>
      </c>
      <c r="C4" s="2" t="s">
        <v>35</v>
      </c>
      <c r="D4" s="15" t="n">
        <v>98.61</v>
      </c>
      <c r="E4" s="7" t="str">
        <f aca="false">IF(INT(ROUND(D4*100,0)/6000)&gt;0,INT(ROUND(D4*100,0)/6000)&amp;":"&amp;RIGHT("0"&amp;INT(MOD(ROUND(D4*100,0),6000)/100),2),INT(MOD(ROUND(D4*100,0),6000)/100))&amp;"."&amp;RIGHT("0"&amp;MOD(ROUND(D4*100,0),100),2)</f>
        <v>1:38.61</v>
      </c>
    </row>
    <row r="5" customFormat="false" ht="15" hidden="false" customHeight="false" outlineLevel="0" collapsed="false">
      <c r="A5" s="2" t="s">
        <v>3</v>
      </c>
      <c r="B5" s="2" t="s">
        <v>5</v>
      </c>
      <c r="C5" s="2" t="s">
        <v>36</v>
      </c>
      <c r="D5" s="15" t="n">
        <v>212.25</v>
      </c>
      <c r="E5" s="7" t="str">
        <f aca="false">IF(INT(ROUND(D5*100,0)/6000)&gt;0,INT(ROUND(D5*100,0)/6000)&amp;":"&amp;RIGHT("0"&amp;INT(MOD(ROUND(D5*100,0),6000)/100),2),INT(MOD(ROUND(D5*100,0),6000)/100))&amp;"."&amp;RIGHT("0"&amp;MOD(ROUND(D5*100,0),100),2)</f>
        <v>3:32.25</v>
      </c>
    </row>
    <row r="6" customFormat="false" ht="15" hidden="false" customHeight="false" outlineLevel="0" collapsed="false">
      <c r="A6" s="2" t="s">
        <v>3</v>
      </c>
      <c r="B6" s="2" t="s">
        <v>5</v>
      </c>
      <c r="C6" s="2" t="s">
        <v>37</v>
      </c>
      <c r="D6" s="15" t="n">
        <v>440.46</v>
      </c>
      <c r="E6" s="7" t="str">
        <f aca="false">IF(INT(ROUND(D6*100,0)/6000)&gt;0,INT(ROUND(D6*100,0)/6000)&amp;":"&amp;RIGHT("0"&amp;INT(MOD(ROUND(D6*100,0),6000)/100),2),INT(MOD(ROUND(D6*100,0),6000)/100))&amp;"."&amp;RIGHT("0"&amp;MOD(ROUND(D6*100,0),100),2)</f>
        <v>7:20.46</v>
      </c>
    </row>
    <row r="7" customFormat="false" ht="15" hidden="false" customHeight="false" outlineLevel="0" collapsed="false">
      <c r="A7" s="2" t="s">
        <v>3</v>
      </c>
      <c r="B7" s="2" t="s">
        <v>5</v>
      </c>
      <c r="C7" s="2" t="s">
        <v>38</v>
      </c>
      <c r="D7" s="15" t="n">
        <v>846.88</v>
      </c>
      <c r="E7" s="7" t="str">
        <f aca="false">IF(INT(ROUND(D7*100,0)/6000)&gt;0,INT(ROUND(D7*100,0)/6000)&amp;":"&amp;RIGHT("0"&amp;INT(MOD(ROUND(D7*100,0),6000)/100),2),INT(MOD(ROUND(D7*100,0),6000)/100))&amp;"."&amp;RIGHT("0"&amp;MOD(ROUND(D7*100,0),100),2)</f>
        <v>14:06.88</v>
      </c>
    </row>
    <row r="8" customFormat="false" ht="15" hidden="false" customHeight="false" outlineLevel="0" collapsed="false">
      <c r="A8" s="2" t="s">
        <v>3</v>
      </c>
      <c r="B8" s="2" t="s">
        <v>5</v>
      </c>
      <c r="C8" s="2" t="s">
        <v>39</v>
      </c>
      <c r="D8" s="15" t="n">
        <v>22.11</v>
      </c>
      <c r="E8" s="7" t="str">
        <f aca="false">IF(INT(ROUND(D8*100,0)/6000)&gt;0,INT(ROUND(D8*100,0)/6000)&amp;":"&amp;RIGHT("0"&amp;INT(MOD(ROUND(D8*100,0),6000)/100),2),INT(MOD(ROUND(D8*100,0),6000)/100))&amp;"."&amp;RIGHT("0"&amp;MOD(ROUND(D8*100,0),100),2)</f>
        <v>22.11</v>
      </c>
    </row>
    <row r="9" customFormat="false" ht="15" hidden="false" customHeight="false" outlineLevel="0" collapsed="false">
      <c r="A9" s="2" t="s">
        <v>3</v>
      </c>
      <c r="B9" s="2" t="s">
        <v>5</v>
      </c>
      <c r="C9" s="2" t="s">
        <v>40</v>
      </c>
      <c r="D9" s="15" t="n">
        <v>48.16</v>
      </c>
      <c r="E9" s="7" t="str">
        <f aca="false">IF(INT(ROUND(D9*100,0)/6000)&gt;0,INT(ROUND(D9*100,0)/6000)&amp;":"&amp;RIGHT("0"&amp;INT(MOD(ROUND(D9*100,0),6000)/100),2),INT(MOD(ROUND(D9*100,0),6000)/100))&amp;"."&amp;RIGHT("0"&amp;MOD(ROUND(D9*100,0),100),2)</f>
        <v>48.16</v>
      </c>
    </row>
    <row r="10" customFormat="false" ht="15" hidden="false" customHeight="false" outlineLevel="0" collapsed="false">
      <c r="A10" s="2" t="s">
        <v>3</v>
      </c>
      <c r="B10" s="2" t="s">
        <v>5</v>
      </c>
      <c r="C10" s="2" t="s">
        <v>41</v>
      </c>
      <c r="D10" s="15" t="n">
        <v>105.12</v>
      </c>
      <c r="E10" s="7" t="str">
        <f aca="false">IF(INT(ROUND(D10*100,0)/6000)&gt;0,INT(ROUND(D10*100,0)/6000)&amp;":"&amp;RIGHT("0"&amp;INT(MOD(ROUND(D10*100,0),6000)/100),2),INT(MOD(ROUND(D10*100,0),6000)/100))&amp;"."&amp;RIGHT("0"&amp;MOD(ROUND(D10*100,0),100),2)</f>
        <v>1:45.12</v>
      </c>
    </row>
    <row r="11" customFormat="false" ht="15" hidden="false" customHeight="false" outlineLevel="0" collapsed="false">
      <c r="A11" s="2" t="s">
        <v>3</v>
      </c>
      <c r="B11" s="2" t="s">
        <v>5</v>
      </c>
      <c r="C11" s="2" t="s">
        <v>42</v>
      </c>
      <c r="D11" s="15" t="n">
        <v>24.95</v>
      </c>
      <c r="E11" s="7" t="str">
        <f aca="false">IF(INT(ROUND(D11*100,0)/6000)&gt;0,INT(ROUND(D11*100,0)/6000)&amp;":"&amp;RIGHT("0"&amp;INT(MOD(ROUND(D11*100,0),6000)/100),2),INT(MOD(ROUND(D11*100,0),6000)/100))&amp;"."&amp;RIGHT("0"&amp;MOD(ROUND(D11*100,0),100),2)</f>
        <v>24.95</v>
      </c>
    </row>
    <row r="12" customFormat="false" ht="15" hidden="false" customHeight="false" outlineLevel="0" collapsed="false">
      <c r="A12" s="2" t="s">
        <v>3</v>
      </c>
      <c r="B12" s="2" t="s">
        <v>5</v>
      </c>
      <c r="C12" s="2" t="s">
        <v>43</v>
      </c>
      <c r="D12" s="15" t="n">
        <v>55.28</v>
      </c>
      <c r="E12" s="7" t="str">
        <f aca="false">IF(INT(ROUND(D12*100,0)/6000)&gt;0,INT(ROUND(D12*100,0)/6000)&amp;":"&amp;RIGHT("0"&amp;INT(MOD(ROUND(D12*100,0),6000)/100),2),INT(MOD(ROUND(D12*100,0),6000)/100))&amp;"."&amp;RIGHT("0"&amp;MOD(ROUND(D12*100,0),100),2)</f>
        <v>55.28</v>
      </c>
    </row>
    <row r="13" customFormat="false" ht="15" hidden="false" customHeight="false" outlineLevel="0" collapsed="false">
      <c r="A13" s="2" t="s">
        <v>3</v>
      </c>
      <c r="B13" s="2" t="s">
        <v>5</v>
      </c>
      <c r="C13" s="2" t="s">
        <v>44</v>
      </c>
      <c r="D13" s="15" t="n">
        <v>119.52</v>
      </c>
      <c r="E13" s="7" t="str">
        <f aca="false">IF(INT(ROUND(D13*100,0)/6000)&gt;0,INT(ROUND(D13*100,0)/6000)&amp;":"&amp;RIGHT("0"&amp;INT(MOD(ROUND(D13*100,0),6000)/100),2),INT(MOD(ROUND(D13*100,0),6000)/100))&amp;"."&amp;RIGHT("0"&amp;MOD(ROUND(D13*100,0),100),2)</f>
        <v>1:59.52</v>
      </c>
    </row>
    <row r="14" customFormat="false" ht="15" hidden="false" customHeight="false" outlineLevel="0" collapsed="false">
      <c r="A14" s="2" t="s">
        <v>3</v>
      </c>
      <c r="B14" s="2" t="s">
        <v>5</v>
      </c>
      <c r="C14" s="2" t="s">
        <v>45</v>
      </c>
      <c r="D14" s="15" t="n">
        <v>21.32</v>
      </c>
      <c r="E14" s="7" t="str">
        <f aca="false">IF(INT(ROUND(D14*100,0)/6000)&gt;0,INT(ROUND(D14*100,0)/6000)&amp;":"&amp;RIGHT("0"&amp;INT(MOD(ROUND(D14*100,0),6000)/100),2),INT(MOD(ROUND(D14*100,0),6000)/100))&amp;"."&amp;RIGHT("0"&amp;MOD(ROUND(D14*100,0),100),2)</f>
        <v>21.32</v>
      </c>
    </row>
    <row r="15" customFormat="false" ht="15" hidden="false" customHeight="false" outlineLevel="0" collapsed="false">
      <c r="A15" s="2" t="s">
        <v>3</v>
      </c>
      <c r="B15" s="2" t="s">
        <v>5</v>
      </c>
      <c r="C15" s="2" t="s">
        <v>46</v>
      </c>
      <c r="D15" s="15" t="n">
        <v>47.68</v>
      </c>
      <c r="E15" s="7" t="str">
        <f aca="false">IF(INT(ROUND(D15*100,0)/6000)&gt;0,INT(ROUND(D15*100,0)/6000)&amp;":"&amp;RIGHT("0"&amp;INT(MOD(ROUND(D15*100,0),6000)/100),2),INT(MOD(ROUND(D15*100,0),6000)/100))&amp;"."&amp;RIGHT("0"&amp;MOD(ROUND(D15*100,0),100),2)</f>
        <v>47.68</v>
      </c>
    </row>
    <row r="16" customFormat="false" ht="15" hidden="false" customHeight="false" outlineLevel="0" collapsed="false">
      <c r="A16" s="2" t="s">
        <v>3</v>
      </c>
      <c r="B16" s="2" t="s">
        <v>5</v>
      </c>
      <c r="C16" s="2" t="s">
        <v>47</v>
      </c>
      <c r="D16" s="15" t="n">
        <v>106.85</v>
      </c>
      <c r="E16" s="7" t="str">
        <f aca="false">IF(INT(ROUND(D16*100,0)/6000)&gt;0,INT(ROUND(D16*100,0)/6000)&amp;":"&amp;RIGHT("0"&amp;INT(MOD(ROUND(D16*100,0),6000)/100),2),INT(MOD(ROUND(D16*100,0),6000)/100))&amp;"."&amp;RIGHT("0"&amp;MOD(ROUND(D16*100,0),100),2)</f>
        <v>1:46.85</v>
      </c>
    </row>
    <row r="17" customFormat="false" ht="15" hidden="false" customHeight="false" outlineLevel="0" collapsed="false">
      <c r="A17" s="2" t="s">
        <v>3</v>
      </c>
      <c r="B17" s="2" t="s">
        <v>5</v>
      </c>
      <c r="C17" s="2" t="s">
        <v>48</v>
      </c>
      <c r="D17" s="15" t="n">
        <v>49.28</v>
      </c>
      <c r="E17" s="7" t="str">
        <f aca="false">IF(INT(ROUND(D17*100,0)/6000)&gt;0,INT(ROUND(D17*100,0)/6000)&amp;":"&amp;RIGHT("0"&amp;INT(MOD(ROUND(D17*100,0),6000)/100),2),INT(MOD(ROUND(D17*100,0),6000)/100))&amp;"."&amp;RIGHT("0"&amp;MOD(ROUND(D17*100,0),100),2)</f>
        <v>49.28</v>
      </c>
    </row>
    <row r="18" customFormat="false" ht="15" hidden="false" customHeight="false" outlineLevel="0" collapsed="false">
      <c r="A18" s="2" t="s">
        <v>3</v>
      </c>
      <c r="B18" s="2" t="s">
        <v>5</v>
      </c>
      <c r="C18" s="2" t="s">
        <v>31</v>
      </c>
      <c r="D18" s="15" t="n">
        <v>108.88</v>
      </c>
      <c r="E18" s="7" t="str">
        <f aca="false">IF(INT(ROUND(D18*100,0)/6000)&gt;0,INT(ROUND(D18*100,0)/6000)&amp;":"&amp;RIGHT("0"&amp;INT(MOD(ROUND(D18*100,0),6000)/100),2),INT(MOD(ROUND(D18*100,0),6000)/100))&amp;"."&amp;RIGHT("0"&amp;MOD(ROUND(D18*100,0),100),2)</f>
        <v>1:48.88</v>
      </c>
    </row>
    <row r="19" customFormat="false" ht="15" hidden="false" customHeight="false" outlineLevel="0" collapsed="false">
      <c r="A19" s="2" t="s">
        <v>3</v>
      </c>
      <c r="B19" s="2" t="s">
        <v>5</v>
      </c>
      <c r="C19" s="2" t="s">
        <v>49</v>
      </c>
      <c r="D19" s="15" t="n">
        <v>234.81</v>
      </c>
      <c r="E19" s="7" t="str">
        <f aca="false">IF(INT(ROUND(D19*100,0)/6000)&gt;0,INT(ROUND(D19*100,0)/6000)&amp;":"&amp;RIGHT("0"&amp;INT(MOD(ROUND(D19*100,0),6000)/100),2),INT(MOD(ROUND(D19*100,0),6000)/100))&amp;"."&amp;RIGHT("0"&amp;MOD(ROUND(D19*100,0),100),2)</f>
        <v>3:54.81</v>
      </c>
    </row>
    <row r="20" customFormat="false" ht="15" hidden="false" customHeight="false" outlineLevel="0" collapsed="false">
      <c r="A20" s="2" t="s">
        <v>3</v>
      </c>
      <c r="B20" s="2" t="s">
        <v>30</v>
      </c>
      <c r="C20" s="2" t="s">
        <v>34</v>
      </c>
      <c r="D20" s="15" t="n">
        <v>22.83</v>
      </c>
      <c r="E20" s="7" t="str">
        <f aca="false">IF(INT(ROUND(D20*100,0)/6000)&gt;0,INT(ROUND(D20*100,0)/6000)&amp;":"&amp;RIGHT("0"&amp;INT(MOD(ROUND(D20*100,0),6000)/100),2),INT(MOD(ROUND(D20*100,0),6000)/100))&amp;"."&amp;RIGHT("0"&amp;MOD(ROUND(D20*100,0),100),2)</f>
        <v>22.83</v>
      </c>
    </row>
    <row r="21" customFormat="false" ht="15" hidden="false" customHeight="false" outlineLevel="0" collapsed="false">
      <c r="A21" s="2" t="s">
        <v>3</v>
      </c>
      <c r="B21" s="2" t="s">
        <v>30</v>
      </c>
      <c r="C21" s="2" t="s">
        <v>7</v>
      </c>
      <c r="D21" s="15" t="n">
        <v>49.93</v>
      </c>
      <c r="E21" s="7" t="str">
        <f aca="false">IF(INT(ROUND(D21*100,0)/6000)&gt;0,INT(ROUND(D21*100,0)/6000)&amp;":"&amp;RIGHT("0"&amp;INT(MOD(ROUND(D21*100,0),6000)/100),2),INT(MOD(ROUND(D21*100,0),6000)/100))&amp;"."&amp;RIGHT("0"&amp;MOD(ROUND(D21*100,0),100),2)</f>
        <v>49.93</v>
      </c>
    </row>
    <row r="22" customFormat="false" ht="15" hidden="false" customHeight="false" outlineLevel="0" collapsed="false">
      <c r="A22" s="2" t="s">
        <v>3</v>
      </c>
      <c r="B22" s="2" t="s">
        <v>30</v>
      </c>
      <c r="C22" s="2" t="s">
        <v>35</v>
      </c>
      <c r="D22" s="15" t="n">
        <v>109.36</v>
      </c>
      <c r="E22" s="7" t="str">
        <f aca="false">IF(INT(ROUND(D22*100,0)/6000)&gt;0,INT(ROUND(D22*100,0)/6000)&amp;":"&amp;RIGHT("0"&amp;INT(MOD(ROUND(D22*100,0),6000)/100),2),INT(MOD(ROUND(D22*100,0),6000)/100))&amp;"."&amp;RIGHT("0"&amp;MOD(ROUND(D22*100,0),100),2)</f>
        <v>1:49.36</v>
      </c>
    </row>
    <row r="23" customFormat="false" ht="15" hidden="false" customHeight="false" outlineLevel="0" collapsed="false">
      <c r="A23" s="2" t="s">
        <v>3</v>
      </c>
      <c r="B23" s="2" t="s">
        <v>30</v>
      </c>
      <c r="C23" s="2" t="s">
        <v>36</v>
      </c>
      <c r="D23" s="15" t="n">
        <v>230.25</v>
      </c>
      <c r="E23" s="7" t="str">
        <f aca="false">IF(INT(ROUND(D23*100,0)/6000)&gt;0,INT(ROUND(D23*100,0)/6000)&amp;":"&amp;RIGHT("0"&amp;INT(MOD(ROUND(D23*100,0),6000)/100),2),INT(MOD(ROUND(D23*100,0),6000)/100))&amp;"."&amp;RIGHT("0"&amp;MOD(ROUND(D23*100,0),100),2)</f>
        <v>3:50.25</v>
      </c>
    </row>
    <row r="24" customFormat="false" ht="15" hidden="false" customHeight="false" outlineLevel="0" collapsed="false">
      <c r="A24" s="2" t="s">
        <v>3</v>
      </c>
      <c r="B24" s="2" t="s">
        <v>30</v>
      </c>
      <c r="C24" s="2" t="s">
        <v>37</v>
      </c>
      <c r="D24" s="15" t="n">
        <v>474</v>
      </c>
      <c r="E24" s="7" t="str">
        <f aca="false">IF(INT(ROUND(D24*100,0)/6000)&gt;0,INT(ROUND(D24*100,0)/6000)&amp;":"&amp;RIGHT("0"&amp;INT(MOD(ROUND(D24*100,0),6000)/100),2),INT(MOD(ROUND(D24*100,0),6000)/100))&amp;"."&amp;RIGHT("0"&amp;MOD(ROUND(D24*100,0),100),2)</f>
        <v>7:54.00</v>
      </c>
    </row>
    <row r="25" customFormat="false" ht="15" hidden="false" customHeight="false" outlineLevel="0" collapsed="false">
      <c r="A25" s="2" t="s">
        <v>3</v>
      </c>
      <c r="B25" s="2" t="s">
        <v>30</v>
      </c>
      <c r="C25" s="2" t="s">
        <v>38</v>
      </c>
      <c r="D25" s="15" t="n">
        <v>908.24</v>
      </c>
      <c r="E25" s="7" t="str">
        <f aca="false">IF(INT(ROUND(D25*100,0)/6000)&gt;0,INT(ROUND(D25*100,0)/6000)&amp;":"&amp;RIGHT("0"&amp;INT(MOD(ROUND(D25*100,0),6000)/100),2),INT(MOD(ROUND(D25*100,0),6000)/100))&amp;"."&amp;RIGHT("0"&amp;MOD(ROUND(D25*100,0),100),2)</f>
        <v>15:08.24</v>
      </c>
    </row>
    <row r="26" customFormat="false" ht="15" hidden="false" customHeight="false" outlineLevel="0" collapsed="false">
      <c r="A26" s="2" t="s">
        <v>3</v>
      </c>
      <c r="B26" s="2" t="s">
        <v>30</v>
      </c>
      <c r="C26" s="2" t="s">
        <v>39</v>
      </c>
      <c r="D26" s="15" t="n">
        <v>25.23</v>
      </c>
      <c r="E26" s="7" t="str">
        <f aca="false">IF(INT(ROUND(D26*100,0)/6000)&gt;0,INT(ROUND(D26*100,0)/6000)&amp;":"&amp;RIGHT("0"&amp;INT(MOD(ROUND(D26*100,0),6000)/100),2),INT(MOD(ROUND(D26*100,0),6000)/100))&amp;"."&amp;RIGHT("0"&amp;MOD(ROUND(D26*100,0),100),2)</f>
        <v>25.23</v>
      </c>
    </row>
    <row r="27" customFormat="false" ht="15" hidden="false" customHeight="false" outlineLevel="0" collapsed="false">
      <c r="A27" s="2" t="s">
        <v>3</v>
      </c>
      <c r="B27" s="2" t="s">
        <v>30</v>
      </c>
      <c r="C27" s="2" t="s">
        <v>40</v>
      </c>
      <c r="D27" s="15" t="n">
        <v>54.02</v>
      </c>
      <c r="E27" s="7" t="str">
        <f aca="false">IF(INT(ROUND(D27*100,0)/6000)&gt;0,INT(ROUND(D27*100,0)/6000)&amp;":"&amp;RIGHT("0"&amp;INT(MOD(ROUND(D27*100,0),6000)/100),2),INT(MOD(ROUND(D27*100,0),6000)/100))&amp;"."&amp;RIGHT("0"&amp;MOD(ROUND(D27*100,0),100),2)</f>
        <v>54.02</v>
      </c>
    </row>
    <row r="28" customFormat="false" ht="15" hidden="false" customHeight="false" outlineLevel="0" collapsed="false">
      <c r="A28" s="2" t="s">
        <v>3</v>
      </c>
      <c r="B28" s="2" t="s">
        <v>30</v>
      </c>
      <c r="C28" s="2" t="s">
        <v>41</v>
      </c>
      <c r="D28" s="15" t="n">
        <v>117.33</v>
      </c>
      <c r="E28" s="7" t="str">
        <f aca="false">IF(INT(ROUND(D28*100,0)/6000)&gt;0,INT(ROUND(D28*100,0)/6000)&amp;":"&amp;RIGHT("0"&amp;INT(MOD(ROUND(D28*100,0),6000)/100),2),INT(MOD(ROUND(D28*100,0),6000)/100))&amp;"."&amp;RIGHT("0"&amp;MOD(ROUND(D28*100,0),100),2)</f>
        <v>1:57.33</v>
      </c>
    </row>
    <row r="29" customFormat="false" ht="15" hidden="false" customHeight="false" outlineLevel="0" collapsed="false">
      <c r="A29" s="2" t="s">
        <v>3</v>
      </c>
      <c r="B29" s="2" t="s">
        <v>30</v>
      </c>
      <c r="C29" s="2" t="s">
        <v>42</v>
      </c>
      <c r="D29" s="15" t="n">
        <v>28.37</v>
      </c>
      <c r="E29" s="7" t="str">
        <f aca="false">IF(INT(ROUND(D29*100,0)/6000)&gt;0,INT(ROUND(D29*100,0)/6000)&amp;":"&amp;RIGHT("0"&amp;INT(MOD(ROUND(D29*100,0),6000)/100),2),INT(MOD(ROUND(D29*100,0),6000)/100))&amp;"."&amp;RIGHT("0"&amp;MOD(ROUND(D29*100,0),100),2)</f>
        <v>28.37</v>
      </c>
    </row>
    <row r="30" customFormat="false" ht="15" hidden="false" customHeight="false" outlineLevel="0" collapsed="false">
      <c r="A30" s="2" t="s">
        <v>3</v>
      </c>
      <c r="B30" s="2" t="s">
        <v>30</v>
      </c>
      <c r="C30" s="2" t="s">
        <v>43</v>
      </c>
      <c r="D30" s="15" t="n">
        <v>62.36</v>
      </c>
      <c r="E30" s="7" t="str">
        <f aca="false">IF(INT(ROUND(D30*100,0)/6000)&gt;0,INT(ROUND(D30*100,0)/6000)&amp;":"&amp;RIGHT("0"&amp;INT(MOD(ROUND(D30*100,0),6000)/100),2),INT(MOD(ROUND(D30*100,0),6000)/100))&amp;"."&amp;RIGHT("0"&amp;MOD(ROUND(D30*100,0),100),2)</f>
        <v>1:02.36</v>
      </c>
    </row>
    <row r="31" customFormat="false" ht="15" hidden="false" customHeight="false" outlineLevel="0" collapsed="false">
      <c r="A31" s="2" t="s">
        <v>3</v>
      </c>
      <c r="B31" s="2" t="s">
        <v>30</v>
      </c>
      <c r="C31" s="2" t="s">
        <v>44</v>
      </c>
      <c r="D31" s="15" t="n">
        <v>132.5</v>
      </c>
      <c r="E31" s="7" t="str">
        <f aca="false">IF(INT(ROUND(D31*100,0)/6000)&gt;0,INT(ROUND(D31*100,0)/6000)&amp;":"&amp;RIGHT("0"&amp;INT(MOD(ROUND(D31*100,0),6000)/100),2),INT(MOD(ROUND(D31*100,0),6000)/100))&amp;"."&amp;RIGHT("0"&amp;MOD(ROUND(D31*100,0),100),2)</f>
        <v>2:12.50</v>
      </c>
    </row>
    <row r="32" customFormat="false" ht="15" hidden="false" customHeight="false" outlineLevel="0" collapsed="false">
      <c r="A32" s="2" t="s">
        <v>3</v>
      </c>
      <c r="B32" s="2" t="s">
        <v>30</v>
      </c>
      <c r="C32" s="2" t="s">
        <v>45</v>
      </c>
      <c r="D32" s="15" t="n">
        <v>23.72</v>
      </c>
      <c r="E32" s="7" t="str">
        <f aca="false">IF(INT(ROUND(D32*100,0)/6000)&gt;0,INT(ROUND(D32*100,0)/6000)&amp;":"&amp;RIGHT("0"&amp;INT(MOD(ROUND(D32*100,0),6000)/100),2),INT(MOD(ROUND(D32*100,0),6000)/100))&amp;"."&amp;RIGHT("0"&amp;MOD(ROUND(D32*100,0),100),2)</f>
        <v>23.72</v>
      </c>
    </row>
    <row r="33" customFormat="false" ht="15" hidden="false" customHeight="false" outlineLevel="0" collapsed="false">
      <c r="A33" s="2" t="s">
        <v>3</v>
      </c>
      <c r="B33" s="2" t="s">
        <v>30</v>
      </c>
      <c r="C33" s="2" t="s">
        <v>46</v>
      </c>
      <c r="D33" s="15" t="n">
        <v>52.71</v>
      </c>
      <c r="E33" s="7" t="str">
        <f aca="false">IF(INT(ROUND(D33*100,0)/6000)&gt;0,INT(ROUND(D33*100,0)/6000)&amp;":"&amp;RIGHT("0"&amp;INT(MOD(ROUND(D33*100,0),6000)/100),2),INT(MOD(ROUND(D33*100,0),6000)/100))&amp;"."&amp;RIGHT("0"&amp;MOD(ROUND(D33*100,0),100),2)</f>
        <v>52.71</v>
      </c>
    </row>
    <row r="34" customFormat="false" ht="15" hidden="false" customHeight="false" outlineLevel="0" collapsed="false">
      <c r="A34" s="2" t="s">
        <v>3</v>
      </c>
      <c r="B34" s="2" t="s">
        <v>30</v>
      </c>
      <c r="C34" s="2" t="s">
        <v>47</v>
      </c>
      <c r="D34" s="15" t="n">
        <v>119.32</v>
      </c>
      <c r="E34" s="7" t="str">
        <f aca="false">IF(INT(ROUND(D34*100,0)/6000)&gt;0,INT(ROUND(D34*100,0)/6000)&amp;":"&amp;RIGHT("0"&amp;INT(MOD(ROUND(D34*100,0),6000)/100),2),INT(MOD(ROUND(D34*100,0),6000)/100))&amp;"."&amp;RIGHT("0"&amp;MOD(ROUND(D34*100,0),100),2)</f>
        <v>1:59.32</v>
      </c>
    </row>
    <row r="35" customFormat="false" ht="15" hidden="false" customHeight="false" outlineLevel="0" collapsed="false">
      <c r="A35" s="2" t="s">
        <v>3</v>
      </c>
      <c r="B35" s="2" t="s">
        <v>30</v>
      </c>
      <c r="C35" s="2" t="s">
        <v>48</v>
      </c>
      <c r="D35" s="15" t="n">
        <v>55.11</v>
      </c>
      <c r="E35" s="7" t="str">
        <f aca="false">IF(INT(ROUND(D35*100,0)/6000)&gt;0,INT(ROUND(D35*100,0)/6000)&amp;":"&amp;RIGHT("0"&amp;INT(MOD(ROUND(D35*100,0),6000)/100),2),INT(MOD(ROUND(D35*100,0),6000)/100))&amp;"."&amp;RIGHT("0"&amp;MOD(ROUND(D35*100,0),100),2)</f>
        <v>55.11</v>
      </c>
    </row>
    <row r="36" customFormat="false" ht="15" hidden="false" customHeight="false" outlineLevel="0" collapsed="false">
      <c r="A36" s="2" t="s">
        <v>3</v>
      </c>
      <c r="B36" s="2" t="s">
        <v>30</v>
      </c>
      <c r="C36" s="2" t="s">
        <v>31</v>
      </c>
      <c r="D36" s="15" t="n">
        <v>121.63</v>
      </c>
      <c r="E36" s="7" t="str">
        <f aca="false">IF(INT(ROUND(D36*100,0)/6000)&gt;0,INT(ROUND(D36*100,0)/6000)&amp;":"&amp;RIGHT("0"&amp;INT(MOD(ROUND(D36*100,0),6000)/100),2),INT(MOD(ROUND(D36*100,0),6000)/100))&amp;"."&amp;RIGHT("0"&amp;MOD(ROUND(D36*100,0),100),2)</f>
        <v>2:01.63</v>
      </c>
    </row>
    <row r="37" customFormat="false" ht="15" hidden="false" customHeight="false" outlineLevel="0" collapsed="false">
      <c r="A37" s="2" t="s">
        <v>3</v>
      </c>
      <c r="B37" s="2" t="s">
        <v>30</v>
      </c>
      <c r="C37" s="2" t="s">
        <v>49</v>
      </c>
      <c r="D37" s="15" t="n">
        <v>255.48</v>
      </c>
      <c r="E37" s="7" t="str">
        <f aca="false">IF(INT(ROUND(D37*100,0)/6000)&gt;0,INT(ROUND(D37*100,0)/6000)&amp;":"&amp;RIGHT("0"&amp;INT(MOD(ROUND(D37*100,0),6000)/100),2),INT(MOD(ROUND(D37*100,0),6000)/100))&amp;"."&amp;RIGHT("0"&amp;MOD(ROUND(D37*100,0),100),2)</f>
        <v>4:15.48</v>
      </c>
    </row>
    <row r="38" customFormat="false" ht="15" hidden="false" customHeight="false" outlineLevel="0" collapsed="false">
      <c r="A38" s="2" t="s">
        <v>29</v>
      </c>
      <c r="B38" s="2" t="s">
        <v>5</v>
      </c>
      <c r="C38" s="2" t="s">
        <v>34</v>
      </c>
      <c r="D38" s="15" t="n">
        <v>20.91</v>
      </c>
      <c r="E38" s="7" t="str">
        <f aca="false">IF(INT(ROUND(D38*100,0)/6000)&gt;0,INT(ROUND(D38*100,0)/6000)&amp;":"&amp;RIGHT("0"&amp;INT(MOD(ROUND(D38*100,0),6000)/100),2),INT(MOD(ROUND(D38*100,0),6000)/100))&amp;"."&amp;RIGHT("0"&amp;MOD(ROUND(D38*100,0),100),2)</f>
        <v>20.91</v>
      </c>
    </row>
    <row r="39" customFormat="false" ht="15" hidden="false" customHeight="false" outlineLevel="0" collapsed="false">
      <c r="A39" s="2" t="s">
        <v>29</v>
      </c>
      <c r="B39" s="2" t="s">
        <v>5</v>
      </c>
      <c r="C39" s="2" t="s">
        <v>7</v>
      </c>
      <c r="D39" s="15" t="n">
        <v>46.4</v>
      </c>
      <c r="E39" s="7" t="str">
        <f aca="false">IF(INT(ROUND(D39*100,0)/6000)&gt;0,INT(ROUND(D39*100,0)/6000)&amp;":"&amp;RIGHT("0"&amp;INT(MOD(ROUND(D39*100,0),6000)/100),2),INT(MOD(ROUND(D39*100,0),6000)/100))&amp;"."&amp;RIGHT("0"&amp;MOD(ROUND(D39*100,0),100),2)</f>
        <v>46.40</v>
      </c>
    </row>
    <row r="40" customFormat="false" ht="15" hidden="false" customHeight="false" outlineLevel="0" collapsed="false">
      <c r="A40" s="2" t="s">
        <v>29</v>
      </c>
      <c r="B40" s="2" t="s">
        <v>5</v>
      </c>
      <c r="C40" s="2" t="s">
        <v>35</v>
      </c>
      <c r="D40" s="15" t="n">
        <v>102</v>
      </c>
      <c r="E40" s="7" t="str">
        <f aca="false">IF(INT(ROUND(D40*100,0)/6000)&gt;0,INT(ROUND(D40*100,0)/6000)&amp;":"&amp;RIGHT("0"&amp;INT(MOD(ROUND(D40*100,0),6000)/100),2),INT(MOD(ROUND(D40*100,0),6000)/100))&amp;"."&amp;RIGHT("0"&amp;MOD(ROUND(D40*100,0),100),2)</f>
        <v>1:42.00</v>
      </c>
    </row>
    <row r="41" customFormat="false" ht="15" hidden="false" customHeight="false" outlineLevel="0" collapsed="false">
      <c r="A41" s="2" t="s">
        <v>29</v>
      </c>
      <c r="B41" s="2" t="s">
        <v>5</v>
      </c>
      <c r="C41" s="2" t="s">
        <v>36</v>
      </c>
      <c r="D41" s="15" t="n">
        <v>219.96</v>
      </c>
      <c r="E41" s="7" t="str">
        <f aca="false">IF(INT(ROUND(D41*100,0)/6000)&gt;0,INT(ROUND(D41*100,0)/6000)&amp;":"&amp;RIGHT("0"&amp;INT(MOD(ROUND(D41*100,0),6000)/100),2),INT(MOD(ROUND(D41*100,0),6000)/100))&amp;"."&amp;RIGHT("0"&amp;MOD(ROUND(D41*100,0),100),2)</f>
        <v>3:39.96</v>
      </c>
    </row>
    <row r="42" customFormat="false" ht="15" hidden="false" customHeight="false" outlineLevel="0" collapsed="false">
      <c r="A42" s="2" t="s">
        <v>29</v>
      </c>
      <c r="B42" s="2" t="s">
        <v>5</v>
      </c>
      <c r="C42" s="2" t="s">
        <v>37</v>
      </c>
      <c r="D42" s="15" t="n">
        <v>452.12</v>
      </c>
      <c r="E42" s="7" t="str">
        <f aca="false">IF(INT(ROUND(D42*100,0)/6000)&gt;0,INT(ROUND(D42*100,0)/6000)&amp;":"&amp;RIGHT("0"&amp;INT(MOD(ROUND(D42*100,0),6000)/100),2),INT(MOD(ROUND(D42*100,0),6000)/100))&amp;"."&amp;RIGHT("0"&amp;MOD(ROUND(D42*100,0),100),2)</f>
        <v>7:32.12</v>
      </c>
    </row>
    <row r="43" customFormat="false" ht="15" hidden="false" customHeight="false" outlineLevel="0" collapsed="false">
      <c r="A43" s="2" t="s">
        <v>29</v>
      </c>
      <c r="B43" s="2" t="s">
        <v>5</v>
      </c>
      <c r="C43" s="2" t="s">
        <v>38</v>
      </c>
      <c r="D43" s="15" t="n">
        <v>870.67</v>
      </c>
      <c r="E43" s="7" t="str">
        <f aca="false">IF(INT(ROUND(D43*100,0)/6000)&gt;0,INT(ROUND(D43*100,0)/6000)&amp;":"&amp;RIGHT("0"&amp;INT(MOD(ROUND(D43*100,0),6000)/100),2),INT(MOD(ROUND(D43*100,0),6000)/100))&amp;"."&amp;RIGHT("0"&amp;MOD(ROUND(D43*100,0),100),2)</f>
        <v>14:30.67</v>
      </c>
    </row>
    <row r="44" customFormat="false" ht="15" hidden="false" customHeight="false" outlineLevel="0" collapsed="false">
      <c r="A44" s="2" t="s">
        <v>29</v>
      </c>
      <c r="B44" s="2" t="s">
        <v>5</v>
      </c>
      <c r="C44" s="2" t="s">
        <v>39</v>
      </c>
      <c r="D44" s="15" t="n">
        <v>23.55</v>
      </c>
      <c r="E44" s="7" t="str">
        <f aca="false">IF(INT(ROUND(D44*100,0)/6000)&gt;0,INT(ROUND(D44*100,0)/6000)&amp;":"&amp;RIGHT("0"&amp;INT(MOD(ROUND(D44*100,0),6000)/100),2),INT(MOD(ROUND(D44*100,0),6000)/100))&amp;"."&amp;RIGHT("0"&amp;MOD(ROUND(D44*100,0),100),2)</f>
        <v>23.55</v>
      </c>
    </row>
    <row r="45" customFormat="false" ht="15" hidden="false" customHeight="false" outlineLevel="0" collapsed="false">
      <c r="A45" s="2" t="s">
        <v>29</v>
      </c>
      <c r="B45" s="2" t="s">
        <v>5</v>
      </c>
      <c r="C45" s="2" t="s">
        <v>40</v>
      </c>
      <c r="D45" s="15" t="n">
        <v>51.6</v>
      </c>
      <c r="E45" s="7" t="str">
        <f aca="false">IF(INT(ROUND(D45*100,0)/6000)&gt;0,INT(ROUND(D45*100,0)/6000)&amp;":"&amp;RIGHT("0"&amp;INT(MOD(ROUND(D45*100,0),6000)/100),2),INT(MOD(ROUND(D45*100,0),6000)/100))&amp;"."&amp;RIGHT("0"&amp;MOD(ROUND(D45*100,0),100),2)</f>
        <v>51.60</v>
      </c>
    </row>
    <row r="46" customFormat="false" ht="15" hidden="false" customHeight="false" outlineLevel="0" collapsed="false">
      <c r="A46" s="2" t="s">
        <v>29</v>
      </c>
      <c r="B46" s="2" t="s">
        <v>5</v>
      </c>
      <c r="C46" s="2" t="s">
        <v>41</v>
      </c>
      <c r="D46" s="15" t="n">
        <v>111.92</v>
      </c>
      <c r="E46" s="7" t="str">
        <f aca="false">IF(INT(ROUND(D46*100,0)/6000)&gt;0,INT(ROUND(D46*100,0)/6000)&amp;":"&amp;RIGHT("0"&amp;INT(MOD(ROUND(D46*100,0),6000)/100),2),INT(MOD(ROUND(D46*100,0),6000)/100))&amp;"."&amp;RIGHT("0"&amp;MOD(ROUND(D46*100,0),100),2)</f>
        <v>1:51.92</v>
      </c>
    </row>
    <row r="47" customFormat="false" ht="15" hidden="false" customHeight="false" outlineLevel="0" collapsed="false">
      <c r="A47" s="2" t="s">
        <v>29</v>
      </c>
      <c r="B47" s="2" t="s">
        <v>5</v>
      </c>
      <c r="C47" s="2" t="s">
        <v>42</v>
      </c>
      <c r="D47" s="15" t="n">
        <v>25.95</v>
      </c>
      <c r="E47" s="7" t="str">
        <f aca="false">IF(INT(ROUND(D47*100,0)/6000)&gt;0,INT(ROUND(D47*100,0)/6000)&amp;":"&amp;RIGHT("0"&amp;INT(MOD(ROUND(D47*100,0),6000)/100),2),INT(MOD(ROUND(D47*100,0),6000)/100))&amp;"."&amp;RIGHT("0"&amp;MOD(ROUND(D47*100,0),100),2)</f>
        <v>25.95</v>
      </c>
    </row>
    <row r="48" customFormat="false" ht="15" hidden="false" customHeight="false" outlineLevel="0" collapsed="false">
      <c r="A48" s="2" t="s">
        <v>29</v>
      </c>
      <c r="B48" s="2" t="s">
        <v>5</v>
      </c>
      <c r="C48" s="2" t="s">
        <v>43</v>
      </c>
      <c r="D48" s="15" t="n">
        <v>56.88</v>
      </c>
      <c r="E48" s="7" t="str">
        <f aca="false">IF(INT(ROUND(D48*100,0)/6000)&gt;0,INT(ROUND(D48*100,0)/6000)&amp;":"&amp;RIGHT("0"&amp;INT(MOD(ROUND(D48*100,0),6000)/100),2),INT(MOD(ROUND(D48*100,0),6000)/100))&amp;"."&amp;RIGHT("0"&amp;MOD(ROUND(D48*100,0),100),2)</f>
        <v>56.88</v>
      </c>
    </row>
    <row r="49" customFormat="false" ht="15" hidden="false" customHeight="false" outlineLevel="0" collapsed="false">
      <c r="A49" s="2" t="s">
        <v>29</v>
      </c>
      <c r="B49" s="2" t="s">
        <v>5</v>
      </c>
      <c r="C49" s="2" t="s">
        <v>44</v>
      </c>
      <c r="D49" s="15" t="n">
        <v>125.48</v>
      </c>
      <c r="E49" s="7" t="str">
        <f aca="false">IF(INT(ROUND(D49*100,0)/6000)&gt;0,INT(ROUND(D49*100,0)/6000)&amp;":"&amp;RIGHT("0"&amp;INT(MOD(ROUND(D49*100,0),6000)/100),2),INT(MOD(ROUND(D49*100,0),6000)/100))&amp;"."&amp;RIGHT("0"&amp;MOD(ROUND(D49*100,0),100),2)</f>
        <v>2:05.48</v>
      </c>
    </row>
    <row r="50" customFormat="false" ht="15" hidden="false" customHeight="false" outlineLevel="0" collapsed="false">
      <c r="A50" s="2" t="s">
        <v>29</v>
      </c>
      <c r="B50" s="2" t="s">
        <v>5</v>
      </c>
      <c r="C50" s="2" t="s">
        <v>45</v>
      </c>
      <c r="D50" s="15" t="n">
        <v>22.27</v>
      </c>
      <c r="E50" s="7" t="str">
        <f aca="false">IF(INT(ROUND(D50*100,0)/6000)&gt;0,INT(ROUND(D50*100,0)/6000)&amp;":"&amp;RIGHT("0"&amp;INT(MOD(ROUND(D50*100,0),6000)/100),2),INT(MOD(ROUND(D50*100,0),6000)/100))&amp;"."&amp;RIGHT("0"&amp;MOD(ROUND(D50*100,0),100),2)</f>
        <v>22.27</v>
      </c>
    </row>
    <row r="51" customFormat="false" ht="15" hidden="false" customHeight="false" outlineLevel="0" collapsed="false">
      <c r="A51" s="2" t="s">
        <v>29</v>
      </c>
      <c r="B51" s="2" t="s">
        <v>5</v>
      </c>
      <c r="C51" s="2" t="s">
        <v>46</v>
      </c>
      <c r="D51" s="15" t="n">
        <v>49.45</v>
      </c>
      <c r="E51" s="7" t="str">
        <f aca="false">IF(INT(ROUND(D51*100,0)/6000)&gt;0,INT(ROUND(D51*100,0)/6000)&amp;":"&amp;RIGHT("0"&amp;INT(MOD(ROUND(D51*100,0),6000)/100),2),INT(MOD(ROUND(D51*100,0),6000)/100))&amp;"."&amp;RIGHT("0"&amp;MOD(ROUND(D51*100,0),100),2)</f>
        <v>49.45</v>
      </c>
    </row>
    <row r="52" customFormat="false" ht="15" hidden="false" customHeight="false" outlineLevel="0" collapsed="false">
      <c r="A52" s="2" t="s">
        <v>29</v>
      </c>
      <c r="B52" s="2" t="s">
        <v>5</v>
      </c>
      <c r="C52" s="2" t="s">
        <v>47</v>
      </c>
      <c r="D52" s="15" t="n">
        <v>110.34</v>
      </c>
      <c r="E52" s="7" t="str">
        <f aca="false">IF(INT(ROUND(D52*100,0)/6000)&gt;0,INT(ROUND(D52*100,0)/6000)&amp;":"&amp;RIGHT("0"&amp;INT(MOD(ROUND(D52*100,0),6000)/100),2),INT(MOD(ROUND(D52*100,0),6000)/100))&amp;"."&amp;RIGHT("0"&amp;MOD(ROUND(D52*100,0),100),2)</f>
        <v>1:50.34</v>
      </c>
    </row>
    <row r="53" customFormat="false" ht="15" hidden="false" customHeight="false" outlineLevel="0" collapsed="false">
      <c r="A53" s="2" t="s">
        <v>29</v>
      </c>
      <c r="B53" s="2" t="s">
        <v>5</v>
      </c>
      <c r="C53" s="2" t="s">
        <v>31</v>
      </c>
      <c r="D53" s="15" t="n">
        <v>112.69</v>
      </c>
      <c r="E53" s="7" t="str">
        <f aca="false">IF(INT(ROUND(D53*100,0)/6000)&gt;0,INT(ROUND(D53*100,0)/6000)&amp;":"&amp;RIGHT("0"&amp;INT(MOD(ROUND(D53*100,0),6000)/100),2),INT(MOD(ROUND(D53*100,0),6000)/100))&amp;"."&amp;RIGHT("0"&amp;MOD(ROUND(D53*100,0),100),2)</f>
        <v>1:52.69</v>
      </c>
    </row>
    <row r="54" customFormat="false" ht="15" hidden="false" customHeight="false" outlineLevel="0" collapsed="false">
      <c r="A54" s="2" t="s">
        <v>29</v>
      </c>
      <c r="B54" s="2" t="s">
        <v>5</v>
      </c>
      <c r="C54" s="2" t="s">
        <v>49</v>
      </c>
      <c r="D54" s="15" t="n">
        <v>242.5</v>
      </c>
      <c r="E54" s="7" t="str">
        <f aca="false">IF(INT(ROUND(D54*100,0)/6000)&gt;0,INT(ROUND(D54*100,0)/6000)&amp;":"&amp;RIGHT("0"&amp;INT(MOD(ROUND(D54*100,0),6000)/100),2),INT(MOD(ROUND(D54*100,0),6000)/100))&amp;"."&amp;RIGHT("0"&amp;MOD(ROUND(D54*100,0),100),2)</f>
        <v>4:02.50</v>
      </c>
    </row>
    <row r="55" customFormat="false" ht="15" hidden="false" customHeight="false" outlineLevel="0" collapsed="false">
      <c r="A55" s="2" t="s">
        <v>29</v>
      </c>
      <c r="B55" s="2" t="s">
        <v>30</v>
      </c>
      <c r="C55" s="2" t="s">
        <v>34</v>
      </c>
      <c r="D55" s="15" t="n">
        <v>23.61</v>
      </c>
      <c r="E55" s="7" t="str">
        <f aca="false">IF(INT(ROUND(D55*100,0)/6000)&gt;0,INT(ROUND(D55*100,0)/6000)&amp;":"&amp;RIGHT("0"&amp;INT(MOD(ROUND(D55*100,0),6000)/100),2),INT(MOD(ROUND(D55*100,0),6000)/100))&amp;"."&amp;RIGHT("0"&amp;MOD(ROUND(D55*100,0),100),2)</f>
        <v>23.61</v>
      </c>
    </row>
    <row r="56" customFormat="false" ht="15" hidden="false" customHeight="false" outlineLevel="0" collapsed="false">
      <c r="A56" s="2" t="s">
        <v>29</v>
      </c>
      <c r="B56" s="2" t="s">
        <v>30</v>
      </c>
      <c r="C56" s="2" t="s">
        <v>7</v>
      </c>
      <c r="D56" s="15" t="n">
        <v>51.71</v>
      </c>
      <c r="E56" s="7" t="str">
        <f aca="false">IF(INT(ROUND(D56*100,0)/6000)&gt;0,INT(ROUND(D56*100,0)/6000)&amp;":"&amp;RIGHT("0"&amp;INT(MOD(ROUND(D56*100,0),6000)/100),2),INT(MOD(ROUND(D56*100,0),6000)/100))&amp;"."&amp;RIGHT("0"&amp;MOD(ROUND(D56*100,0),100),2)</f>
        <v>51.71</v>
      </c>
    </row>
    <row r="57" customFormat="false" ht="15" hidden="false" customHeight="false" outlineLevel="0" collapsed="false">
      <c r="A57" s="2" t="s">
        <v>29</v>
      </c>
      <c r="B57" s="2" t="s">
        <v>30</v>
      </c>
      <c r="C57" s="2" t="s">
        <v>35</v>
      </c>
      <c r="D57" s="15" t="n">
        <v>112.23</v>
      </c>
      <c r="E57" s="7" t="str">
        <f aca="false">IF(INT(ROUND(D57*100,0)/6000)&gt;0,INT(ROUND(D57*100,0)/6000)&amp;":"&amp;RIGHT("0"&amp;INT(MOD(ROUND(D57*100,0),6000)/100),2),INT(MOD(ROUND(D57*100,0),6000)/100))&amp;"."&amp;RIGHT("0"&amp;MOD(ROUND(D57*100,0),100),2)</f>
        <v>1:52.23</v>
      </c>
    </row>
    <row r="58" customFormat="false" ht="15" hidden="false" customHeight="false" outlineLevel="0" collapsed="false">
      <c r="A58" s="2" t="s">
        <v>29</v>
      </c>
      <c r="B58" s="2" t="s">
        <v>30</v>
      </c>
      <c r="C58" s="2" t="s">
        <v>36</v>
      </c>
      <c r="D58" s="15" t="n">
        <v>234.18</v>
      </c>
      <c r="E58" s="7" t="str">
        <f aca="false">IF(INT(ROUND(D58*100,0)/6000)&gt;0,INT(ROUND(D58*100,0)/6000)&amp;":"&amp;RIGHT("0"&amp;INT(MOD(ROUND(D58*100,0),6000)/100),2),INT(MOD(ROUND(D58*100,0),6000)/100))&amp;"."&amp;RIGHT("0"&amp;MOD(ROUND(D58*100,0),100),2)</f>
        <v>3:54.18</v>
      </c>
    </row>
    <row r="59" customFormat="false" ht="15" hidden="false" customHeight="false" outlineLevel="0" collapsed="false">
      <c r="A59" s="2" t="s">
        <v>29</v>
      </c>
      <c r="B59" s="2" t="s">
        <v>30</v>
      </c>
      <c r="C59" s="2" t="s">
        <v>37</v>
      </c>
      <c r="D59" s="15" t="n">
        <v>484.12</v>
      </c>
      <c r="E59" s="7" t="str">
        <f aca="false">IF(INT(ROUND(D59*100,0)/6000)&gt;0,INT(ROUND(D59*100,0)/6000)&amp;":"&amp;RIGHT("0"&amp;INT(MOD(ROUND(D59*100,0),6000)/100),2),INT(MOD(ROUND(D59*100,0),6000)/100))&amp;"."&amp;RIGHT("0"&amp;MOD(ROUND(D59*100,0),100),2)</f>
        <v>8:04.12</v>
      </c>
    </row>
    <row r="60" customFormat="false" ht="15" hidden="false" customHeight="false" outlineLevel="0" collapsed="false">
      <c r="A60" s="2" t="s">
        <v>29</v>
      </c>
      <c r="B60" s="2" t="s">
        <v>30</v>
      </c>
      <c r="C60" s="2" t="s">
        <v>38</v>
      </c>
      <c r="D60" s="15" t="n">
        <v>920.48</v>
      </c>
      <c r="E60" s="7" t="str">
        <f aca="false">IF(INT(ROUND(D60*100,0)/6000)&gt;0,INT(ROUND(D60*100,0)/6000)&amp;":"&amp;RIGHT("0"&amp;INT(MOD(ROUND(D60*100,0),6000)/100),2),INT(MOD(ROUND(D60*100,0),6000)/100))&amp;"."&amp;RIGHT("0"&amp;MOD(ROUND(D60*100,0),100),2)</f>
        <v>15:20.48</v>
      </c>
    </row>
    <row r="61" customFormat="false" ht="15" hidden="false" customHeight="false" outlineLevel="0" collapsed="false">
      <c r="A61" s="2" t="s">
        <v>29</v>
      </c>
      <c r="B61" s="2" t="s">
        <v>30</v>
      </c>
      <c r="C61" s="2" t="s">
        <v>39</v>
      </c>
      <c r="D61" s="15" t="n">
        <v>26.86</v>
      </c>
      <c r="E61" s="7" t="str">
        <f aca="false">IF(INT(ROUND(D61*100,0)/6000)&gt;0,INT(ROUND(D61*100,0)/6000)&amp;":"&amp;RIGHT("0"&amp;INT(MOD(ROUND(D61*100,0),6000)/100),2),INT(MOD(ROUND(D61*100,0),6000)/100))&amp;"."&amp;RIGHT("0"&amp;MOD(ROUND(D61*100,0),100),2)</f>
        <v>26.86</v>
      </c>
    </row>
    <row r="62" customFormat="false" ht="15" hidden="false" customHeight="false" outlineLevel="0" collapsed="false">
      <c r="A62" s="2" t="s">
        <v>29</v>
      </c>
      <c r="B62" s="2" t="s">
        <v>30</v>
      </c>
      <c r="C62" s="2" t="s">
        <v>40</v>
      </c>
      <c r="D62" s="15" t="n">
        <v>57.13</v>
      </c>
      <c r="E62" s="7" t="str">
        <f aca="false">IF(INT(ROUND(D62*100,0)/6000)&gt;0,INT(ROUND(D62*100,0)/6000)&amp;":"&amp;RIGHT("0"&amp;INT(MOD(ROUND(D62*100,0),6000)/100),2),INT(MOD(ROUND(D62*100,0),6000)/100))&amp;"."&amp;RIGHT("0"&amp;MOD(ROUND(D62*100,0),100),2)</f>
        <v>57.13</v>
      </c>
    </row>
    <row r="63" customFormat="false" ht="15" hidden="false" customHeight="false" outlineLevel="0" collapsed="false">
      <c r="A63" s="2" t="s">
        <v>29</v>
      </c>
      <c r="B63" s="2" t="s">
        <v>30</v>
      </c>
      <c r="C63" s="2" t="s">
        <v>41</v>
      </c>
      <c r="D63" s="15" t="n">
        <v>123.14</v>
      </c>
      <c r="E63" s="7" t="str">
        <f aca="false">IF(INT(ROUND(D63*100,0)/6000)&gt;0,INT(ROUND(D63*100,0)/6000)&amp;":"&amp;RIGHT("0"&amp;INT(MOD(ROUND(D63*100,0),6000)/100),2),INT(MOD(ROUND(D63*100,0),6000)/100))&amp;"."&amp;RIGHT("0"&amp;MOD(ROUND(D63*100,0),100),2)</f>
        <v>2:03.14</v>
      </c>
    </row>
    <row r="64" customFormat="false" ht="15" hidden="false" customHeight="false" outlineLevel="0" collapsed="false">
      <c r="A64" s="2" t="s">
        <v>29</v>
      </c>
      <c r="B64" s="2" t="s">
        <v>30</v>
      </c>
      <c r="C64" s="2" t="s">
        <v>42</v>
      </c>
      <c r="D64" s="15" t="n">
        <v>29.16</v>
      </c>
      <c r="E64" s="7" t="str">
        <f aca="false">IF(INT(ROUND(D64*100,0)/6000)&gt;0,INT(ROUND(D64*100,0)/6000)&amp;":"&amp;RIGHT("0"&amp;INT(MOD(ROUND(D64*100,0),6000)/100),2),INT(MOD(ROUND(D64*100,0),6000)/100))&amp;"."&amp;RIGHT("0"&amp;MOD(ROUND(D64*100,0),100),2)</f>
        <v>29.16</v>
      </c>
    </row>
    <row r="65" customFormat="false" ht="15" hidden="false" customHeight="false" outlineLevel="0" collapsed="false">
      <c r="A65" s="2" t="s">
        <v>29</v>
      </c>
      <c r="B65" s="2" t="s">
        <v>30</v>
      </c>
      <c r="C65" s="2" t="s">
        <v>43</v>
      </c>
      <c r="D65" s="15" t="n">
        <v>64.13</v>
      </c>
      <c r="E65" s="7" t="str">
        <f aca="false">IF(INT(ROUND(D65*100,0)/6000)&gt;0,INT(ROUND(D65*100,0)/6000)&amp;":"&amp;RIGHT("0"&amp;INT(MOD(ROUND(D65*100,0),6000)/100),2),INT(MOD(ROUND(D65*100,0),6000)/100))&amp;"."&amp;RIGHT("0"&amp;MOD(ROUND(D65*100,0),100),2)</f>
        <v>1:04.13</v>
      </c>
    </row>
    <row r="66" customFormat="false" ht="15" hidden="false" customHeight="false" outlineLevel="0" collapsed="false">
      <c r="A66" s="2" t="s">
        <v>29</v>
      </c>
      <c r="B66" s="2" t="s">
        <v>30</v>
      </c>
      <c r="C66" s="2" t="s">
        <v>44</v>
      </c>
      <c r="D66" s="15" t="n">
        <v>137.55</v>
      </c>
      <c r="E66" s="7" t="str">
        <f aca="false">IF(INT(ROUND(D66*100,0)/6000)&gt;0,INT(ROUND(D66*100,0)/6000)&amp;":"&amp;RIGHT("0"&amp;INT(MOD(ROUND(D66*100,0),6000)/100),2),INT(MOD(ROUND(D66*100,0),6000)/100))&amp;"."&amp;RIGHT("0"&amp;MOD(ROUND(D66*100,0),100),2)</f>
        <v>2:17.55</v>
      </c>
    </row>
    <row r="67" customFormat="false" ht="15" hidden="false" customHeight="false" outlineLevel="0" collapsed="false">
      <c r="A67" s="2" t="s">
        <v>29</v>
      </c>
      <c r="B67" s="2" t="s">
        <v>30</v>
      </c>
      <c r="C67" s="2" t="s">
        <v>45</v>
      </c>
      <c r="D67" s="15" t="n">
        <v>24.43</v>
      </c>
      <c r="E67" s="7" t="str">
        <f aca="false">IF(INT(ROUND(D67*100,0)/6000)&gt;0,INT(ROUND(D67*100,0)/6000)&amp;":"&amp;RIGHT("0"&amp;INT(MOD(ROUND(D67*100,0),6000)/100),2),INT(MOD(ROUND(D67*100,0),6000)/100))&amp;"."&amp;RIGHT("0"&amp;MOD(ROUND(D67*100,0),100),2)</f>
        <v>24.43</v>
      </c>
    </row>
    <row r="68" customFormat="false" ht="15" hidden="false" customHeight="false" outlineLevel="0" collapsed="false">
      <c r="A68" s="2" t="s">
        <v>29</v>
      </c>
      <c r="B68" s="2" t="s">
        <v>30</v>
      </c>
      <c r="C68" s="2" t="s">
        <v>46</v>
      </c>
      <c r="D68" s="15" t="n">
        <v>54.6</v>
      </c>
      <c r="E68" s="7" t="str">
        <f aca="false">IF(INT(ROUND(D68*100,0)/6000)&gt;0,INT(ROUND(D68*100,0)/6000)&amp;":"&amp;RIGHT("0"&amp;INT(MOD(ROUND(D68*100,0),6000)/100),2),INT(MOD(ROUND(D68*100,0),6000)/100))&amp;"."&amp;RIGHT("0"&amp;MOD(ROUND(D68*100,0),100),2)</f>
        <v>54.60</v>
      </c>
    </row>
    <row r="69" customFormat="false" ht="15" hidden="false" customHeight="false" outlineLevel="0" collapsed="false">
      <c r="A69" s="2" t="s">
        <v>29</v>
      </c>
      <c r="B69" s="2" t="s">
        <v>30</v>
      </c>
      <c r="C69" s="2" t="s">
        <v>47</v>
      </c>
      <c r="D69" s="15" t="n">
        <v>121.81</v>
      </c>
      <c r="E69" s="7" t="str">
        <f aca="false">IF(INT(ROUND(D69*100,0)/6000)&gt;0,INT(ROUND(D69*100,0)/6000)&amp;":"&amp;RIGHT("0"&amp;INT(MOD(ROUND(D69*100,0),6000)/100),2),INT(MOD(ROUND(D69*100,0),6000)/100))&amp;"."&amp;RIGHT("0"&amp;MOD(ROUND(D69*100,0),100),2)</f>
        <v>2:01.81</v>
      </c>
    </row>
    <row r="70" customFormat="false" ht="15" hidden="false" customHeight="false" outlineLevel="0" collapsed="false">
      <c r="A70" s="2" t="s">
        <v>29</v>
      </c>
      <c r="B70" s="2" t="s">
        <v>30</v>
      </c>
      <c r="C70" s="2" t="s">
        <v>31</v>
      </c>
      <c r="D70" s="15" t="n">
        <v>125.7</v>
      </c>
      <c r="E70" s="7" t="str">
        <f aca="false">IF(INT(ROUND(D70*100,0)/6000)&gt;0,INT(ROUND(D70*100,0)/6000)&amp;":"&amp;RIGHT("0"&amp;INT(MOD(ROUND(D70*100,0),6000)/100),2),INT(MOD(ROUND(D70*100,0),6000)/100))&amp;"."&amp;RIGHT("0"&amp;MOD(ROUND(D70*100,0),100),2)</f>
        <v>2:05.70</v>
      </c>
    </row>
    <row r="71" customFormat="false" ht="15" hidden="false" customHeight="false" outlineLevel="0" collapsed="false">
      <c r="A71" s="2" t="s">
        <v>29</v>
      </c>
      <c r="B71" s="2" t="s">
        <v>30</v>
      </c>
      <c r="C71" s="2" t="s">
        <v>49</v>
      </c>
      <c r="D71" s="15" t="n">
        <v>263.65</v>
      </c>
      <c r="E71" s="7" t="str">
        <f aca="false">IF(INT(ROUND(D71*100,0)/6000)&gt;0,INT(ROUND(D71*100,0)/6000)&amp;":"&amp;RIGHT("0"&amp;INT(MOD(ROUND(D71*100,0),6000)/100),2),INT(MOD(ROUND(D71*100,0),6000)/100))&amp;"."&amp;RIGHT("0"&amp;MOD(ROUND(D71*100,0),100),2)</f>
        <v>4:23.65</v>
      </c>
    </row>
    <row r="72" customFormat="false" ht="15" hidden="false" customHeight="false" outlineLevel="0" collapsed="false">
      <c r="A72" s="2"/>
      <c r="B72" s="2"/>
      <c r="C72" s="2"/>
      <c r="D72" s="2"/>
      <c r="E72" s="2"/>
    </row>
    <row r="73" customFormat="false" ht="15" hidden="false" customHeight="false" outlineLevel="0" collapsed="false">
      <c r="A73" s="3" t="s">
        <v>50</v>
      </c>
      <c r="B73" s="2"/>
      <c r="C73" s="2"/>
      <c r="D73" s="2"/>
      <c r="E73" s="2"/>
    </row>
    <row r="74" customFormat="false" ht="15" hidden="false" customHeight="false" outlineLevel="0" collapsed="false">
      <c r="A74" s="3" t="s">
        <v>51</v>
      </c>
      <c r="B74" s="2"/>
      <c r="C74" s="2"/>
      <c r="D74" s="2"/>
      <c r="E74" s="2"/>
    </row>
    <row r="75" customFormat="false" ht="15" hidden="false" customHeight="false" outlineLevel="0" collapsed="false">
      <c r="A75" s="3" t="s">
        <v>52</v>
      </c>
      <c r="B75" s="2"/>
      <c r="C75" s="2"/>
      <c r="D75" s="2"/>
      <c r="E7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12" min="4" style="0" width="13"/>
    <col collapsed="false" customWidth="true" hidden="false" outlineLevel="0" max="13" min="13" style="0" width="10"/>
  </cols>
  <sheetData>
    <row r="1" customFormat="false" ht="15" hidden="false" customHeight="false" outlineLevel="0" collapsed="false">
      <c r="A1" s="13" t="s">
        <v>2</v>
      </c>
      <c r="B1" s="13" t="s">
        <v>4</v>
      </c>
      <c r="C1" s="13" t="s">
        <v>6</v>
      </c>
      <c r="D1" s="13" t="s">
        <v>53</v>
      </c>
      <c r="E1" s="13" t="s">
        <v>54</v>
      </c>
      <c r="F1" s="13" t="s">
        <v>55</v>
      </c>
      <c r="G1" s="13" t="s">
        <v>56</v>
      </c>
      <c r="H1" s="13" t="s">
        <v>57</v>
      </c>
      <c r="I1" s="13" t="s">
        <v>58</v>
      </c>
      <c r="J1" s="13" t="s">
        <v>59</v>
      </c>
      <c r="K1" s="13" t="s">
        <v>60</v>
      </c>
      <c r="L1" s="13" t="s">
        <v>61</v>
      </c>
      <c r="M1" s="13" t="s">
        <v>62</v>
      </c>
    </row>
    <row r="2" customFormat="false" ht="15" hidden="false" customHeight="false" outlineLevel="0" collapsed="false">
      <c r="A2" s="2" t="s">
        <v>3</v>
      </c>
      <c r="B2" s="2" t="s">
        <v>5</v>
      </c>
      <c r="C2" s="2" t="s">
        <v>34</v>
      </c>
      <c r="D2" s="15" t="n">
        <v>21.18</v>
      </c>
      <c r="E2" s="15" t="n">
        <v>22.45</v>
      </c>
      <c r="F2" s="15" t="n">
        <v>23.2</v>
      </c>
      <c r="G2" s="15" t="n">
        <v>24.45</v>
      </c>
      <c r="H2" s="15" t="n">
        <v>26.85</v>
      </c>
      <c r="I2" s="15" t="n">
        <v>29.05</v>
      </c>
      <c r="J2" s="15" t="n">
        <v>35.05</v>
      </c>
      <c r="K2" s="15" t="n">
        <v>45.05</v>
      </c>
      <c r="L2" s="15" t="n">
        <v>55.05</v>
      </c>
      <c r="M2" s="3" t="str">
        <f aca="false">A2&amp;"|"&amp;B2&amp;"|"&amp;C2</f>
        <v>25 м|Мужчины|50 м вольный стиль</v>
      </c>
    </row>
    <row r="3" customFormat="false" ht="15" hidden="false" customHeight="false" outlineLevel="0" collapsed="false">
      <c r="A3" s="2" t="s">
        <v>3</v>
      </c>
      <c r="B3" s="2" t="s">
        <v>5</v>
      </c>
      <c r="C3" s="2" t="s">
        <v>7</v>
      </c>
      <c r="D3" s="15" t="n">
        <v>46.72</v>
      </c>
      <c r="E3" s="15" t="n">
        <v>50</v>
      </c>
      <c r="F3" s="15" t="n">
        <v>53.3</v>
      </c>
      <c r="G3" s="15" t="n">
        <v>56.7</v>
      </c>
      <c r="H3" s="15" t="n">
        <v>63.1</v>
      </c>
      <c r="I3" s="15" t="n">
        <v>70.6</v>
      </c>
      <c r="J3" s="15" t="n">
        <v>83.1</v>
      </c>
      <c r="K3" s="15" t="n">
        <v>103.1</v>
      </c>
      <c r="L3" s="15" t="n">
        <v>123.1</v>
      </c>
      <c r="M3" s="3" t="str">
        <f aca="false">A3&amp;"|"&amp;B3&amp;"|"&amp;C3</f>
        <v>25 м|Мужчины|100 м вольный стиль</v>
      </c>
    </row>
    <row r="4" customFormat="false" ht="15" hidden="false" customHeight="false" outlineLevel="0" collapsed="false">
      <c r="A4" s="2" t="s">
        <v>3</v>
      </c>
      <c r="B4" s="2" t="s">
        <v>5</v>
      </c>
      <c r="C4" s="2" t="s">
        <v>35</v>
      </c>
      <c r="D4" s="15" t="n">
        <v>103.02</v>
      </c>
      <c r="E4" s="15" t="n">
        <v>110.95</v>
      </c>
      <c r="F4" s="15" t="n">
        <v>117.45</v>
      </c>
      <c r="G4" s="15" t="n">
        <v>125.7</v>
      </c>
      <c r="H4" s="15" t="n">
        <v>140.2</v>
      </c>
      <c r="I4" s="15" t="n">
        <v>158.7</v>
      </c>
      <c r="J4" s="15" t="n">
        <v>184.2</v>
      </c>
      <c r="K4" s="15" t="n">
        <v>225</v>
      </c>
      <c r="L4" s="15" t="n">
        <v>264.2</v>
      </c>
      <c r="M4" s="3" t="str">
        <f aca="false">A4&amp;"|"&amp;B4&amp;"|"&amp;C4</f>
        <v>25 м|Мужчины|200 м вольный стиль</v>
      </c>
    </row>
    <row r="5" customFormat="false" ht="15" hidden="false" customHeight="false" outlineLevel="0" collapsed="false">
      <c r="A5" s="2" t="s">
        <v>3</v>
      </c>
      <c r="B5" s="2" t="s">
        <v>5</v>
      </c>
      <c r="C5" s="2" t="s">
        <v>36</v>
      </c>
      <c r="D5" s="15" t="n">
        <v>220.94</v>
      </c>
      <c r="E5" s="15" t="n">
        <v>236</v>
      </c>
      <c r="F5" s="15" t="n">
        <v>248.5</v>
      </c>
      <c r="G5" s="15" t="n">
        <v>265</v>
      </c>
      <c r="H5" s="15" t="n">
        <v>300</v>
      </c>
      <c r="I5" s="15" t="n">
        <v>341</v>
      </c>
      <c r="J5" s="15" t="n">
        <v>397</v>
      </c>
      <c r="K5" s="15" t="n">
        <v>453</v>
      </c>
      <c r="L5" s="15" t="n">
        <v>509</v>
      </c>
      <c r="M5" s="3" t="str">
        <f aca="false">A5&amp;"|"&amp;B5&amp;"|"&amp;C5</f>
        <v>25 м|Мужчины|400 м вольный стиль</v>
      </c>
    </row>
    <row r="6" customFormat="false" ht="15" hidden="false" customHeight="false" outlineLevel="0" collapsed="false">
      <c r="A6" s="2" t="s">
        <v>3</v>
      </c>
      <c r="B6" s="2" t="s">
        <v>5</v>
      </c>
      <c r="C6" s="2" t="s">
        <v>37</v>
      </c>
      <c r="D6" s="15" t="n">
        <v>462.7</v>
      </c>
      <c r="E6" s="15" t="n">
        <v>497</v>
      </c>
      <c r="F6" s="15" t="n">
        <v>530</v>
      </c>
      <c r="G6" s="15" t="n">
        <v>564</v>
      </c>
      <c r="H6" s="15" t="n">
        <v>662</v>
      </c>
      <c r="I6" s="15" t="n">
        <v>744</v>
      </c>
      <c r="J6" s="15" t="n">
        <v>866</v>
      </c>
      <c r="K6" s="15" t="n">
        <v>986</v>
      </c>
      <c r="L6" s="15" t="n">
        <v>1106</v>
      </c>
      <c r="M6" s="3" t="str">
        <f aca="false">A6&amp;"|"&amp;B6&amp;"|"&amp;C6</f>
        <v>25 м|Мужчины|800 м вольный стиль</v>
      </c>
    </row>
    <row r="7" customFormat="false" ht="15" hidden="false" customHeight="false" outlineLevel="0" collapsed="false">
      <c r="A7" s="2" t="s">
        <v>3</v>
      </c>
      <c r="B7" s="2" t="s">
        <v>5</v>
      </c>
      <c r="C7" s="2" t="s">
        <v>38</v>
      </c>
      <c r="D7" s="15" t="n">
        <v>884.74</v>
      </c>
      <c r="E7" s="15" t="n">
        <v>928.5</v>
      </c>
      <c r="F7" s="15" t="n">
        <v>1026.5</v>
      </c>
      <c r="G7" s="15" t="n">
        <v>1085</v>
      </c>
      <c r="H7" s="15" t="n">
        <v>1227.5</v>
      </c>
      <c r="I7" s="15" t="n">
        <v>1407.5</v>
      </c>
      <c r="J7" s="15" t="n">
        <v>1650</v>
      </c>
      <c r="K7" s="15" t="n">
        <v>1890</v>
      </c>
      <c r="L7" s="15" t="n">
        <v>2130</v>
      </c>
      <c r="M7" s="3" t="str">
        <f aca="false">A7&amp;"|"&amp;B7&amp;"|"&amp;C7</f>
        <v>25 м|Мужчины|1500 м вольный стиль</v>
      </c>
    </row>
    <row r="8" customFormat="false" ht="15" hidden="false" customHeight="false" outlineLevel="0" collapsed="false">
      <c r="A8" s="2" t="s">
        <v>3</v>
      </c>
      <c r="B8" s="2" t="s">
        <v>5</v>
      </c>
      <c r="C8" s="2" t="s">
        <v>39</v>
      </c>
      <c r="D8" s="15" t="n">
        <v>23.29</v>
      </c>
      <c r="E8" s="15" t="n">
        <v>25.89</v>
      </c>
      <c r="F8" s="15" t="n">
        <v>27.35</v>
      </c>
      <c r="G8" s="15" t="n">
        <v>29.35</v>
      </c>
      <c r="H8" s="15" t="n">
        <v>32.05</v>
      </c>
      <c r="I8" s="15" t="n">
        <v>35.55</v>
      </c>
      <c r="J8" s="15" t="n">
        <v>41.55</v>
      </c>
      <c r="K8" s="15" t="n">
        <v>51.55</v>
      </c>
      <c r="L8" s="15" t="n">
        <v>61.55</v>
      </c>
      <c r="M8" s="3" t="str">
        <f aca="false">A8&amp;"|"&amp;B8&amp;"|"&amp;C8</f>
        <v>25 м|Мужчины|50 м на спине</v>
      </c>
    </row>
    <row r="9" customFormat="false" ht="15" hidden="false" customHeight="false" outlineLevel="0" collapsed="false">
      <c r="A9" s="2" t="s">
        <v>3</v>
      </c>
      <c r="B9" s="2" t="s">
        <v>5</v>
      </c>
      <c r="C9" s="2" t="s">
        <v>40</v>
      </c>
      <c r="D9" s="15" t="n">
        <v>50.54</v>
      </c>
      <c r="E9" s="15" t="n">
        <v>57</v>
      </c>
      <c r="F9" s="15" t="n">
        <v>60.4</v>
      </c>
      <c r="G9" s="15" t="n">
        <v>64.4</v>
      </c>
      <c r="H9" s="15" t="n">
        <v>72.6</v>
      </c>
      <c r="I9" s="15" t="n">
        <v>81.1</v>
      </c>
      <c r="J9" s="15" t="n">
        <v>93.6</v>
      </c>
      <c r="K9" s="15" t="n">
        <v>116.1</v>
      </c>
      <c r="L9" s="15" t="n">
        <v>136.1</v>
      </c>
      <c r="M9" s="3" t="str">
        <f aca="false">A9&amp;"|"&amp;B9&amp;"|"&amp;C9</f>
        <v>25 м|Мужчины|100 м на спине</v>
      </c>
    </row>
    <row r="10" customFormat="false" ht="15" hidden="false" customHeight="false" outlineLevel="0" collapsed="false">
      <c r="A10" s="2" t="s">
        <v>3</v>
      </c>
      <c r="B10" s="2" t="s">
        <v>5</v>
      </c>
      <c r="C10" s="2" t="s">
        <v>41</v>
      </c>
      <c r="D10" s="15" t="n">
        <v>112.45</v>
      </c>
      <c r="E10" s="15" t="n">
        <v>124.75</v>
      </c>
      <c r="F10" s="15" t="n">
        <v>131.45</v>
      </c>
      <c r="G10" s="15" t="n">
        <v>139.2</v>
      </c>
      <c r="H10" s="15" t="n">
        <v>156.2</v>
      </c>
      <c r="I10" s="15" t="n">
        <v>176.2</v>
      </c>
      <c r="J10" s="15" t="n">
        <v>204.2</v>
      </c>
      <c r="K10" s="15" t="n">
        <v>250.2</v>
      </c>
      <c r="L10" s="15" t="n">
        <v>290.2</v>
      </c>
      <c r="M10" s="3" t="str">
        <f aca="false">A10&amp;"|"&amp;B10&amp;"|"&amp;C10</f>
        <v>25 м|Мужчины|200 м на спине</v>
      </c>
    </row>
    <row r="11" customFormat="false" ht="15" hidden="false" customHeight="false" outlineLevel="0" collapsed="false">
      <c r="A11" s="2" t="s">
        <v>3</v>
      </c>
      <c r="B11" s="2" t="s">
        <v>5</v>
      </c>
      <c r="C11" s="2" t="s">
        <v>42</v>
      </c>
      <c r="D11" s="15" t="n">
        <v>26.28</v>
      </c>
      <c r="E11" s="15" t="n">
        <v>28.25</v>
      </c>
      <c r="F11" s="15" t="n">
        <v>30</v>
      </c>
      <c r="G11" s="15" t="n">
        <v>31.65</v>
      </c>
      <c r="H11" s="15" t="n">
        <v>35.05</v>
      </c>
      <c r="I11" s="15" t="n">
        <v>38.55</v>
      </c>
      <c r="J11" s="15" t="n">
        <v>45.05</v>
      </c>
      <c r="K11" s="15" t="n">
        <v>55.05</v>
      </c>
      <c r="L11" s="15" t="n">
        <v>65.05</v>
      </c>
      <c r="M11" s="3" t="str">
        <f aca="false">A11&amp;"|"&amp;B11&amp;"|"&amp;C11</f>
        <v>25 м|Мужчины|50 м брасс</v>
      </c>
    </row>
    <row r="12" customFormat="false" ht="15" hidden="false" customHeight="false" outlineLevel="0" collapsed="false">
      <c r="A12" s="2" t="s">
        <v>3</v>
      </c>
      <c r="B12" s="2" t="s">
        <v>5</v>
      </c>
      <c r="C12" s="2" t="s">
        <v>43</v>
      </c>
      <c r="D12" s="15" t="n">
        <v>57.34</v>
      </c>
      <c r="E12" s="15" t="n">
        <v>63</v>
      </c>
      <c r="F12" s="15" t="n">
        <v>66.9</v>
      </c>
      <c r="G12" s="15" t="n">
        <v>71.4</v>
      </c>
      <c r="H12" s="15" t="n">
        <v>80.1</v>
      </c>
      <c r="I12" s="15" t="n">
        <v>88.1</v>
      </c>
      <c r="J12" s="15" t="n">
        <v>104.1</v>
      </c>
      <c r="K12" s="15" t="n">
        <v>123.1</v>
      </c>
      <c r="L12" s="15" t="n">
        <v>143.1</v>
      </c>
      <c r="M12" s="3" t="str">
        <f aca="false">A12&amp;"|"&amp;B12&amp;"|"&amp;C12</f>
        <v>25 м|Мужчины|100 м брасс</v>
      </c>
    </row>
    <row r="13" customFormat="false" ht="15" hidden="false" customHeight="false" outlineLevel="0" collapsed="false">
      <c r="A13" s="2" t="s">
        <v>3</v>
      </c>
      <c r="B13" s="2" t="s">
        <v>5</v>
      </c>
      <c r="C13" s="2" t="s">
        <v>44</v>
      </c>
      <c r="D13" s="15" t="n">
        <v>125.56</v>
      </c>
      <c r="E13" s="15" t="n">
        <v>138.45</v>
      </c>
      <c r="F13" s="15" t="n">
        <v>146.45</v>
      </c>
      <c r="G13" s="15" t="n">
        <v>156.45</v>
      </c>
      <c r="H13" s="15" t="n">
        <v>175.7</v>
      </c>
      <c r="I13" s="15" t="n">
        <v>198.7</v>
      </c>
      <c r="J13" s="15" t="n">
        <v>231.6</v>
      </c>
      <c r="K13" s="15" t="n">
        <v>264.6</v>
      </c>
      <c r="L13" s="15" t="n">
        <v>304.6</v>
      </c>
      <c r="M13" s="3" t="str">
        <f aca="false">A13&amp;"|"&amp;B13&amp;"|"&amp;C13</f>
        <v>25 м|Мужчины|200 м брасс</v>
      </c>
    </row>
    <row r="14" customFormat="false" ht="15" hidden="false" customHeight="false" outlineLevel="0" collapsed="false">
      <c r="A14" s="2" t="s">
        <v>3</v>
      </c>
      <c r="B14" s="2" t="s">
        <v>5</v>
      </c>
      <c r="C14" s="2" t="s">
        <v>45</v>
      </c>
      <c r="D14" s="15" t="n">
        <v>22.52</v>
      </c>
      <c r="E14" s="15" t="n">
        <v>23.95</v>
      </c>
      <c r="F14" s="15" t="n">
        <v>24.95</v>
      </c>
      <c r="G14" s="15" t="n">
        <v>26.95</v>
      </c>
      <c r="H14" s="15" t="n">
        <v>30.05</v>
      </c>
      <c r="I14" s="15" t="n">
        <v>33.05</v>
      </c>
      <c r="J14" s="15" t="n">
        <v>38.05</v>
      </c>
      <c r="K14" s="15" t="n">
        <v>48.05</v>
      </c>
      <c r="L14" s="15" t="n">
        <v>58.05</v>
      </c>
      <c r="M14" s="3" t="str">
        <f aca="false">A14&amp;"|"&amp;B14&amp;"|"&amp;C14</f>
        <v>25 м|Мужчины|50 м баттерфляй</v>
      </c>
    </row>
    <row r="15" customFormat="false" ht="15" hidden="false" customHeight="false" outlineLevel="0" collapsed="false">
      <c r="A15" s="2" t="s">
        <v>3</v>
      </c>
      <c r="B15" s="2" t="s">
        <v>5</v>
      </c>
      <c r="C15" s="2" t="s">
        <v>46</v>
      </c>
      <c r="D15" s="15" t="n">
        <v>50.15</v>
      </c>
      <c r="E15" s="15" t="n">
        <v>54</v>
      </c>
      <c r="F15" s="15" t="n">
        <v>58</v>
      </c>
      <c r="G15" s="15" t="n">
        <v>61.5</v>
      </c>
      <c r="H15" s="15" t="n">
        <v>70.1</v>
      </c>
      <c r="I15" s="15" t="n">
        <v>80.1</v>
      </c>
      <c r="J15" s="15" t="n">
        <v>90.1</v>
      </c>
      <c r="K15" s="15" t="n">
        <v>109.1</v>
      </c>
      <c r="L15" s="15" t="n">
        <v>121.1</v>
      </c>
      <c r="M15" s="3" t="str">
        <f aca="false">A15&amp;"|"&amp;B15&amp;"|"&amp;C15</f>
        <v>25 м|Мужчины|100 м баттерфляй</v>
      </c>
    </row>
    <row r="16" customFormat="false" ht="15" hidden="false" customHeight="false" outlineLevel="0" collapsed="false">
      <c r="A16" s="2" t="s">
        <v>3</v>
      </c>
      <c r="B16" s="2" t="s">
        <v>5</v>
      </c>
      <c r="C16" s="2" t="s">
        <v>47</v>
      </c>
      <c r="D16" s="15" t="n">
        <v>112.45</v>
      </c>
      <c r="E16" s="15" t="n">
        <v>122.95</v>
      </c>
      <c r="F16" s="15" t="n">
        <v>129.95</v>
      </c>
      <c r="G16" s="15" t="n">
        <v>137.95</v>
      </c>
      <c r="H16" s="15" t="n">
        <v>156.7</v>
      </c>
      <c r="I16" s="15" t="n">
        <v>177.2</v>
      </c>
      <c r="J16" s="15" t="n">
        <v>201.2</v>
      </c>
      <c r="K16" s="15" t="n">
        <v>236.2</v>
      </c>
      <c r="L16" s="15" t="n">
        <v>276.2</v>
      </c>
      <c r="M16" s="3" t="str">
        <f aca="false">A16&amp;"|"&amp;B16&amp;"|"&amp;C16</f>
        <v>25 м|Мужчины|200 м баттерфляй</v>
      </c>
    </row>
    <row r="17" customFormat="false" ht="15" hidden="false" customHeight="false" outlineLevel="0" collapsed="false">
      <c r="A17" s="2" t="s">
        <v>3</v>
      </c>
      <c r="B17" s="2" t="s">
        <v>5</v>
      </c>
      <c r="C17" s="2" t="s">
        <v>48</v>
      </c>
      <c r="D17" s="15" t="n">
        <v>52.57</v>
      </c>
      <c r="E17" s="15" t="n">
        <v>56.5</v>
      </c>
      <c r="F17" s="15" t="n">
        <v>61.5</v>
      </c>
      <c r="G17" s="15" t="n">
        <v>65.5</v>
      </c>
      <c r="H17" s="15" t="n">
        <v>73.6</v>
      </c>
      <c r="I17" s="15" t="n">
        <v>83.6</v>
      </c>
      <c r="J17" s="15" t="n">
        <v>94.6</v>
      </c>
      <c r="K17" s="15" t="n">
        <v>113.6</v>
      </c>
      <c r="L17" s="15" t="n">
        <v>133.6</v>
      </c>
      <c r="M17" s="3" t="str">
        <f aca="false">A17&amp;"|"&amp;B17&amp;"|"&amp;C17</f>
        <v>25 м|Мужчины|100 м комплекс</v>
      </c>
    </row>
    <row r="18" customFormat="false" ht="15" hidden="false" customHeight="false" outlineLevel="0" collapsed="false">
      <c r="A18" s="2" t="s">
        <v>3</v>
      </c>
      <c r="B18" s="2" t="s">
        <v>5</v>
      </c>
      <c r="C18" s="2" t="s">
        <v>31</v>
      </c>
      <c r="D18" s="15" t="n">
        <v>114.17</v>
      </c>
      <c r="E18" s="15" t="n">
        <v>125.95</v>
      </c>
      <c r="F18" s="15" t="n">
        <v>134.45</v>
      </c>
      <c r="G18" s="15" t="n">
        <v>141.95</v>
      </c>
      <c r="H18" s="15" t="n">
        <v>158.95</v>
      </c>
      <c r="I18" s="15" t="n">
        <v>184.2</v>
      </c>
      <c r="J18" s="15" t="n">
        <v>209.2</v>
      </c>
      <c r="K18" s="15" t="n">
        <v>244.2</v>
      </c>
      <c r="L18" s="15" t="n">
        <v>284.2</v>
      </c>
      <c r="M18" s="3" t="str">
        <f aca="false">A18&amp;"|"&amp;B18&amp;"|"&amp;C18</f>
        <v>25 м|Мужчины|200 м комплекс</v>
      </c>
    </row>
    <row r="19" customFormat="false" ht="15" hidden="false" customHeight="false" outlineLevel="0" collapsed="false">
      <c r="A19" s="2" t="s">
        <v>3</v>
      </c>
      <c r="B19" s="2" t="s">
        <v>5</v>
      </c>
      <c r="C19" s="2" t="s">
        <v>49</v>
      </c>
      <c r="D19" s="15" t="n">
        <v>246.68</v>
      </c>
      <c r="E19" s="15" t="n">
        <v>268</v>
      </c>
      <c r="F19" s="15" t="n">
        <v>283</v>
      </c>
      <c r="G19" s="15" t="n">
        <v>302</v>
      </c>
      <c r="H19" s="15" t="n">
        <v>343</v>
      </c>
      <c r="I19" s="15" t="n">
        <v>391</v>
      </c>
      <c r="J19" s="15" t="n">
        <v>446</v>
      </c>
      <c r="K19" s="15" t="n">
        <v>502</v>
      </c>
      <c r="L19" s="15" t="n">
        <v>558</v>
      </c>
      <c r="M19" s="3" t="str">
        <f aca="false">A19&amp;"|"&amp;B19&amp;"|"&amp;C19</f>
        <v>25 м|Мужчины|400 м комплекс</v>
      </c>
    </row>
    <row r="20" customFormat="false" ht="15" hidden="false" customHeight="false" outlineLevel="0" collapsed="false">
      <c r="A20" s="2" t="s">
        <v>3</v>
      </c>
      <c r="B20" s="2" t="s">
        <v>30</v>
      </c>
      <c r="C20" s="2" t="s">
        <v>34</v>
      </c>
      <c r="D20" s="15" t="n">
        <v>24.13</v>
      </c>
      <c r="E20" s="15" t="n">
        <v>25.75</v>
      </c>
      <c r="F20" s="15" t="n">
        <v>26.55</v>
      </c>
      <c r="G20" s="15" t="n">
        <v>27.85</v>
      </c>
      <c r="H20" s="15" t="n">
        <v>30.55</v>
      </c>
      <c r="I20" s="15" t="n">
        <v>32.55</v>
      </c>
      <c r="J20" s="15" t="n">
        <v>39.55</v>
      </c>
      <c r="K20" s="15" t="n">
        <v>49.55</v>
      </c>
      <c r="L20" s="15" t="n">
        <v>59.05</v>
      </c>
      <c r="M20" s="3" t="str">
        <f aca="false">A20&amp;"|"&amp;B20&amp;"|"&amp;C20</f>
        <v>25 м|Женщины|50 м вольный стиль</v>
      </c>
    </row>
    <row r="21" customFormat="false" ht="15" hidden="false" customHeight="false" outlineLevel="0" collapsed="false">
      <c r="A21" s="2" t="s">
        <v>3</v>
      </c>
      <c r="B21" s="2" t="s">
        <v>30</v>
      </c>
      <c r="C21" s="2" t="s">
        <v>7</v>
      </c>
      <c r="D21" s="15" t="n">
        <v>52.68</v>
      </c>
      <c r="E21" s="15" t="n">
        <v>56</v>
      </c>
      <c r="F21" s="15" t="n">
        <v>60</v>
      </c>
      <c r="G21" s="15" t="n">
        <v>63.84</v>
      </c>
      <c r="H21" s="15" t="n">
        <v>71.4</v>
      </c>
      <c r="I21" s="15" t="n">
        <v>79.1</v>
      </c>
      <c r="J21" s="15" t="n">
        <v>93.1</v>
      </c>
      <c r="K21" s="15" t="n">
        <v>113.1</v>
      </c>
      <c r="L21" s="15" t="n">
        <v>132.1</v>
      </c>
      <c r="M21" s="3" t="str">
        <f aca="false">A21&amp;"|"&amp;B21&amp;"|"&amp;C21</f>
        <v>25 м|Женщины|100 м вольный стиль</v>
      </c>
    </row>
    <row r="22" customFormat="false" ht="15" hidden="false" customHeight="false" outlineLevel="0" collapsed="false">
      <c r="A22" s="2" t="s">
        <v>3</v>
      </c>
      <c r="B22" s="2" t="s">
        <v>30</v>
      </c>
      <c r="C22" s="2" t="s">
        <v>35</v>
      </c>
      <c r="D22" s="15" t="n">
        <v>115.02</v>
      </c>
      <c r="E22" s="15" t="n">
        <v>123.45</v>
      </c>
      <c r="F22" s="15" t="n">
        <v>131.75</v>
      </c>
      <c r="G22" s="15" t="n">
        <v>140.45</v>
      </c>
      <c r="H22" s="15" t="n">
        <v>156.2</v>
      </c>
      <c r="I22" s="15" t="n">
        <v>174.2</v>
      </c>
      <c r="J22" s="15" t="n">
        <v>205.2</v>
      </c>
      <c r="K22" s="15" t="n">
        <v>245.2</v>
      </c>
      <c r="L22" s="15" t="n">
        <v>283.2</v>
      </c>
      <c r="M22" s="3" t="str">
        <f aca="false">A22&amp;"|"&amp;B22&amp;"|"&amp;C22</f>
        <v>25 м|Женщины|200 м вольный стиль</v>
      </c>
    </row>
    <row r="23" customFormat="false" ht="15" hidden="false" customHeight="false" outlineLevel="0" collapsed="false">
      <c r="A23" s="2" t="s">
        <v>3</v>
      </c>
      <c r="B23" s="2" t="s">
        <v>30</v>
      </c>
      <c r="C23" s="2" t="s">
        <v>36</v>
      </c>
      <c r="D23" s="15" t="n">
        <v>243.32</v>
      </c>
      <c r="E23" s="15" t="n">
        <v>260</v>
      </c>
      <c r="F23" s="15" t="n">
        <v>270</v>
      </c>
      <c r="G23" s="15" t="n">
        <v>292</v>
      </c>
      <c r="H23" s="15" t="n">
        <v>334</v>
      </c>
      <c r="I23" s="15" t="n">
        <v>378</v>
      </c>
      <c r="J23" s="15" t="n">
        <v>449</v>
      </c>
      <c r="K23" s="15" t="n">
        <v>520</v>
      </c>
      <c r="L23" s="15" t="n">
        <v>591</v>
      </c>
      <c r="M23" s="3" t="str">
        <f aca="false">A23&amp;"|"&amp;B23&amp;"|"&amp;C23</f>
        <v>25 м|Женщины|400 м вольный стиль</v>
      </c>
    </row>
    <row r="24" customFormat="false" ht="15" hidden="false" customHeight="false" outlineLevel="0" collapsed="false">
      <c r="A24" s="2" t="s">
        <v>3</v>
      </c>
      <c r="B24" s="2" t="s">
        <v>30</v>
      </c>
      <c r="C24" s="2" t="s">
        <v>37</v>
      </c>
      <c r="D24" s="15" t="n">
        <v>503.99</v>
      </c>
      <c r="E24" s="15" t="n">
        <v>540</v>
      </c>
      <c r="F24" s="15" t="n">
        <v>570</v>
      </c>
      <c r="G24" s="15" t="n">
        <v>611</v>
      </c>
      <c r="H24" s="15" t="n">
        <v>702</v>
      </c>
      <c r="I24" s="15" t="n">
        <v>795</v>
      </c>
      <c r="J24" s="15" t="n">
        <v>960</v>
      </c>
      <c r="K24" s="15" t="n">
        <v>1110</v>
      </c>
      <c r="L24" s="15" t="n">
        <v>1260</v>
      </c>
      <c r="M24" s="3" t="str">
        <f aca="false">A24&amp;"|"&amp;B24&amp;"|"&amp;C24</f>
        <v>25 м|Женщины|800 м вольный стиль</v>
      </c>
    </row>
    <row r="25" customFormat="false" ht="15" hidden="false" customHeight="false" outlineLevel="0" collapsed="false">
      <c r="A25" s="2" t="s">
        <v>3</v>
      </c>
      <c r="B25" s="2" t="s">
        <v>30</v>
      </c>
      <c r="C25" s="2" t="s">
        <v>38</v>
      </c>
      <c r="D25" s="15" t="n">
        <v>972.06</v>
      </c>
      <c r="E25" s="15" t="n">
        <v>1032.5</v>
      </c>
      <c r="F25" s="15" t="n">
        <v>1101.5</v>
      </c>
      <c r="G25" s="15" t="n">
        <v>1204.5</v>
      </c>
      <c r="H25" s="15" t="n">
        <v>1354.5</v>
      </c>
      <c r="I25" s="15" t="n">
        <v>1557.5</v>
      </c>
      <c r="J25" s="15" t="n">
        <v>1805</v>
      </c>
      <c r="K25" s="15" t="n">
        <v>2050</v>
      </c>
      <c r="L25" s="15" t="n">
        <v>2300</v>
      </c>
      <c r="M25" s="3" t="str">
        <f aca="false">A25&amp;"|"&amp;B25&amp;"|"&amp;C25</f>
        <v>25 м|Женщины|1500 м вольный стиль</v>
      </c>
    </row>
    <row r="26" customFormat="false" ht="15" hidden="false" customHeight="false" outlineLevel="0" collapsed="false">
      <c r="A26" s="2" t="s">
        <v>3</v>
      </c>
      <c r="B26" s="2" t="s">
        <v>30</v>
      </c>
      <c r="C26" s="2" t="s">
        <v>39</v>
      </c>
      <c r="D26" s="15" t="n">
        <v>26.57</v>
      </c>
      <c r="E26" s="15" t="n">
        <v>28.65</v>
      </c>
      <c r="F26" s="15" t="n">
        <v>29.85</v>
      </c>
      <c r="G26" s="15" t="n">
        <v>31.55</v>
      </c>
      <c r="H26" s="15" t="n">
        <v>36.55</v>
      </c>
      <c r="I26" s="15" t="n">
        <v>40.55</v>
      </c>
      <c r="J26" s="15" t="n">
        <v>47.05</v>
      </c>
      <c r="K26" s="15" t="n">
        <v>57.05</v>
      </c>
      <c r="L26" s="15" t="n">
        <v>67.05</v>
      </c>
      <c r="M26" s="3" t="str">
        <f aca="false">A26&amp;"|"&amp;B26&amp;"|"&amp;C26</f>
        <v>25 м|Женщины|50 м на спине</v>
      </c>
    </row>
    <row r="27" customFormat="false" ht="15" hidden="false" customHeight="false" outlineLevel="0" collapsed="false">
      <c r="A27" s="2" t="s">
        <v>3</v>
      </c>
      <c r="B27" s="2" t="s">
        <v>30</v>
      </c>
      <c r="C27" s="2" t="s">
        <v>40</v>
      </c>
      <c r="D27" s="15" t="n">
        <v>57.36</v>
      </c>
      <c r="E27" s="15" t="n">
        <v>63.6</v>
      </c>
      <c r="F27" s="15" t="n">
        <v>68.5</v>
      </c>
      <c r="G27" s="15" t="n">
        <v>73</v>
      </c>
      <c r="H27" s="15" t="n">
        <v>81.1</v>
      </c>
      <c r="I27" s="15" t="n">
        <v>91.1</v>
      </c>
      <c r="J27" s="15" t="n">
        <v>105.1</v>
      </c>
      <c r="K27" s="15" t="n">
        <v>128.1</v>
      </c>
      <c r="L27" s="15" t="n">
        <v>148.1</v>
      </c>
      <c r="M27" s="3" t="str">
        <f aca="false">A27&amp;"|"&amp;B27&amp;"|"&amp;C27</f>
        <v>25 м|Женщины|100 м на спине</v>
      </c>
    </row>
    <row r="28" customFormat="false" ht="15" hidden="false" customHeight="false" outlineLevel="0" collapsed="false">
      <c r="A28" s="2" t="s">
        <v>3</v>
      </c>
      <c r="B28" s="2" t="s">
        <v>30</v>
      </c>
      <c r="C28" s="2" t="s">
        <v>41</v>
      </c>
      <c r="D28" s="15" t="n">
        <v>125.15</v>
      </c>
      <c r="E28" s="15" t="n">
        <v>137.95</v>
      </c>
      <c r="F28" s="15" t="n">
        <v>145.95</v>
      </c>
      <c r="G28" s="15" t="n">
        <v>154.95</v>
      </c>
      <c r="H28" s="15" t="n">
        <v>174.2</v>
      </c>
      <c r="I28" s="15" t="n">
        <v>196.2</v>
      </c>
      <c r="J28" s="15" t="n">
        <v>230.2</v>
      </c>
      <c r="K28" s="15" t="n">
        <v>275.2</v>
      </c>
      <c r="L28" s="15" t="n">
        <v>315.2</v>
      </c>
      <c r="M28" s="3" t="str">
        <f aca="false">A28&amp;"|"&amp;B28&amp;"|"&amp;C28</f>
        <v>25 м|Женщины|200 м на спине</v>
      </c>
    </row>
    <row r="29" customFormat="false" ht="15" hidden="false" customHeight="false" outlineLevel="0" collapsed="false">
      <c r="A29" s="2" t="s">
        <v>3</v>
      </c>
      <c r="B29" s="2" t="s">
        <v>30</v>
      </c>
      <c r="C29" s="2" t="s">
        <v>42</v>
      </c>
      <c r="D29" s="15" t="n">
        <v>30.04</v>
      </c>
      <c r="E29" s="15" t="n">
        <v>32.45</v>
      </c>
      <c r="F29" s="15" t="n">
        <v>34.25</v>
      </c>
      <c r="G29" s="15" t="n">
        <v>35.95</v>
      </c>
      <c r="H29" s="15" t="n">
        <v>40.05</v>
      </c>
      <c r="I29" s="15" t="n">
        <v>44.05</v>
      </c>
      <c r="J29" s="15" t="n">
        <v>51.55</v>
      </c>
      <c r="K29" s="15" t="n">
        <v>61.55</v>
      </c>
      <c r="L29" s="15" t="n">
        <v>71.55</v>
      </c>
      <c r="M29" s="3" t="str">
        <f aca="false">A29&amp;"|"&amp;B29&amp;"|"&amp;C29</f>
        <v>25 м|Женщины|50 м брасс</v>
      </c>
    </row>
    <row r="30" customFormat="false" ht="15" hidden="false" customHeight="false" outlineLevel="0" collapsed="false">
      <c r="A30" s="2" t="s">
        <v>3</v>
      </c>
      <c r="B30" s="2" t="s">
        <v>30</v>
      </c>
      <c r="C30" s="2" t="s">
        <v>43</v>
      </c>
      <c r="D30" s="15" t="n">
        <v>65.05</v>
      </c>
      <c r="E30" s="15" t="n">
        <v>72</v>
      </c>
      <c r="F30" s="15" t="n">
        <v>76</v>
      </c>
      <c r="G30" s="15" t="n">
        <v>81</v>
      </c>
      <c r="H30" s="15" t="n">
        <v>89.6</v>
      </c>
      <c r="I30" s="15" t="n">
        <v>101.6</v>
      </c>
      <c r="J30" s="15" t="n">
        <v>126.1</v>
      </c>
      <c r="K30" s="15" t="n">
        <v>136.1</v>
      </c>
      <c r="L30" s="15" t="n">
        <v>157.1</v>
      </c>
      <c r="M30" s="3" t="str">
        <f aca="false">A30&amp;"|"&amp;B30&amp;"|"&amp;C30</f>
        <v>25 м|Женщины|100 м брасс</v>
      </c>
    </row>
    <row r="31" customFormat="false" ht="15" hidden="false" customHeight="false" outlineLevel="0" collapsed="false">
      <c r="A31" s="2" t="s">
        <v>3</v>
      </c>
      <c r="B31" s="2" t="s">
        <v>30</v>
      </c>
      <c r="C31" s="2" t="s">
        <v>44</v>
      </c>
      <c r="D31" s="15" t="n">
        <v>141.34</v>
      </c>
      <c r="E31" s="15" t="n">
        <v>154.45</v>
      </c>
      <c r="F31" s="15" t="n">
        <v>163.45</v>
      </c>
      <c r="G31" s="15" t="n">
        <v>173.95</v>
      </c>
      <c r="H31" s="15" t="n">
        <v>194.2</v>
      </c>
      <c r="I31" s="15" t="n">
        <v>219.6</v>
      </c>
      <c r="J31" s="15" t="n">
        <v>256.6</v>
      </c>
      <c r="K31" s="15" t="n">
        <v>291.6</v>
      </c>
      <c r="L31" s="15" t="n">
        <v>333.2</v>
      </c>
      <c r="M31" s="3" t="str">
        <f aca="false">A31&amp;"|"&amp;B31&amp;"|"&amp;C31</f>
        <v>25 м|Женщины|200 м брасс</v>
      </c>
    </row>
    <row r="32" customFormat="false" ht="15" hidden="false" customHeight="false" outlineLevel="0" collapsed="false">
      <c r="A32" s="2" t="s">
        <v>3</v>
      </c>
      <c r="B32" s="2" t="s">
        <v>30</v>
      </c>
      <c r="C32" s="2" t="s">
        <v>45</v>
      </c>
      <c r="D32" s="15" t="n">
        <v>25.62</v>
      </c>
      <c r="E32" s="15" t="n">
        <v>27.3</v>
      </c>
      <c r="F32" s="15" t="n">
        <v>28.45</v>
      </c>
      <c r="G32" s="15" t="n">
        <v>30.95</v>
      </c>
      <c r="H32" s="15" t="n">
        <v>33.55</v>
      </c>
      <c r="I32" s="15" t="n">
        <v>36.55</v>
      </c>
      <c r="J32" s="15" t="n">
        <v>43.55</v>
      </c>
      <c r="K32" s="15" t="n">
        <v>53.55</v>
      </c>
      <c r="L32" s="15" t="n">
        <v>63.55</v>
      </c>
      <c r="M32" s="3" t="str">
        <f aca="false">A32&amp;"|"&amp;B32&amp;"|"&amp;C32</f>
        <v>25 м|Женщины|50 м баттерфляй</v>
      </c>
    </row>
    <row r="33" customFormat="false" ht="15" hidden="false" customHeight="false" outlineLevel="0" collapsed="false">
      <c r="A33" s="2" t="s">
        <v>3</v>
      </c>
      <c r="B33" s="2" t="s">
        <v>30</v>
      </c>
      <c r="C33" s="2" t="s">
        <v>46</v>
      </c>
      <c r="D33" s="15" t="n">
        <v>57.16</v>
      </c>
      <c r="E33" s="15" t="n">
        <v>61.5</v>
      </c>
      <c r="F33" s="15" t="n">
        <v>65</v>
      </c>
      <c r="G33" s="15" t="n">
        <v>69.5</v>
      </c>
      <c r="H33" s="15" t="n">
        <v>79.1</v>
      </c>
      <c r="I33" s="15" t="n">
        <v>90.1</v>
      </c>
      <c r="J33" s="15" t="n">
        <v>102.1</v>
      </c>
      <c r="K33" s="15" t="n">
        <v>121.1</v>
      </c>
      <c r="L33" s="15" t="n">
        <v>141.1</v>
      </c>
      <c r="M33" s="3" t="str">
        <f aca="false">A33&amp;"|"&amp;B33&amp;"|"&amp;C33</f>
        <v>25 м|Женщины|100 м баттерфляй</v>
      </c>
    </row>
    <row r="34" customFormat="false" ht="15" hidden="false" customHeight="false" outlineLevel="0" collapsed="false">
      <c r="A34" s="2" t="s">
        <v>3</v>
      </c>
      <c r="B34" s="2" t="s">
        <v>30</v>
      </c>
      <c r="C34" s="2" t="s">
        <v>47</v>
      </c>
      <c r="D34" s="15" t="n">
        <v>127.15</v>
      </c>
      <c r="E34" s="15" t="n">
        <v>136.95</v>
      </c>
      <c r="F34" s="15" t="n">
        <v>144.45</v>
      </c>
      <c r="G34" s="15" t="n">
        <v>154.45</v>
      </c>
      <c r="H34" s="15" t="n">
        <v>175.2</v>
      </c>
      <c r="I34" s="15" t="n">
        <v>198.2</v>
      </c>
      <c r="J34" s="15" t="n">
        <v>225.2</v>
      </c>
      <c r="K34" s="15" t="n">
        <v>261.2</v>
      </c>
      <c r="L34" s="15" t="n">
        <v>301.2</v>
      </c>
      <c r="M34" s="3" t="str">
        <f aca="false">A34&amp;"|"&amp;B34&amp;"|"&amp;C34</f>
        <v>25 м|Женщины|200 м баттерфляй</v>
      </c>
    </row>
    <row r="35" customFormat="false" ht="15" hidden="false" customHeight="false" outlineLevel="0" collapsed="false">
      <c r="A35" s="2" t="s">
        <v>3</v>
      </c>
      <c r="B35" s="2" t="s">
        <v>30</v>
      </c>
      <c r="C35" s="2" t="s">
        <v>48</v>
      </c>
      <c r="D35" s="15" t="n">
        <v>59.56</v>
      </c>
      <c r="E35" s="15" t="n">
        <v>64.5</v>
      </c>
      <c r="F35" s="15" t="n">
        <v>69.5</v>
      </c>
      <c r="G35" s="15" t="n">
        <v>74.5</v>
      </c>
      <c r="H35" s="15" t="n">
        <v>83.6</v>
      </c>
      <c r="I35" s="15" t="n">
        <v>94.6</v>
      </c>
      <c r="J35" s="15" t="n">
        <v>106.6</v>
      </c>
      <c r="K35" s="15" t="n">
        <v>125.6</v>
      </c>
      <c r="L35" s="15" t="n">
        <v>165.6</v>
      </c>
      <c r="M35" s="3" t="str">
        <f aca="false">A35&amp;"|"&amp;B35&amp;"|"&amp;C35</f>
        <v>25 м|Женщины|100 м комплекс</v>
      </c>
    </row>
    <row r="36" customFormat="false" ht="15" hidden="false" customHeight="false" outlineLevel="0" collapsed="false">
      <c r="A36" s="2" t="s">
        <v>3</v>
      </c>
      <c r="B36" s="2" t="s">
        <v>30</v>
      </c>
      <c r="C36" s="2" t="s">
        <v>31</v>
      </c>
      <c r="D36" s="15" t="n">
        <v>128.11</v>
      </c>
      <c r="E36" s="15" t="n">
        <v>140.95</v>
      </c>
      <c r="F36" s="15" t="n">
        <v>149.45</v>
      </c>
      <c r="G36" s="15" t="n">
        <v>158.95</v>
      </c>
      <c r="H36" s="15" t="n">
        <v>179.2</v>
      </c>
      <c r="I36" s="15" t="n">
        <v>205.2</v>
      </c>
      <c r="J36" s="15" t="n">
        <v>234.2</v>
      </c>
      <c r="K36" s="15" t="n">
        <v>270.2</v>
      </c>
      <c r="L36" s="15" t="n">
        <v>310.2</v>
      </c>
      <c r="M36" s="3" t="str">
        <f aca="false">A36&amp;"|"&amp;B36&amp;"|"&amp;C36</f>
        <v>25 м|Женщины|200 м комплекс</v>
      </c>
    </row>
    <row r="37" customFormat="false" ht="15" hidden="false" customHeight="false" outlineLevel="0" collapsed="false">
      <c r="A37" s="2" t="s">
        <v>3</v>
      </c>
      <c r="B37" s="2" t="s">
        <v>30</v>
      </c>
      <c r="C37" s="2" t="s">
        <v>49</v>
      </c>
      <c r="D37" s="15" t="n">
        <v>275.03</v>
      </c>
      <c r="E37" s="15" t="n">
        <v>298</v>
      </c>
      <c r="F37" s="15" t="n">
        <v>315.5</v>
      </c>
      <c r="G37" s="15" t="n">
        <v>337</v>
      </c>
      <c r="H37" s="15" t="n">
        <v>381</v>
      </c>
      <c r="I37" s="15" t="n">
        <v>434</v>
      </c>
      <c r="J37" s="15" t="n">
        <v>495</v>
      </c>
      <c r="K37" s="15" t="n">
        <v>566</v>
      </c>
      <c r="L37" s="15" t="n">
        <v>637</v>
      </c>
      <c r="M37" s="3" t="str">
        <f aca="false">A37&amp;"|"&amp;B37&amp;"|"&amp;C37</f>
        <v>25 м|Женщины|400 м комплекс</v>
      </c>
    </row>
    <row r="38" customFormat="false" ht="15" hidden="false" customHeight="false" outlineLevel="0" collapsed="false">
      <c r="A38" s="2" t="s">
        <v>29</v>
      </c>
      <c r="B38" s="2" t="s">
        <v>5</v>
      </c>
      <c r="C38" s="2" t="s">
        <v>34</v>
      </c>
      <c r="D38" s="15" t="n">
        <v>21.91</v>
      </c>
      <c r="E38" s="15" t="n">
        <v>23.2</v>
      </c>
      <c r="F38" s="15" t="n">
        <v>23.95</v>
      </c>
      <c r="G38" s="15" t="n">
        <v>25.2</v>
      </c>
      <c r="H38" s="15" t="n">
        <v>27.6</v>
      </c>
      <c r="I38" s="15" t="n">
        <v>29.8</v>
      </c>
      <c r="J38" s="15" t="n">
        <v>35.8</v>
      </c>
      <c r="K38" s="15" t="n">
        <v>45.8</v>
      </c>
      <c r="L38" s="15" t="n">
        <v>55.8</v>
      </c>
      <c r="M38" s="3" t="str">
        <f aca="false">A38&amp;"|"&amp;B38&amp;"|"&amp;C38</f>
        <v>50 м|Мужчины|50 м вольный стиль</v>
      </c>
    </row>
    <row r="39" customFormat="false" ht="15" hidden="false" customHeight="false" outlineLevel="0" collapsed="false">
      <c r="A39" s="2" t="s">
        <v>29</v>
      </c>
      <c r="B39" s="2" t="s">
        <v>5</v>
      </c>
      <c r="C39" s="2" t="s">
        <v>7</v>
      </c>
      <c r="D39" s="15" t="n">
        <v>48.25</v>
      </c>
      <c r="E39" s="15" t="n">
        <v>51.5</v>
      </c>
      <c r="F39" s="15" t="n">
        <v>54.9</v>
      </c>
      <c r="G39" s="15" t="n">
        <v>58.3</v>
      </c>
      <c r="H39" s="15" t="n">
        <v>64.6</v>
      </c>
      <c r="I39" s="15" t="n">
        <v>72.1</v>
      </c>
      <c r="J39" s="15" t="n">
        <v>84.6</v>
      </c>
      <c r="K39" s="15" t="n">
        <v>104.6</v>
      </c>
      <c r="L39" s="15" t="n">
        <v>124.6</v>
      </c>
      <c r="M39" s="3" t="str">
        <f aca="false">A39&amp;"|"&amp;B39&amp;"|"&amp;C39</f>
        <v>50 м|Мужчины|100 м вольный стиль</v>
      </c>
    </row>
    <row r="40" customFormat="false" ht="15" hidden="false" customHeight="false" outlineLevel="0" collapsed="false">
      <c r="A40" s="2" t="s">
        <v>29</v>
      </c>
      <c r="B40" s="2" t="s">
        <v>5</v>
      </c>
      <c r="C40" s="2" t="s">
        <v>35</v>
      </c>
      <c r="D40" s="15" t="n">
        <v>106.5</v>
      </c>
      <c r="E40" s="15" t="n">
        <v>113.95</v>
      </c>
      <c r="F40" s="15" t="n">
        <v>120.65</v>
      </c>
      <c r="G40" s="15" t="n">
        <v>128.95</v>
      </c>
      <c r="H40" s="15" t="n">
        <v>143.2</v>
      </c>
      <c r="I40" s="15" t="n">
        <v>161.7</v>
      </c>
      <c r="J40" s="15" t="n">
        <v>187.2</v>
      </c>
      <c r="K40" s="15" t="n">
        <v>227.2</v>
      </c>
      <c r="L40" s="15" t="n">
        <v>267.2</v>
      </c>
      <c r="M40" s="3" t="str">
        <f aca="false">A40&amp;"|"&amp;B40&amp;"|"&amp;C40</f>
        <v>50 м|Мужчины|200 м вольный стиль</v>
      </c>
    </row>
    <row r="41" customFormat="false" ht="15" hidden="false" customHeight="false" outlineLevel="0" collapsed="false">
      <c r="A41" s="2" t="s">
        <v>29</v>
      </c>
      <c r="B41" s="2" t="s">
        <v>5</v>
      </c>
      <c r="C41" s="2" t="s">
        <v>36</v>
      </c>
      <c r="D41" s="15" t="n">
        <v>227.71</v>
      </c>
      <c r="E41" s="15" t="n">
        <v>242</v>
      </c>
      <c r="F41" s="15" t="n">
        <v>254.5</v>
      </c>
      <c r="G41" s="15" t="n">
        <v>271</v>
      </c>
      <c r="H41" s="15" t="n">
        <v>306</v>
      </c>
      <c r="I41" s="15" t="n">
        <v>347</v>
      </c>
      <c r="J41" s="15" t="n">
        <v>403</v>
      </c>
      <c r="K41" s="15" t="n">
        <v>459</v>
      </c>
      <c r="L41" s="15" t="n">
        <v>515</v>
      </c>
      <c r="M41" s="3" t="str">
        <f aca="false">A41&amp;"|"&amp;B41&amp;"|"&amp;C41</f>
        <v>50 м|Мужчины|400 м вольный стиль</v>
      </c>
    </row>
    <row r="42" customFormat="false" ht="15" hidden="false" customHeight="false" outlineLevel="0" collapsed="false">
      <c r="A42" s="2" t="s">
        <v>29</v>
      </c>
      <c r="B42" s="2" t="s">
        <v>5</v>
      </c>
      <c r="C42" s="2" t="s">
        <v>37</v>
      </c>
      <c r="D42" s="15" t="n">
        <v>472.6</v>
      </c>
      <c r="E42" s="15" t="n">
        <v>505</v>
      </c>
      <c r="F42" s="15" t="n">
        <v>538</v>
      </c>
      <c r="G42" s="15" t="n">
        <v>577</v>
      </c>
      <c r="H42" s="15" t="n">
        <v>674</v>
      </c>
      <c r="I42" s="15" t="n">
        <v>756</v>
      </c>
      <c r="J42" s="15" t="n">
        <v>878</v>
      </c>
      <c r="K42" s="15" t="n">
        <v>998</v>
      </c>
      <c r="L42" s="15" t="n">
        <v>1118</v>
      </c>
      <c r="M42" s="3" t="str">
        <f aca="false">A42&amp;"|"&amp;B42&amp;"|"&amp;C42</f>
        <v>50 м|Мужчины|800 м вольный стиль</v>
      </c>
    </row>
    <row r="43" customFormat="false" ht="15" hidden="false" customHeight="false" outlineLevel="0" collapsed="false">
      <c r="A43" s="2" t="s">
        <v>29</v>
      </c>
      <c r="B43" s="2" t="s">
        <v>5</v>
      </c>
      <c r="C43" s="2" t="s">
        <v>38</v>
      </c>
      <c r="D43" s="15" t="n">
        <v>906.19</v>
      </c>
      <c r="E43" s="15" t="n">
        <v>951</v>
      </c>
      <c r="F43" s="15" t="n">
        <v>1049</v>
      </c>
      <c r="G43" s="15" t="n">
        <v>1109</v>
      </c>
      <c r="H43" s="15" t="n">
        <v>1250</v>
      </c>
      <c r="I43" s="15" t="n">
        <v>1430</v>
      </c>
      <c r="J43" s="15" t="n">
        <v>1672</v>
      </c>
      <c r="K43" s="15" t="n">
        <v>1912.5</v>
      </c>
      <c r="L43" s="15" t="n">
        <v>2152.5</v>
      </c>
      <c r="M43" s="3" t="str">
        <f aca="false">A43&amp;"|"&amp;B43&amp;"|"&amp;C43</f>
        <v>50 м|Мужчины|1500 м вольный стиль</v>
      </c>
    </row>
    <row r="44" customFormat="false" ht="15" hidden="false" customHeight="false" outlineLevel="0" collapsed="false">
      <c r="A44" s="2" t="s">
        <v>29</v>
      </c>
      <c r="B44" s="2" t="s">
        <v>5</v>
      </c>
      <c r="C44" s="2" t="s">
        <v>39</v>
      </c>
      <c r="D44" s="15" t="n">
        <v>24.85</v>
      </c>
      <c r="E44" s="15" t="n">
        <v>26.65</v>
      </c>
      <c r="F44" s="15" t="n">
        <v>28.15</v>
      </c>
      <c r="G44" s="15" t="n">
        <v>29.95</v>
      </c>
      <c r="H44" s="15" t="n">
        <v>32.8</v>
      </c>
      <c r="I44" s="15" t="n">
        <v>36.3</v>
      </c>
      <c r="J44" s="15" t="n">
        <v>42.3</v>
      </c>
      <c r="K44" s="15" t="n">
        <v>52.3</v>
      </c>
      <c r="L44" s="15" t="n">
        <v>62.3</v>
      </c>
      <c r="M44" s="3" t="str">
        <f aca="false">A44&amp;"|"&amp;B44&amp;"|"&amp;C44</f>
        <v>50 м|Мужчины|50 м на спине</v>
      </c>
    </row>
    <row r="45" customFormat="false" ht="15" hidden="false" customHeight="false" outlineLevel="0" collapsed="false">
      <c r="A45" s="2" t="s">
        <v>29</v>
      </c>
      <c r="B45" s="2" t="s">
        <v>5</v>
      </c>
      <c r="C45" s="2" t="s">
        <v>40</v>
      </c>
      <c r="D45" s="15" t="n">
        <v>53.72</v>
      </c>
      <c r="E45" s="15" t="n">
        <v>58.5</v>
      </c>
      <c r="F45" s="15" t="n">
        <v>62</v>
      </c>
      <c r="G45" s="15" t="n">
        <v>66</v>
      </c>
      <c r="H45" s="15" t="n">
        <v>74.1</v>
      </c>
      <c r="I45" s="15" t="n">
        <v>82.6</v>
      </c>
      <c r="J45" s="15" t="n">
        <v>95.1</v>
      </c>
      <c r="K45" s="15" t="n">
        <v>117.6</v>
      </c>
      <c r="L45" s="15" t="n">
        <v>137.6</v>
      </c>
      <c r="M45" s="3" t="str">
        <f aca="false">A45&amp;"|"&amp;B45&amp;"|"&amp;C45</f>
        <v>50 м|Мужчины|100 м на спине</v>
      </c>
    </row>
    <row r="46" customFormat="false" ht="15" hidden="false" customHeight="false" outlineLevel="0" collapsed="false">
      <c r="A46" s="2" t="s">
        <v>29</v>
      </c>
      <c r="B46" s="2" t="s">
        <v>5</v>
      </c>
      <c r="C46" s="2" t="s">
        <v>41</v>
      </c>
      <c r="D46" s="15" t="n">
        <v>117.3</v>
      </c>
      <c r="E46" s="15" t="n">
        <v>127.75</v>
      </c>
      <c r="F46" s="15" t="n">
        <v>135.45</v>
      </c>
      <c r="G46" s="15" t="n">
        <v>142.45</v>
      </c>
      <c r="H46" s="15" t="n">
        <v>158.2</v>
      </c>
      <c r="I46" s="15" t="n">
        <v>179.2</v>
      </c>
      <c r="J46" s="15" t="n">
        <v>207.2</v>
      </c>
      <c r="K46" s="15" t="n">
        <v>253.2</v>
      </c>
      <c r="L46" s="15" t="n">
        <v>293.2</v>
      </c>
      <c r="M46" s="3" t="str">
        <f aca="false">A46&amp;"|"&amp;B46&amp;"|"&amp;C46</f>
        <v>50 м|Мужчины|200 м на спине</v>
      </c>
    </row>
    <row r="47" customFormat="false" ht="15" hidden="false" customHeight="false" outlineLevel="0" collapsed="false">
      <c r="A47" s="2" t="s">
        <v>29</v>
      </c>
      <c r="B47" s="2" t="s">
        <v>5</v>
      </c>
      <c r="C47" s="2" t="s">
        <v>42</v>
      </c>
      <c r="D47" s="15" t="n">
        <v>27.22</v>
      </c>
      <c r="E47" s="15" t="n">
        <v>29</v>
      </c>
      <c r="F47" s="15" t="n">
        <v>30.5</v>
      </c>
      <c r="G47" s="15" t="n">
        <v>32.4</v>
      </c>
      <c r="H47" s="15" t="n">
        <v>35.8</v>
      </c>
      <c r="I47" s="15" t="n">
        <v>39.3</v>
      </c>
      <c r="J47" s="15" t="n">
        <v>45.8</v>
      </c>
      <c r="K47" s="15" t="n">
        <v>55.8</v>
      </c>
      <c r="L47" s="15" t="n">
        <v>65.8</v>
      </c>
      <c r="M47" s="3" t="str">
        <f aca="false">A47&amp;"|"&amp;B47&amp;"|"&amp;C47</f>
        <v>50 м|Мужчины|50 м брасс</v>
      </c>
    </row>
    <row r="48" customFormat="false" ht="15" hidden="false" customHeight="false" outlineLevel="0" collapsed="false">
      <c r="A48" s="2" t="s">
        <v>29</v>
      </c>
      <c r="B48" s="2" t="s">
        <v>5</v>
      </c>
      <c r="C48" s="2" t="s">
        <v>43</v>
      </c>
      <c r="D48" s="15" t="n">
        <v>59.91</v>
      </c>
      <c r="E48" s="15" t="n">
        <v>64.5</v>
      </c>
      <c r="F48" s="15" t="n">
        <v>68.5</v>
      </c>
      <c r="G48" s="15" t="n">
        <v>73</v>
      </c>
      <c r="H48" s="15" t="n">
        <v>81.6</v>
      </c>
      <c r="I48" s="15" t="n">
        <v>89.6</v>
      </c>
      <c r="J48" s="15" t="n">
        <v>105.6</v>
      </c>
      <c r="K48" s="15" t="n">
        <v>124.6</v>
      </c>
      <c r="L48" s="15" t="n">
        <v>144.6</v>
      </c>
      <c r="M48" s="3" t="str">
        <f aca="false">A48&amp;"|"&amp;B48&amp;"|"&amp;C48</f>
        <v>50 м|Мужчины|100 м брасс</v>
      </c>
    </row>
    <row r="49" customFormat="false" ht="15" hidden="false" customHeight="false" outlineLevel="0" collapsed="false">
      <c r="A49" s="2" t="s">
        <v>29</v>
      </c>
      <c r="B49" s="2" t="s">
        <v>5</v>
      </c>
      <c r="C49" s="2" t="s">
        <v>44</v>
      </c>
      <c r="D49" s="15" t="n">
        <v>129.97</v>
      </c>
      <c r="E49" s="15" t="n">
        <v>141.45</v>
      </c>
      <c r="F49" s="15" t="n">
        <v>149.45</v>
      </c>
      <c r="G49" s="15" t="n">
        <v>159.45</v>
      </c>
      <c r="H49" s="15" t="n">
        <v>178.7</v>
      </c>
      <c r="I49" s="15" t="n">
        <v>201.7</v>
      </c>
      <c r="J49" s="15" t="n">
        <v>234.2</v>
      </c>
      <c r="K49" s="15" t="n">
        <v>267.2</v>
      </c>
      <c r="L49" s="15" t="n">
        <v>307.2</v>
      </c>
      <c r="M49" s="3" t="str">
        <f aca="false">A49&amp;"|"&amp;B49&amp;"|"&amp;C49</f>
        <v>50 м|Мужчины|200 м брасс</v>
      </c>
    </row>
    <row r="50" customFormat="false" ht="15" hidden="false" customHeight="false" outlineLevel="0" collapsed="false">
      <c r="A50" s="2" t="s">
        <v>29</v>
      </c>
      <c r="B50" s="2" t="s">
        <v>5</v>
      </c>
      <c r="C50" s="2" t="s">
        <v>45</v>
      </c>
      <c r="D50" s="15" t="n">
        <v>23.27</v>
      </c>
      <c r="E50" s="15" t="n">
        <v>24.7</v>
      </c>
      <c r="F50" s="15" t="n">
        <v>25.7</v>
      </c>
      <c r="G50" s="15" t="n">
        <v>27.7</v>
      </c>
      <c r="H50" s="15" t="n">
        <v>30.8</v>
      </c>
      <c r="I50" s="15" t="n">
        <v>33.8</v>
      </c>
      <c r="J50" s="15" t="n">
        <v>38.8</v>
      </c>
      <c r="K50" s="15" t="n">
        <v>48.8</v>
      </c>
      <c r="L50" s="15" t="n">
        <v>58.8</v>
      </c>
      <c r="M50" s="3" t="str">
        <f aca="false">A50&amp;"|"&amp;B50&amp;"|"&amp;C50</f>
        <v>50 м|Мужчины|50 м баттерфляй</v>
      </c>
    </row>
    <row r="51" customFormat="false" ht="15" hidden="false" customHeight="false" outlineLevel="0" collapsed="false">
      <c r="A51" s="2" t="s">
        <v>29</v>
      </c>
      <c r="B51" s="2" t="s">
        <v>5</v>
      </c>
      <c r="C51" s="2" t="s">
        <v>46</v>
      </c>
      <c r="D51" s="15" t="n">
        <v>51.62</v>
      </c>
      <c r="E51" s="15" t="n">
        <v>55.5</v>
      </c>
      <c r="F51" s="15" t="n">
        <v>59.5</v>
      </c>
      <c r="G51" s="15" t="n">
        <v>63</v>
      </c>
      <c r="H51" s="15" t="n">
        <v>71.6</v>
      </c>
      <c r="I51" s="15" t="n">
        <v>81.6</v>
      </c>
      <c r="J51" s="15" t="n">
        <v>91.6</v>
      </c>
      <c r="K51" s="15" t="n">
        <v>110.6</v>
      </c>
      <c r="L51" s="15" t="n">
        <v>130.6</v>
      </c>
      <c r="M51" s="3" t="str">
        <f aca="false">A51&amp;"|"&amp;B51&amp;"|"&amp;C51</f>
        <v>50 м|Мужчины|100 м баттерфляй</v>
      </c>
    </row>
    <row r="52" customFormat="false" ht="15" hidden="false" customHeight="false" outlineLevel="0" collapsed="false">
      <c r="A52" s="2" t="s">
        <v>29</v>
      </c>
      <c r="B52" s="2" t="s">
        <v>5</v>
      </c>
      <c r="C52" s="2" t="s">
        <v>47</v>
      </c>
      <c r="D52" s="15" t="n">
        <v>116.23</v>
      </c>
      <c r="E52" s="15" t="n">
        <v>125.95</v>
      </c>
      <c r="F52" s="15" t="n">
        <v>133.95</v>
      </c>
      <c r="G52" s="15" t="n">
        <v>140.95</v>
      </c>
      <c r="H52" s="15" t="n">
        <v>159.7</v>
      </c>
      <c r="I52" s="15" t="n">
        <v>180.2</v>
      </c>
      <c r="J52" s="15" t="n">
        <v>204.2</v>
      </c>
      <c r="K52" s="15" t="n">
        <v>239.2</v>
      </c>
      <c r="L52" s="15" t="n">
        <v>279.2</v>
      </c>
      <c r="M52" s="3" t="str">
        <f aca="false">A52&amp;"|"&amp;B52&amp;"|"&amp;C52</f>
        <v>50 м|Мужчины|200 м баттерфляй</v>
      </c>
    </row>
    <row r="53" customFormat="false" ht="15" hidden="false" customHeight="false" outlineLevel="0" collapsed="false">
      <c r="A53" s="2" t="s">
        <v>29</v>
      </c>
      <c r="B53" s="2" t="s">
        <v>5</v>
      </c>
      <c r="C53" s="2" t="s">
        <v>31</v>
      </c>
      <c r="D53" s="15" t="n">
        <v>118.59</v>
      </c>
      <c r="E53" s="15" t="n">
        <v>129.75</v>
      </c>
      <c r="F53" s="15" t="n">
        <v>137.25</v>
      </c>
      <c r="G53" s="15" t="n">
        <v>145.75</v>
      </c>
      <c r="H53" s="15" t="n">
        <v>164</v>
      </c>
      <c r="I53" s="15" t="n">
        <v>188</v>
      </c>
      <c r="J53" s="15" t="n">
        <v>213</v>
      </c>
      <c r="K53" s="15" t="n">
        <v>248</v>
      </c>
      <c r="L53" s="15" t="n">
        <v>288</v>
      </c>
      <c r="M53" s="3" t="str">
        <f aca="false">A53&amp;"|"&amp;B53&amp;"|"&amp;C53</f>
        <v>50 м|Мужчины|200 м комплекс</v>
      </c>
    </row>
    <row r="54" customFormat="false" ht="15" hidden="false" customHeight="false" outlineLevel="0" collapsed="false">
      <c r="A54" s="2" t="s">
        <v>29</v>
      </c>
      <c r="B54" s="2" t="s">
        <v>5</v>
      </c>
      <c r="C54" s="2" t="s">
        <v>49</v>
      </c>
      <c r="D54" s="15" t="n">
        <v>253.76</v>
      </c>
      <c r="E54" s="15" t="n">
        <v>274</v>
      </c>
      <c r="F54" s="15" t="n">
        <v>288</v>
      </c>
      <c r="G54" s="15" t="n">
        <v>307</v>
      </c>
      <c r="H54" s="15" t="n">
        <v>348</v>
      </c>
      <c r="I54" s="15" t="n">
        <v>397</v>
      </c>
      <c r="J54" s="15" t="n">
        <v>452</v>
      </c>
      <c r="K54" s="15" t="n">
        <v>508</v>
      </c>
      <c r="L54" s="15" t="n">
        <v>564</v>
      </c>
      <c r="M54" s="3" t="str">
        <f aca="false">A54&amp;"|"&amp;B54&amp;"|"&amp;C54</f>
        <v>50 м|Мужчины|400 м комплекс</v>
      </c>
    </row>
    <row r="55" customFormat="false" ht="15" hidden="false" customHeight="false" outlineLevel="0" collapsed="false">
      <c r="A55" s="2" t="s">
        <v>29</v>
      </c>
      <c r="B55" s="2" t="s">
        <v>30</v>
      </c>
      <c r="C55" s="2" t="s">
        <v>34</v>
      </c>
      <c r="D55" s="15" t="n">
        <v>24.82</v>
      </c>
      <c r="E55" s="15" t="n">
        <v>26.5</v>
      </c>
      <c r="F55" s="15" t="n">
        <v>27.3</v>
      </c>
      <c r="G55" s="15" t="n">
        <v>28.6</v>
      </c>
      <c r="H55" s="15" t="n">
        <v>31.3</v>
      </c>
      <c r="I55" s="15" t="n">
        <v>33.3</v>
      </c>
      <c r="J55" s="15" t="n">
        <v>40.3</v>
      </c>
      <c r="K55" s="15" t="n">
        <v>50.3</v>
      </c>
      <c r="L55" s="15" t="n">
        <v>59.8</v>
      </c>
      <c r="M55" s="3" t="str">
        <f aca="false">A55&amp;"|"&amp;B55&amp;"|"&amp;C55</f>
        <v>50 м|Женщины|50 м вольный стиль</v>
      </c>
    </row>
    <row r="56" customFormat="false" ht="15" hidden="false" customHeight="false" outlineLevel="0" collapsed="false">
      <c r="A56" s="2" t="s">
        <v>29</v>
      </c>
      <c r="B56" s="2" t="s">
        <v>30</v>
      </c>
      <c r="C56" s="2" t="s">
        <v>7</v>
      </c>
      <c r="D56" s="15" t="n">
        <v>53.99</v>
      </c>
      <c r="E56" s="15" t="n">
        <v>57.5</v>
      </c>
      <c r="F56" s="15" t="n">
        <v>61.5</v>
      </c>
      <c r="G56" s="15" t="n">
        <v>65.34</v>
      </c>
      <c r="H56" s="15" t="n">
        <v>72.9</v>
      </c>
      <c r="I56" s="15" t="n">
        <v>80.6</v>
      </c>
      <c r="J56" s="15" t="n">
        <v>94.6</v>
      </c>
      <c r="K56" s="15" t="n">
        <v>114.6</v>
      </c>
      <c r="L56" s="15" t="n">
        <v>133.6</v>
      </c>
      <c r="M56" s="3" t="str">
        <f aca="false">A56&amp;"|"&amp;B56&amp;"|"&amp;C56</f>
        <v>50 м|Женщины|100 м вольный стиль</v>
      </c>
    </row>
    <row r="57" customFormat="false" ht="15" hidden="false" customHeight="false" outlineLevel="0" collapsed="false">
      <c r="A57" s="2" t="s">
        <v>29</v>
      </c>
      <c r="B57" s="2" t="s">
        <v>30</v>
      </c>
      <c r="C57" s="2" t="s">
        <v>35</v>
      </c>
      <c r="D57" s="15" t="n">
        <v>116.9</v>
      </c>
      <c r="E57" s="15" t="n">
        <v>126.45</v>
      </c>
      <c r="F57" s="15" t="n">
        <v>134.76</v>
      </c>
      <c r="G57" s="15" t="n">
        <v>143.45</v>
      </c>
      <c r="H57" s="15" t="n">
        <v>158.2</v>
      </c>
      <c r="I57" s="15" t="n">
        <v>177.2</v>
      </c>
      <c r="J57" s="15" t="n">
        <v>208.2</v>
      </c>
      <c r="K57" s="15" t="n">
        <v>248.2</v>
      </c>
      <c r="L57" s="15" t="n">
        <v>286.2</v>
      </c>
      <c r="M57" s="3" t="str">
        <f aca="false">A57&amp;"|"&amp;B57&amp;"|"&amp;C57</f>
        <v>50 м|Женщины|200 м вольный стиль</v>
      </c>
    </row>
    <row r="58" customFormat="false" ht="15" hidden="false" customHeight="false" outlineLevel="0" collapsed="false">
      <c r="A58" s="2" t="s">
        <v>29</v>
      </c>
      <c r="B58" s="2" t="s">
        <v>30</v>
      </c>
      <c r="C58" s="2" t="s">
        <v>36</v>
      </c>
      <c r="D58" s="15" t="n">
        <v>248.04</v>
      </c>
      <c r="E58" s="15" t="n">
        <v>266</v>
      </c>
      <c r="F58" s="15" t="n">
        <v>281</v>
      </c>
      <c r="G58" s="15" t="n">
        <v>299</v>
      </c>
      <c r="H58" s="15" t="n">
        <v>340</v>
      </c>
      <c r="I58" s="15" t="n">
        <v>384</v>
      </c>
      <c r="J58" s="15" t="n">
        <v>455</v>
      </c>
      <c r="K58" s="15" t="n">
        <v>526</v>
      </c>
      <c r="L58" s="15" t="n">
        <v>597</v>
      </c>
      <c r="M58" s="3" t="str">
        <f aca="false">A58&amp;"|"&amp;B58&amp;"|"&amp;C58</f>
        <v>50 м|Женщины|400 м вольный стиль</v>
      </c>
    </row>
    <row r="59" customFormat="false" ht="15" hidden="false" customHeight="false" outlineLevel="0" collapsed="false">
      <c r="A59" s="2" t="s">
        <v>29</v>
      </c>
      <c r="B59" s="2" t="s">
        <v>30</v>
      </c>
      <c r="C59" s="2" t="s">
        <v>37</v>
      </c>
      <c r="D59" s="15" t="n">
        <v>511.12</v>
      </c>
      <c r="E59" s="15" t="n">
        <v>548</v>
      </c>
      <c r="F59" s="15" t="n">
        <v>582</v>
      </c>
      <c r="G59" s="15" t="n">
        <v>623</v>
      </c>
      <c r="H59" s="15" t="n">
        <v>714</v>
      </c>
      <c r="I59" s="15" t="n">
        <v>807</v>
      </c>
      <c r="J59" s="15" t="n">
        <v>972</v>
      </c>
      <c r="K59" s="15" t="n">
        <v>1122</v>
      </c>
      <c r="L59" s="15" t="n">
        <v>1272</v>
      </c>
      <c r="M59" s="3" t="str">
        <f aca="false">A59&amp;"|"&amp;B59&amp;"|"&amp;C59</f>
        <v>50 м|Женщины|800 м вольный стиль</v>
      </c>
    </row>
    <row r="60" customFormat="false" ht="15" hidden="false" customHeight="false" outlineLevel="0" collapsed="false">
      <c r="A60" s="2" t="s">
        <v>29</v>
      </c>
      <c r="B60" s="2" t="s">
        <v>30</v>
      </c>
      <c r="C60" s="2" t="s">
        <v>38</v>
      </c>
      <c r="D60" s="15" t="n">
        <v>980.88</v>
      </c>
      <c r="E60" s="15" t="n">
        <v>1055</v>
      </c>
      <c r="F60" s="15" t="n">
        <v>1124</v>
      </c>
      <c r="G60" s="15" t="n">
        <v>1227</v>
      </c>
      <c r="H60" s="15" t="n">
        <v>1377</v>
      </c>
      <c r="I60" s="15" t="n">
        <v>1580</v>
      </c>
      <c r="J60" s="15" t="n">
        <v>1827.5</v>
      </c>
      <c r="K60" s="15" t="n">
        <v>2072.5</v>
      </c>
      <c r="L60" s="15" t="n">
        <v>2322.5</v>
      </c>
      <c r="M60" s="3" t="str">
        <f aca="false">A60&amp;"|"&amp;B60&amp;"|"&amp;C60</f>
        <v>50 м|Женщины|1500 м вольный стиль</v>
      </c>
    </row>
    <row r="61" customFormat="false" ht="15" hidden="false" customHeight="false" outlineLevel="0" collapsed="false">
      <c r="A61" s="2" t="s">
        <v>29</v>
      </c>
      <c r="B61" s="2" t="s">
        <v>30</v>
      </c>
      <c r="C61" s="2" t="s">
        <v>39</v>
      </c>
      <c r="D61" s="15" t="n">
        <v>28.05</v>
      </c>
      <c r="E61" s="15" t="n">
        <v>29</v>
      </c>
      <c r="F61" s="15" t="n">
        <v>30.7</v>
      </c>
      <c r="G61" s="15" t="n">
        <v>32.3</v>
      </c>
      <c r="H61" s="15" t="n">
        <v>37.3</v>
      </c>
      <c r="I61" s="15" t="n">
        <v>41.3</v>
      </c>
      <c r="J61" s="15" t="n">
        <v>47.8</v>
      </c>
      <c r="K61" s="15" t="n">
        <v>57.8</v>
      </c>
      <c r="L61" s="15" t="n">
        <v>67.8</v>
      </c>
      <c r="M61" s="3" t="str">
        <f aca="false">A61&amp;"|"&amp;B61&amp;"|"&amp;C61</f>
        <v>50 м|Женщины|50 м на спине</v>
      </c>
    </row>
    <row r="62" customFormat="false" ht="15" hidden="false" customHeight="false" outlineLevel="0" collapsed="false">
      <c r="A62" s="2" t="s">
        <v>29</v>
      </c>
      <c r="B62" s="2" t="s">
        <v>30</v>
      </c>
      <c r="C62" s="2" t="s">
        <v>40</v>
      </c>
      <c r="D62" s="15" t="n">
        <v>59.8</v>
      </c>
      <c r="E62" s="15" t="n">
        <v>66</v>
      </c>
      <c r="F62" s="15" t="n">
        <v>70</v>
      </c>
      <c r="G62" s="15" t="n">
        <v>74.5</v>
      </c>
      <c r="H62" s="15" t="n">
        <v>82.6</v>
      </c>
      <c r="I62" s="15" t="n">
        <v>92.6</v>
      </c>
      <c r="J62" s="15" t="n">
        <v>106.6</v>
      </c>
      <c r="K62" s="15" t="n">
        <v>129.6</v>
      </c>
      <c r="L62" s="15" t="n">
        <v>149.6</v>
      </c>
      <c r="M62" s="3" t="str">
        <f aca="false">A62&amp;"|"&amp;B62&amp;"|"&amp;C62</f>
        <v>50 м|Женщины|100 м на спине</v>
      </c>
    </row>
    <row r="63" customFormat="false" ht="15" hidden="false" customHeight="false" outlineLevel="0" collapsed="false">
      <c r="A63" s="2" t="s">
        <v>29</v>
      </c>
      <c r="B63" s="2" t="s">
        <v>30</v>
      </c>
      <c r="C63" s="2" t="s">
        <v>41</v>
      </c>
      <c r="D63" s="15" t="n">
        <v>129.77</v>
      </c>
      <c r="E63" s="15" t="n">
        <v>140.95</v>
      </c>
      <c r="F63" s="15" t="n">
        <v>148.95</v>
      </c>
      <c r="G63" s="15" t="n">
        <v>157.95</v>
      </c>
      <c r="H63" s="15" t="n">
        <v>177.2</v>
      </c>
      <c r="I63" s="15" t="n">
        <v>199.2</v>
      </c>
      <c r="J63" s="15" t="n">
        <v>233.2</v>
      </c>
      <c r="K63" s="15" t="n">
        <v>278.2</v>
      </c>
      <c r="L63" s="15" t="n">
        <v>318</v>
      </c>
      <c r="M63" s="3" t="str">
        <f aca="false">A63&amp;"|"&amp;B63&amp;"|"&amp;C63</f>
        <v>50 м|Женщины|200 м на спине</v>
      </c>
    </row>
    <row r="64" customFormat="false" ht="15" hidden="false" customHeight="false" outlineLevel="0" collapsed="false">
      <c r="A64" s="2" t="s">
        <v>29</v>
      </c>
      <c r="B64" s="2" t="s">
        <v>30</v>
      </c>
      <c r="C64" s="2" t="s">
        <v>42</v>
      </c>
      <c r="D64" s="15" t="n">
        <v>30.77</v>
      </c>
      <c r="E64" s="15" t="n">
        <v>33.2</v>
      </c>
      <c r="F64" s="15" t="n">
        <v>35</v>
      </c>
      <c r="G64" s="15" t="n">
        <v>36.7</v>
      </c>
      <c r="H64" s="15" t="n">
        <v>40.8</v>
      </c>
      <c r="I64" s="15" t="n">
        <v>44.8</v>
      </c>
      <c r="J64" s="15" t="n">
        <v>52.3</v>
      </c>
      <c r="K64" s="15" t="n">
        <v>62.3</v>
      </c>
      <c r="L64" s="15" t="n">
        <v>72.3</v>
      </c>
      <c r="M64" s="3" t="str">
        <f aca="false">A64&amp;"|"&amp;B64&amp;"|"&amp;C64</f>
        <v>50 м|Женщины|50 м брасс</v>
      </c>
    </row>
    <row r="65" customFormat="false" ht="15" hidden="false" customHeight="false" outlineLevel="0" collapsed="false">
      <c r="A65" s="2" t="s">
        <v>29</v>
      </c>
      <c r="B65" s="2" t="s">
        <v>30</v>
      </c>
      <c r="C65" s="2" t="s">
        <v>43</v>
      </c>
      <c r="D65" s="15" t="n">
        <v>66.88</v>
      </c>
      <c r="E65" s="15" t="n">
        <v>73.5</v>
      </c>
      <c r="F65" s="15" t="n">
        <v>77.5</v>
      </c>
      <c r="G65" s="15" t="n">
        <v>82.5</v>
      </c>
      <c r="H65" s="15" t="n">
        <v>91.1</v>
      </c>
      <c r="I65" s="15" t="n">
        <v>103.1</v>
      </c>
      <c r="J65" s="15" t="n">
        <v>127.6</v>
      </c>
      <c r="K65" s="15" t="n">
        <v>137.6</v>
      </c>
      <c r="L65" s="15" t="n">
        <v>158.6</v>
      </c>
      <c r="M65" s="3" t="str">
        <f aca="false">A65&amp;"|"&amp;B65&amp;"|"&amp;C65</f>
        <v>50 м|Женщины|100 м брасс</v>
      </c>
    </row>
    <row r="66" customFormat="false" ht="15" hidden="false" customHeight="false" outlineLevel="0" collapsed="false">
      <c r="A66" s="2" t="s">
        <v>29</v>
      </c>
      <c r="B66" s="2" t="s">
        <v>30</v>
      </c>
      <c r="C66" s="2" t="s">
        <v>44</v>
      </c>
      <c r="D66" s="15" t="n">
        <v>145.24</v>
      </c>
      <c r="E66" s="15" t="n">
        <v>157.45</v>
      </c>
      <c r="F66" s="15" t="n">
        <v>166.4</v>
      </c>
      <c r="G66" s="15" t="n">
        <v>176.95</v>
      </c>
      <c r="H66" s="15" t="n">
        <v>197.2</v>
      </c>
      <c r="I66" s="15" t="n">
        <v>222.2</v>
      </c>
      <c r="J66" s="15" t="n">
        <v>259.2</v>
      </c>
      <c r="K66" s="15" t="n">
        <v>294.2</v>
      </c>
      <c r="L66" s="15" t="n">
        <v>336.2</v>
      </c>
      <c r="M66" s="3" t="str">
        <f aca="false">A66&amp;"|"&amp;B66&amp;"|"&amp;C66</f>
        <v>50 м|Женщины|200 м брасс</v>
      </c>
    </row>
    <row r="67" customFormat="false" ht="15" hidden="false" customHeight="false" outlineLevel="0" collapsed="false">
      <c r="A67" s="2" t="s">
        <v>29</v>
      </c>
      <c r="B67" s="2" t="s">
        <v>30</v>
      </c>
      <c r="C67" s="2" t="s">
        <v>45</v>
      </c>
      <c r="D67" s="15" t="n">
        <v>26.03</v>
      </c>
      <c r="E67" s="15" t="n">
        <v>28.05</v>
      </c>
      <c r="F67" s="15" t="n">
        <v>29.2</v>
      </c>
      <c r="G67" s="15" t="n">
        <v>31.7</v>
      </c>
      <c r="H67" s="15" t="n">
        <v>34.3</v>
      </c>
      <c r="I67" s="15" t="n">
        <v>37.3</v>
      </c>
      <c r="J67" s="15" t="n">
        <v>44.3</v>
      </c>
      <c r="K67" s="15" t="n">
        <v>54.3</v>
      </c>
      <c r="L67" s="15" t="n">
        <v>64.3</v>
      </c>
      <c r="M67" s="3" t="str">
        <f aca="false">A67&amp;"|"&amp;B67&amp;"|"&amp;C67</f>
        <v>50 м|Женщины|50 м баттерфляй</v>
      </c>
    </row>
    <row r="68" customFormat="false" ht="15" hidden="false" customHeight="false" outlineLevel="0" collapsed="false">
      <c r="A68" s="2" t="s">
        <v>29</v>
      </c>
      <c r="B68" s="2" t="s">
        <v>30</v>
      </c>
      <c r="C68" s="2" t="s">
        <v>46</v>
      </c>
      <c r="D68" s="15" t="n">
        <v>58.06</v>
      </c>
      <c r="E68" s="15" t="n">
        <v>63</v>
      </c>
      <c r="F68" s="15" t="n">
        <v>66.5</v>
      </c>
      <c r="G68" s="15" t="n">
        <v>71</v>
      </c>
      <c r="H68" s="15" t="n">
        <v>80.6</v>
      </c>
      <c r="I68" s="15" t="n">
        <v>91.6</v>
      </c>
      <c r="J68" s="15" t="n">
        <v>103.6</v>
      </c>
      <c r="K68" s="15" t="n">
        <v>122.6</v>
      </c>
      <c r="L68" s="15" t="n">
        <v>142.6</v>
      </c>
      <c r="M68" s="3" t="str">
        <f aca="false">A68&amp;"|"&amp;B68&amp;"|"&amp;C68</f>
        <v>50 м|Женщины|100 м баттерфляй</v>
      </c>
    </row>
    <row r="69" customFormat="false" ht="15" hidden="false" customHeight="false" outlineLevel="0" collapsed="false">
      <c r="A69" s="2" t="s">
        <v>29</v>
      </c>
      <c r="B69" s="2" t="s">
        <v>30</v>
      </c>
      <c r="C69" s="2" t="s">
        <v>47</v>
      </c>
      <c r="D69" s="15" t="n">
        <v>128.9</v>
      </c>
      <c r="E69" s="15" t="n">
        <v>139.95</v>
      </c>
      <c r="F69" s="15" t="n">
        <v>147.45</v>
      </c>
      <c r="G69" s="15" t="n">
        <v>157.45</v>
      </c>
      <c r="H69" s="15" t="n">
        <v>178.2</v>
      </c>
      <c r="I69" s="15" t="n">
        <v>201.2</v>
      </c>
      <c r="J69" s="15" t="n">
        <v>228.2</v>
      </c>
      <c r="K69" s="15" t="n">
        <v>264.2</v>
      </c>
      <c r="L69" s="15" t="n">
        <v>304.2</v>
      </c>
      <c r="M69" s="3" t="str">
        <f aca="false">A69&amp;"|"&amp;B69&amp;"|"&amp;C69</f>
        <v>50 м|Женщины|200 м баттерфляй</v>
      </c>
    </row>
    <row r="70" customFormat="false" ht="15" hidden="false" customHeight="false" outlineLevel="0" collapsed="false">
      <c r="A70" s="2" t="s">
        <v>29</v>
      </c>
      <c r="B70" s="2" t="s">
        <v>30</v>
      </c>
      <c r="C70" s="2" t="s">
        <v>31</v>
      </c>
      <c r="D70" s="15" t="n">
        <v>132.12</v>
      </c>
      <c r="E70" s="15" t="n">
        <v>144.75</v>
      </c>
      <c r="F70" s="15" t="n">
        <v>153.25</v>
      </c>
      <c r="G70" s="15" t="n">
        <v>162.75</v>
      </c>
      <c r="H70" s="15" t="n">
        <v>183</v>
      </c>
      <c r="I70" s="15" t="n">
        <v>209</v>
      </c>
      <c r="J70" s="15" t="n">
        <v>238</v>
      </c>
      <c r="K70" s="15" t="n">
        <v>274</v>
      </c>
      <c r="L70" s="15" t="n">
        <v>314</v>
      </c>
      <c r="M70" s="3" t="str">
        <f aca="false">A70&amp;"|"&amp;B70&amp;"|"&amp;C70</f>
        <v>50 м|Женщины|200 м комплекс</v>
      </c>
    </row>
    <row r="71" customFormat="false" ht="15" hidden="false" customHeight="false" outlineLevel="0" collapsed="false">
      <c r="A71" s="2" t="s">
        <v>29</v>
      </c>
      <c r="B71" s="2" t="s">
        <v>30</v>
      </c>
      <c r="C71" s="2" t="s">
        <v>49</v>
      </c>
      <c r="D71" s="15" t="n">
        <v>280.8</v>
      </c>
      <c r="E71" s="15" t="n">
        <v>303</v>
      </c>
      <c r="F71" s="15" t="n">
        <v>320.5</v>
      </c>
      <c r="G71" s="15" t="n">
        <v>342</v>
      </c>
      <c r="H71" s="15" t="n">
        <v>387</v>
      </c>
      <c r="I71" s="15" t="n">
        <v>440</v>
      </c>
      <c r="J71" s="15" t="n">
        <v>501</v>
      </c>
      <c r="K71" s="15" t="n">
        <v>572</v>
      </c>
      <c r="L71" s="15" t="n">
        <v>643</v>
      </c>
      <c r="M71" s="3" t="str">
        <f aca="false">A71&amp;"|"&amp;B71&amp;"|"&amp;C71</f>
        <v>50 м|Женщины|400 м комплекс</v>
      </c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customFormat="false" ht="15" hidden="false" customHeight="false" outlineLevel="0" collapsed="false">
      <c r="A73" s="3" t="s">
        <v>63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customFormat="false" ht="15" hidden="false" customHeight="false" outlineLevel="0" collapsed="false">
      <c r="A74" s="3" t="s">
        <v>64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</v>
      </c>
      <c r="B1" s="0" t="s">
        <v>4</v>
      </c>
      <c r="C1" s="0" t="s">
        <v>6</v>
      </c>
      <c r="D1" s="0" t="s">
        <v>8</v>
      </c>
      <c r="E1" s="0" t="s">
        <v>9</v>
      </c>
      <c r="F1" s="0" t="s">
        <v>10</v>
      </c>
      <c r="G1" s="0" t="s">
        <v>65</v>
      </c>
    </row>
    <row r="2" customFormat="false" ht="15" hidden="false" customHeight="false" outlineLevel="0" collapsed="false">
      <c r="A2" s="0" t="s">
        <v>3</v>
      </c>
      <c r="B2" s="0" t="s">
        <v>5</v>
      </c>
      <c r="C2" s="0" t="s">
        <v>34</v>
      </c>
      <c r="D2" s="0" t="n">
        <v>0</v>
      </c>
      <c r="E2" s="0" t="n">
        <v>0</v>
      </c>
      <c r="F2" s="0" t="n">
        <v>0</v>
      </c>
      <c r="G2" s="0" t="n">
        <v>1000</v>
      </c>
    </row>
    <row r="3" customFormat="false" ht="15" hidden="false" customHeight="false" outlineLevel="0" collapsed="false">
      <c r="A3" s="0" t="s">
        <v>29</v>
      </c>
      <c r="B3" s="0" t="s">
        <v>30</v>
      </c>
      <c r="C3" s="0" t="s">
        <v>7</v>
      </c>
      <c r="D3" s="0" t="n">
        <v>1</v>
      </c>
      <c r="E3" s="0" t="n">
        <v>1</v>
      </c>
      <c r="F3" s="0" t="n">
        <v>1</v>
      </c>
      <c r="G3" s="0" t="n">
        <v>990</v>
      </c>
    </row>
    <row r="4" customFormat="false" ht="15" hidden="false" customHeight="false" outlineLevel="0" collapsed="false">
      <c r="C4" s="0" t="s">
        <v>35</v>
      </c>
      <c r="D4" s="0" t="n">
        <v>2</v>
      </c>
      <c r="E4" s="0" t="n">
        <v>2</v>
      </c>
      <c r="F4" s="0" t="n">
        <v>2</v>
      </c>
      <c r="G4" s="0" t="n">
        <v>980</v>
      </c>
    </row>
    <row r="5" customFormat="false" ht="15" hidden="false" customHeight="false" outlineLevel="0" collapsed="false">
      <c r="C5" s="0" t="s">
        <v>36</v>
      </c>
      <c r="D5" s="0" t="n">
        <v>3</v>
      </c>
      <c r="E5" s="0" t="n">
        <v>3</v>
      </c>
      <c r="F5" s="0" t="n">
        <v>3</v>
      </c>
      <c r="G5" s="0" t="n">
        <v>970</v>
      </c>
    </row>
    <row r="6" customFormat="false" ht="15" hidden="false" customHeight="false" outlineLevel="0" collapsed="false">
      <c r="C6" s="0" t="s">
        <v>37</v>
      </c>
      <c r="D6" s="0" t="n">
        <v>4</v>
      </c>
      <c r="E6" s="0" t="n">
        <v>4</v>
      </c>
      <c r="F6" s="0" t="n">
        <v>4</v>
      </c>
      <c r="G6" s="0" t="n">
        <v>960</v>
      </c>
    </row>
    <row r="7" customFormat="false" ht="15" hidden="false" customHeight="false" outlineLevel="0" collapsed="false">
      <c r="C7" s="0" t="s">
        <v>38</v>
      </c>
      <c r="D7" s="0" t="n">
        <v>5</v>
      </c>
      <c r="E7" s="0" t="n">
        <v>5</v>
      </c>
      <c r="F7" s="0" t="n">
        <v>5</v>
      </c>
      <c r="G7" s="0" t="n">
        <v>950</v>
      </c>
    </row>
    <row r="8" customFormat="false" ht="15" hidden="false" customHeight="false" outlineLevel="0" collapsed="false">
      <c r="C8" s="0" t="s">
        <v>39</v>
      </c>
      <c r="D8" s="0" t="n">
        <v>6</v>
      </c>
      <c r="E8" s="0" t="n">
        <v>6</v>
      </c>
      <c r="F8" s="0" t="n">
        <v>6</v>
      </c>
      <c r="G8" s="0" t="n">
        <v>940</v>
      </c>
    </row>
    <row r="9" customFormat="false" ht="15" hidden="false" customHeight="false" outlineLevel="0" collapsed="false">
      <c r="C9" s="0" t="s">
        <v>40</v>
      </c>
      <c r="D9" s="0" t="n">
        <v>7</v>
      </c>
      <c r="E9" s="0" t="n">
        <v>7</v>
      </c>
      <c r="F9" s="0" t="n">
        <v>7</v>
      </c>
      <c r="G9" s="0" t="n">
        <v>930</v>
      </c>
    </row>
    <row r="10" customFormat="false" ht="15" hidden="false" customHeight="false" outlineLevel="0" collapsed="false">
      <c r="C10" s="0" t="s">
        <v>41</v>
      </c>
      <c r="D10" s="0" t="n">
        <v>8</v>
      </c>
      <c r="E10" s="0" t="n">
        <v>8</v>
      </c>
      <c r="F10" s="0" t="n">
        <v>8</v>
      </c>
      <c r="G10" s="0" t="n">
        <v>920</v>
      </c>
    </row>
    <row r="11" customFormat="false" ht="15" hidden="false" customHeight="false" outlineLevel="0" collapsed="false">
      <c r="C11" s="0" t="s">
        <v>42</v>
      </c>
      <c r="D11" s="0" t="n">
        <v>9</v>
      </c>
      <c r="E11" s="0" t="n">
        <v>9</v>
      </c>
      <c r="F11" s="0" t="n">
        <v>9</v>
      </c>
      <c r="G11" s="0" t="n">
        <v>910</v>
      </c>
    </row>
    <row r="12" customFormat="false" ht="15" hidden="false" customHeight="false" outlineLevel="0" collapsed="false">
      <c r="C12" s="0" t="s">
        <v>43</v>
      </c>
      <c r="D12" s="0" t="n">
        <v>10</v>
      </c>
      <c r="E12" s="0" t="n">
        <v>10</v>
      </c>
      <c r="F12" s="0" t="n">
        <v>10</v>
      </c>
      <c r="G12" s="0" t="n">
        <v>900</v>
      </c>
    </row>
    <row r="13" customFormat="false" ht="15" hidden="false" customHeight="false" outlineLevel="0" collapsed="false">
      <c r="C13" s="0" t="s">
        <v>44</v>
      </c>
      <c r="D13" s="0" t="n">
        <v>11</v>
      </c>
      <c r="E13" s="0" t="n">
        <v>11</v>
      </c>
      <c r="F13" s="0" t="n">
        <v>11</v>
      </c>
      <c r="G13" s="0" t="n">
        <v>890</v>
      </c>
    </row>
    <row r="14" customFormat="false" ht="15" hidden="false" customHeight="false" outlineLevel="0" collapsed="false">
      <c r="C14" s="0" t="s">
        <v>45</v>
      </c>
      <c r="D14" s="0" t="n">
        <v>12</v>
      </c>
      <c r="E14" s="0" t="n">
        <v>12</v>
      </c>
      <c r="F14" s="0" t="n">
        <v>12</v>
      </c>
      <c r="G14" s="0" t="n">
        <v>880</v>
      </c>
    </row>
    <row r="15" customFormat="false" ht="15" hidden="false" customHeight="false" outlineLevel="0" collapsed="false">
      <c r="C15" s="0" t="s">
        <v>46</v>
      </c>
      <c r="D15" s="0" t="n">
        <v>13</v>
      </c>
      <c r="E15" s="0" t="n">
        <v>13</v>
      </c>
      <c r="F15" s="0" t="n">
        <v>13</v>
      </c>
      <c r="G15" s="0" t="n">
        <v>870</v>
      </c>
    </row>
    <row r="16" customFormat="false" ht="15" hidden="false" customHeight="false" outlineLevel="0" collapsed="false">
      <c r="C16" s="0" t="s">
        <v>47</v>
      </c>
      <c r="D16" s="0" t="n">
        <v>14</v>
      </c>
      <c r="E16" s="0" t="n">
        <v>14</v>
      </c>
      <c r="F16" s="0" t="n">
        <v>14</v>
      </c>
      <c r="G16" s="0" t="n">
        <v>860</v>
      </c>
    </row>
    <row r="17" customFormat="false" ht="15" hidden="false" customHeight="false" outlineLevel="0" collapsed="false">
      <c r="C17" s="0" t="s">
        <v>48</v>
      </c>
      <c r="D17" s="0" t="n">
        <v>15</v>
      </c>
      <c r="E17" s="0" t="n">
        <v>15</v>
      </c>
      <c r="F17" s="0" t="n">
        <v>15</v>
      </c>
      <c r="G17" s="0" t="n">
        <v>850</v>
      </c>
    </row>
    <row r="18" customFormat="false" ht="15" hidden="false" customHeight="false" outlineLevel="0" collapsed="false">
      <c r="C18" s="0" t="s">
        <v>31</v>
      </c>
      <c r="D18" s="0" t="n">
        <v>16</v>
      </c>
      <c r="E18" s="0" t="n">
        <v>16</v>
      </c>
      <c r="F18" s="0" t="n">
        <v>16</v>
      </c>
      <c r="G18" s="0" t="n">
        <v>840</v>
      </c>
    </row>
    <row r="19" customFormat="false" ht="15" hidden="false" customHeight="false" outlineLevel="0" collapsed="false">
      <c r="C19" s="0" t="s">
        <v>49</v>
      </c>
      <c r="D19" s="0" t="n">
        <v>17</v>
      </c>
      <c r="E19" s="0" t="n">
        <v>17</v>
      </c>
      <c r="F19" s="0" t="n">
        <v>17</v>
      </c>
      <c r="G19" s="0" t="n">
        <v>830</v>
      </c>
    </row>
    <row r="20" customFormat="false" ht="15" hidden="false" customHeight="false" outlineLevel="0" collapsed="false">
      <c r="D20" s="0" t="n">
        <v>18</v>
      </c>
      <c r="E20" s="0" t="n">
        <v>18</v>
      </c>
      <c r="F20" s="0" t="n">
        <v>18</v>
      </c>
      <c r="G20" s="0" t="n">
        <v>820</v>
      </c>
    </row>
    <row r="21" customFormat="false" ht="15" hidden="false" customHeight="false" outlineLevel="0" collapsed="false">
      <c r="D21" s="0" t="n">
        <v>19</v>
      </c>
      <c r="E21" s="0" t="n">
        <v>19</v>
      </c>
      <c r="F21" s="0" t="n">
        <v>19</v>
      </c>
      <c r="G21" s="0" t="n">
        <v>810</v>
      </c>
    </row>
    <row r="22" customFormat="false" ht="15" hidden="false" customHeight="false" outlineLevel="0" collapsed="false">
      <c r="D22" s="0" t="n">
        <v>20</v>
      </c>
      <c r="E22" s="0" t="n">
        <v>20</v>
      </c>
      <c r="F22" s="0" t="n">
        <v>20</v>
      </c>
      <c r="G22" s="0" t="n">
        <v>800</v>
      </c>
    </row>
    <row r="23" customFormat="false" ht="15" hidden="false" customHeight="false" outlineLevel="0" collapsed="false">
      <c r="D23" s="0" t="n">
        <v>21</v>
      </c>
      <c r="E23" s="0" t="n">
        <v>21</v>
      </c>
      <c r="F23" s="0" t="n">
        <v>21</v>
      </c>
      <c r="G23" s="0" t="n">
        <v>790</v>
      </c>
    </row>
    <row r="24" customFormat="false" ht="15" hidden="false" customHeight="false" outlineLevel="0" collapsed="false">
      <c r="D24" s="0" t="n">
        <v>22</v>
      </c>
      <c r="E24" s="0" t="n">
        <v>22</v>
      </c>
      <c r="F24" s="0" t="n">
        <v>22</v>
      </c>
      <c r="G24" s="0" t="n">
        <v>780</v>
      </c>
    </row>
    <row r="25" customFormat="false" ht="15" hidden="false" customHeight="false" outlineLevel="0" collapsed="false">
      <c r="D25" s="0" t="n">
        <v>23</v>
      </c>
      <c r="E25" s="0" t="n">
        <v>23</v>
      </c>
      <c r="F25" s="0" t="n">
        <v>23</v>
      </c>
      <c r="G25" s="0" t="n">
        <v>770</v>
      </c>
    </row>
    <row r="26" customFormat="false" ht="15" hidden="false" customHeight="false" outlineLevel="0" collapsed="false">
      <c r="D26" s="0" t="n">
        <v>24</v>
      </c>
      <c r="E26" s="0" t="n">
        <v>24</v>
      </c>
      <c r="F26" s="0" t="n">
        <v>24</v>
      </c>
      <c r="G26" s="0" t="n">
        <v>760</v>
      </c>
    </row>
    <row r="27" customFormat="false" ht="15" hidden="false" customHeight="false" outlineLevel="0" collapsed="false">
      <c r="D27" s="0" t="n">
        <v>25</v>
      </c>
      <c r="E27" s="0" t="n">
        <v>25</v>
      </c>
      <c r="F27" s="0" t="n">
        <v>25</v>
      </c>
      <c r="G27" s="0" t="n">
        <v>750</v>
      </c>
    </row>
    <row r="28" customFormat="false" ht="15" hidden="false" customHeight="false" outlineLevel="0" collapsed="false">
      <c r="D28" s="0" t="n">
        <v>26</v>
      </c>
      <c r="E28" s="0" t="n">
        <v>26</v>
      </c>
      <c r="F28" s="0" t="n">
        <v>26</v>
      </c>
      <c r="G28" s="0" t="n">
        <v>740</v>
      </c>
    </row>
    <row r="29" customFormat="false" ht="15" hidden="false" customHeight="false" outlineLevel="0" collapsed="false">
      <c r="D29" s="0" t="n">
        <v>27</v>
      </c>
      <c r="E29" s="0" t="n">
        <v>27</v>
      </c>
      <c r="F29" s="0" t="n">
        <v>27</v>
      </c>
      <c r="G29" s="0" t="n">
        <v>730</v>
      </c>
    </row>
    <row r="30" customFormat="false" ht="15" hidden="false" customHeight="false" outlineLevel="0" collapsed="false">
      <c r="D30" s="0" t="n">
        <v>28</v>
      </c>
      <c r="E30" s="0" t="n">
        <v>28</v>
      </c>
      <c r="F30" s="0" t="n">
        <v>28</v>
      </c>
      <c r="G30" s="0" t="n">
        <v>720</v>
      </c>
    </row>
    <row r="31" customFormat="false" ht="15" hidden="false" customHeight="false" outlineLevel="0" collapsed="false">
      <c r="D31" s="0" t="n">
        <v>29</v>
      </c>
      <c r="E31" s="0" t="n">
        <v>29</v>
      </c>
      <c r="F31" s="0" t="n">
        <v>29</v>
      </c>
      <c r="G31" s="0" t="n">
        <v>710</v>
      </c>
    </row>
    <row r="32" customFormat="false" ht="15" hidden="false" customHeight="false" outlineLevel="0" collapsed="false">
      <c r="D32" s="0" t="n">
        <v>30</v>
      </c>
      <c r="E32" s="0" t="n">
        <v>30</v>
      </c>
      <c r="F32" s="0" t="n">
        <v>30</v>
      </c>
      <c r="G32" s="0" t="n">
        <v>700</v>
      </c>
    </row>
    <row r="33" customFormat="false" ht="15" hidden="false" customHeight="false" outlineLevel="0" collapsed="false">
      <c r="E33" s="0" t="n">
        <v>31</v>
      </c>
      <c r="F33" s="0" t="n">
        <v>31</v>
      </c>
      <c r="G33" s="0" t="n">
        <v>690</v>
      </c>
    </row>
    <row r="34" customFormat="false" ht="15" hidden="false" customHeight="false" outlineLevel="0" collapsed="false">
      <c r="E34" s="0" t="n">
        <v>32</v>
      </c>
      <c r="F34" s="0" t="n">
        <v>32</v>
      </c>
      <c r="G34" s="0" t="n">
        <v>680</v>
      </c>
    </row>
    <row r="35" customFormat="false" ht="15" hidden="false" customHeight="false" outlineLevel="0" collapsed="false">
      <c r="E35" s="0" t="n">
        <v>33</v>
      </c>
      <c r="F35" s="0" t="n">
        <v>33</v>
      </c>
      <c r="G35" s="0" t="n">
        <v>670</v>
      </c>
    </row>
    <row r="36" customFormat="false" ht="15" hidden="false" customHeight="false" outlineLevel="0" collapsed="false">
      <c r="E36" s="0" t="n">
        <v>34</v>
      </c>
      <c r="F36" s="0" t="n">
        <v>34</v>
      </c>
      <c r="G36" s="0" t="n">
        <v>660</v>
      </c>
    </row>
    <row r="37" customFormat="false" ht="15" hidden="false" customHeight="false" outlineLevel="0" collapsed="false">
      <c r="E37" s="0" t="n">
        <v>35</v>
      </c>
      <c r="F37" s="0" t="n">
        <v>35</v>
      </c>
      <c r="G37" s="0" t="n">
        <v>650</v>
      </c>
    </row>
    <row r="38" customFormat="false" ht="15" hidden="false" customHeight="false" outlineLevel="0" collapsed="false">
      <c r="E38" s="0" t="n">
        <v>36</v>
      </c>
      <c r="F38" s="0" t="n">
        <v>36</v>
      </c>
      <c r="G38" s="0" t="n">
        <v>640</v>
      </c>
    </row>
    <row r="39" customFormat="false" ht="15" hidden="false" customHeight="false" outlineLevel="0" collapsed="false">
      <c r="E39" s="0" t="n">
        <v>37</v>
      </c>
      <c r="F39" s="0" t="n">
        <v>37</v>
      </c>
      <c r="G39" s="0" t="n">
        <v>630</v>
      </c>
    </row>
    <row r="40" customFormat="false" ht="15" hidden="false" customHeight="false" outlineLevel="0" collapsed="false">
      <c r="E40" s="0" t="n">
        <v>38</v>
      </c>
      <c r="F40" s="0" t="n">
        <v>38</v>
      </c>
      <c r="G40" s="0" t="n">
        <v>620</v>
      </c>
    </row>
    <row r="41" customFormat="false" ht="15" hidden="false" customHeight="false" outlineLevel="0" collapsed="false">
      <c r="E41" s="0" t="n">
        <v>39</v>
      </c>
      <c r="F41" s="0" t="n">
        <v>39</v>
      </c>
      <c r="G41" s="0" t="n">
        <v>610</v>
      </c>
    </row>
    <row r="42" customFormat="false" ht="15" hidden="false" customHeight="false" outlineLevel="0" collapsed="false">
      <c r="E42" s="0" t="n">
        <v>40</v>
      </c>
      <c r="F42" s="0" t="n">
        <v>40</v>
      </c>
      <c r="G42" s="0" t="n">
        <v>600</v>
      </c>
    </row>
    <row r="43" customFormat="false" ht="15" hidden="false" customHeight="false" outlineLevel="0" collapsed="false">
      <c r="E43" s="0" t="n">
        <v>41</v>
      </c>
      <c r="F43" s="0" t="n">
        <v>41</v>
      </c>
      <c r="G43" s="0" t="n">
        <v>590</v>
      </c>
    </row>
    <row r="44" customFormat="false" ht="15" hidden="false" customHeight="false" outlineLevel="0" collapsed="false">
      <c r="E44" s="0" t="n">
        <v>42</v>
      </c>
      <c r="F44" s="0" t="n">
        <v>42</v>
      </c>
      <c r="G44" s="0" t="n">
        <v>580</v>
      </c>
    </row>
    <row r="45" customFormat="false" ht="15" hidden="false" customHeight="false" outlineLevel="0" collapsed="false">
      <c r="E45" s="0" t="n">
        <v>43</v>
      </c>
      <c r="F45" s="0" t="n">
        <v>43</v>
      </c>
      <c r="G45" s="0" t="n">
        <v>570</v>
      </c>
    </row>
    <row r="46" customFormat="false" ht="15" hidden="false" customHeight="false" outlineLevel="0" collapsed="false">
      <c r="E46" s="0" t="n">
        <v>44</v>
      </c>
      <c r="F46" s="0" t="n">
        <v>44</v>
      </c>
      <c r="G46" s="0" t="n">
        <v>560</v>
      </c>
    </row>
    <row r="47" customFormat="false" ht="15" hidden="false" customHeight="false" outlineLevel="0" collapsed="false">
      <c r="E47" s="0" t="n">
        <v>45</v>
      </c>
      <c r="F47" s="0" t="n">
        <v>45</v>
      </c>
      <c r="G47" s="0" t="n">
        <v>550</v>
      </c>
    </row>
    <row r="48" customFormat="false" ht="15" hidden="false" customHeight="false" outlineLevel="0" collapsed="false">
      <c r="E48" s="0" t="n">
        <v>46</v>
      </c>
      <c r="F48" s="0" t="n">
        <v>46</v>
      </c>
      <c r="G48" s="0" t="n">
        <v>540</v>
      </c>
    </row>
    <row r="49" customFormat="false" ht="15" hidden="false" customHeight="false" outlineLevel="0" collapsed="false">
      <c r="E49" s="0" t="n">
        <v>47</v>
      </c>
      <c r="F49" s="0" t="n">
        <v>47</v>
      </c>
      <c r="G49" s="0" t="n">
        <v>530</v>
      </c>
    </row>
    <row r="50" customFormat="false" ht="15" hidden="false" customHeight="false" outlineLevel="0" collapsed="false">
      <c r="E50" s="0" t="n">
        <v>48</v>
      </c>
      <c r="F50" s="0" t="n">
        <v>48</v>
      </c>
      <c r="G50" s="0" t="n">
        <v>520</v>
      </c>
    </row>
    <row r="51" customFormat="false" ht="15" hidden="false" customHeight="false" outlineLevel="0" collapsed="false">
      <c r="E51" s="0" t="n">
        <v>49</v>
      </c>
      <c r="F51" s="0" t="n">
        <v>49</v>
      </c>
      <c r="G51" s="0" t="n">
        <v>510</v>
      </c>
    </row>
    <row r="52" customFormat="false" ht="15" hidden="false" customHeight="false" outlineLevel="0" collapsed="false">
      <c r="E52" s="0" t="n">
        <v>50</v>
      </c>
      <c r="F52" s="0" t="n">
        <v>50</v>
      </c>
      <c r="G52" s="0" t="n">
        <v>500</v>
      </c>
    </row>
    <row r="53" customFormat="false" ht="15" hidden="false" customHeight="false" outlineLevel="0" collapsed="false">
      <c r="E53" s="0" t="n">
        <v>51</v>
      </c>
      <c r="F53" s="0" t="n">
        <v>51</v>
      </c>
      <c r="G53" s="0" t="n">
        <v>490</v>
      </c>
    </row>
    <row r="54" customFormat="false" ht="15" hidden="false" customHeight="false" outlineLevel="0" collapsed="false">
      <c r="E54" s="0" t="n">
        <v>52</v>
      </c>
      <c r="F54" s="0" t="n">
        <v>52</v>
      </c>
      <c r="G54" s="0" t="n">
        <v>480</v>
      </c>
    </row>
    <row r="55" customFormat="false" ht="15" hidden="false" customHeight="false" outlineLevel="0" collapsed="false">
      <c r="E55" s="0" t="n">
        <v>53</v>
      </c>
      <c r="F55" s="0" t="n">
        <v>53</v>
      </c>
      <c r="G55" s="0" t="n">
        <v>470</v>
      </c>
    </row>
    <row r="56" customFormat="false" ht="15" hidden="false" customHeight="false" outlineLevel="0" collapsed="false">
      <c r="E56" s="0" t="n">
        <v>54</v>
      </c>
      <c r="F56" s="0" t="n">
        <v>54</v>
      </c>
      <c r="G56" s="0" t="n">
        <v>460</v>
      </c>
    </row>
    <row r="57" customFormat="false" ht="15" hidden="false" customHeight="false" outlineLevel="0" collapsed="false">
      <c r="E57" s="0" t="n">
        <v>55</v>
      </c>
      <c r="F57" s="0" t="n">
        <v>55</v>
      </c>
      <c r="G57" s="0" t="n">
        <v>450</v>
      </c>
    </row>
    <row r="58" customFormat="false" ht="15" hidden="false" customHeight="false" outlineLevel="0" collapsed="false">
      <c r="E58" s="0" t="n">
        <v>56</v>
      </c>
      <c r="F58" s="0" t="n">
        <v>56</v>
      </c>
      <c r="G58" s="0" t="n">
        <v>440</v>
      </c>
    </row>
    <row r="59" customFormat="false" ht="15" hidden="false" customHeight="false" outlineLevel="0" collapsed="false">
      <c r="E59" s="0" t="n">
        <v>57</v>
      </c>
      <c r="F59" s="0" t="n">
        <v>57</v>
      </c>
      <c r="G59" s="0" t="n">
        <v>430</v>
      </c>
    </row>
    <row r="60" customFormat="false" ht="15" hidden="false" customHeight="false" outlineLevel="0" collapsed="false">
      <c r="E60" s="0" t="n">
        <v>58</v>
      </c>
      <c r="F60" s="0" t="n">
        <v>58</v>
      </c>
      <c r="G60" s="0" t="n">
        <v>420</v>
      </c>
    </row>
    <row r="61" customFormat="false" ht="15" hidden="false" customHeight="false" outlineLevel="0" collapsed="false">
      <c r="E61" s="0" t="n">
        <v>59</v>
      </c>
      <c r="F61" s="0" t="n">
        <v>59</v>
      </c>
      <c r="G61" s="0" t="n">
        <v>410</v>
      </c>
    </row>
    <row r="62" customFormat="false" ht="15" hidden="false" customHeight="false" outlineLevel="0" collapsed="false">
      <c r="F62" s="0" t="n">
        <v>60</v>
      </c>
      <c r="G62" s="0" t="n">
        <v>400</v>
      </c>
    </row>
    <row r="63" customFormat="false" ht="15" hidden="false" customHeight="false" outlineLevel="0" collapsed="false">
      <c r="F63" s="0" t="n">
        <v>61</v>
      </c>
      <c r="G63" s="0" t="n">
        <v>390</v>
      </c>
    </row>
    <row r="64" customFormat="false" ht="15" hidden="false" customHeight="false" outlineLevel="0" collapsed="false">
      <c r="F64" s="0" t="n">
        <v>62</v>
      </c>
      <c r="G64" s="0" t="n">
        <v>380</v>
      </c>
    </row>
    <row r="65" customFormat="false" ht="15" hidden="false" customHeight="false" outlineLevel="0" collapsed="false">
      <c r="F65" s="0" t="n">
        <v>63</v>
      </c>
      <c r="G65" s="0" t="n">
        <v>370</v>
      </c>
    </row>
    <row r="66" customFormat="false" ht="15" hidden="false" customHeight="false" outlineLevel="0" collapsed="false">
      <c r="F66" s="0" t="n">
        <v>64</v>
      </c>
      <c r="G66" s="0" t="n">
        <v>360</v>
      </c>
    </row>
    <row r="67" customFormat="false" ht="15" hidden="false" customHeight="false" outlineLevel="0" collapsed="false">
      <c r="F67" s="0" t="n">
        <v>65</v>
      </c>
      <c r="G67" s="0" t="n">
        <v>350</v>
      </c>
    </row>
    <row r="68" customFormat="false" ht="15" hidden="false" customHeight="false" outlineLevel="0" collapsed="false">
      <c r="F68" s="0" t="n">
        <v>66</v>
      </c>
      <c r="G68" s="0" t="n">
        <v>340</v>
      </c>
    </row>
    <row r="69" customFormat="false" ht="15" hidden="false" customHeight="false" outlineLevel="0" collapsed="false">
      <c r="F69" s="0" t="n">
        <v>67</v>
      </c>
      <c r="G69" s="0" t="n">
        <v>330</v>
      </c>
    </row>
    <row r="70" customFormat="false" ht="15" hidden="false" customHeight="false" outlineLevel="0" collapsed="false">
      <c r="F70" s="0" t="n">
        <v>68</v>
      </c>
      <c r="G70" s="0" t="n">
        <v>320</v>
      </c>
    </row>
    <row r="71" customFormat="false" ht="15" hidden="false" customHeight="false" outlineLevel="0" collapsed="false">
      <c r="F71" s="0" t="n">
        <v>69</v>
      </c>
      <c r="G71" s="0" t="n">
        <v>310</v>
      </c>
    </row>
    <row r="72" customFormat="false" ht="15" hidden="false" customHeight="false" outlineLevel="0" collapsed="false">
      <c r="F72" s="0" t="n">
        <v>70</v>
      </c>
      <c r="G72" s="0" t="n">
        <v>300</v>
      </c>
    </row>
    <row r="73" customFormat="false" ht="15" hidden="false" customHeight="false" outlineLevel="0" collapsed="false">
      <c r="F73" s="0" t="n">
        <v>71</v>
      </c>
      <c r="G73" s="0" t="n">
        <v>290</v>
      </c>
    </row>
    <row r="74" customFormat="false" ht="15" hidden="false" customHeight="false" outlineLevel="0" collapsed="false">
      <c r="F74" s="0" t="n">
        <v>72</v>
      </c>
      <c r="G74" s="0" t="n">
        <v>280</v>
      </c>
    </row>
    <row r="75" customFormat="false" ht="15" hidden="false" customHeight="false" outlineLevel="0" collapsed="false">
      <c r="F75" s="0" t="n">
        <v>73</v>
      </c>
      <c r="G75" s="0" t="n">
        <v>270</v>
      </c>
    </row>
    <row r="76" customFormat="false" ht="15" hidden="false" customHeight="false" outlineLevel="0" collapsed="false">
      <c r="F76" s="0" t="n">
        <v>74</v>
      </c>
      <c r="G76" s="0" t="n">
        <v>260</v>
      </c>
    </row>
    <row r="77" customFormat="false" ht="15" hidden="false" customHeight="false" outlineLevel="0" collapsed="false">
      <c r="F77" s="0" t="n">
        <v>75</v>
      </c>
      <c r="G77" s="0" t="n">
        <v>250</v>
      </c>
    </row>
    <row r="78" customFormat="false" ht="15" hidden="false" customHeight="false" outlineLevel="0" collapsed="false">
      <c r="F78" s="0" t="n">
        <v>76</v>
      </c>
      <c r="G78" s="0" t="n">
        <v>240</v>
      </c>
    </row>
    <row r="79" customFormat="false" ht="15" hidden="false" customHeight="false" outlineLevel="0" collapsed="false">
      <c r="F79" s="0" t="n">
        <v>77</v>
      </c>
      <c r="G79" s="0" t="n">
        <v>230</v>
      </c>
    </row>
    <row r="80" customFormat="false" ht="15" hidden="false" customHeight="false" outlineLevel="0" collapsed="false">
      <c r="F80" s="0" t="n">
        <v>78</v>
      </c>
      <c r="G80" s="0" t="n">
        <v>220</v>
      </c>
    </row>
    <row r="81" customFormat="false" ht="15" hidden="false" customHeight="false" outlineLevel="0" collapsed="false">
      <c r="F81" s="0" t="n">
        <v>79</v>
      </c>
      <c r="G81" s="0" t="n">
        <v>210</v>
      </c>
    </row>
    <row r="82" customFormat="false" ht="15" hidden="false" customHeight="false" outlineLevel="0" collapsed="false">
      <c r="F82" s="0" t="n">
        <v>80</v>
      </c>
      <c r="G82" s="0" t="n">
        <v>200</v>
      </c>
    </row>
    <row r="83" customFormat="false" ht="15" hidden="false" customHeight="false" outlineLevel="0" collapsed="false">
      <c r="F83" s="0" t="n">
        <v>81</v>
      </c>
      <c r="G83" s="0" t="n">
        <v>190</v>
      </c>
    </row>
    <row r="84" customFormat="false" ht="15" hidden="false" customHeight="false" outlineLevel="0" collapsed="false">
      <c r="F84" s="0" t="n">
        <v>82</v>
      </c>
      <c r="G84" s="0" t="n">
        <v>180</v>
      </c>
    </row>
    <row r="85" customFormat="false" ht="15" hidden="false" customHeight="false" outlineLevel="0" collapsed="false">
      <c r="F85" s="0" t="n">
        <v>83</v>
      </c>
      <c r="G85" s="0" t="n">
        <v>170</v>
      </c>
    </row>
    <row r="86" customFormat="false" ht="15" hidden="false" customHeight="false" outlineLevel="0" collapsed="false">
      <c r="F86" s="0" t="n">
        <v>84</v>
      </c>
      <c r="G86" s="0" t="n">
        <v>160</v>
      </c>
    </row>
    <row r="87" customFormat="false" ht="15" hidden="false" customHeight="false" outlineLevel="0" collapsed="false">
      <c r="F87" s="0" t="n">
        <v>85</v>
      </c>
      <c r="G87" s="0" t="n">
        <v>150</v>
      </c>
    </row>
    <row r="88" customFormat="false" ht="15" hidden="false" customHeight="false" outlineLevel="0" collapsed="false">
      <c r="F88" s="0" t="n">
        <v>86</v>
      </c>
      <c r="G88" s="0" t="n">
        <v>140</v>
      </c>
    </row>
    <row r="89" customFormat="false" ht="15" hidden="false" customHeight="false" outlineLevel="0" collapsed="false">
      <c r="F89" s="0" t="n">
        <v>87</v>
      </c>
      <c r="G89" s="0" t="n">
        <v>130</v>
      </c>
    </row>
    <row r="90" customFormat="false" ht="15" hidden="false" customHeight="false" outlineLevel="0" collapsed="false">
      <c r="F90" s="0" t="n">
        <v>88</v>
      </c>
      <c r="G90" s="0" t="n">
        <v>120</v>
      </c>
    </row>
    <row r="91" customFormat="false" ht="15" hidden="false" customHeight="false" outlineLevel="0" collapsed="false">
      <c r="F91" s="0" t="n">
        <v>89</v>
      </c>
      <c r="G91" s="0" t="n">
        <v>110</v>
      </c>
    </row>
    <row r="92" customFormat="false" ht="15" hidden="false" customHeight="false" outlineLevel="0" collapsed="false">
      <c r="F92" s="0" t="n">
        <v>90</v>
      </c>
      <c r="G92" s="0" t="n">
        <v>100</v>
      </c>
    </row>
    <row r="93" customFormat="false" ht="15" hidden="false" customHeight="false" outlineLevel="0" collapsed="false">
      <c r="F93" s="0" t="n">
        <v>91</v>
      </c>
    </row>
    <row r="94" customFormat="false" ht="15" hidden="false" customHeight="false" outlineLevel="0" collapsed="false">
      <c r="F94" s="0" t="n">
        <v>92</v>
      </c>
    </row>
    <row r="95" customFormat="false" ht="15" hidden="false" customHeight="false" outlineLevel="0" collapsed="false">
      <c r="F95" s="0" t="n">
        <v>93</v>
      </c>
    </row>
    <row r="96" customFormat="false" ht="15" hidden="false" customHeight="false" outlineLevel="0" collapsed="false">
      <c r="F96" s="0" t="n">
        <v>94</v>
      </c>
    </row>
    <row r="97" customFormat="false" ht="15" hidden="false" customHeight="false" outlineLevel="0" collapsed="false">
      <c r="F97" s="0" t="n">
        <v>95</v>
      </c>
    </row>
    <row r="98" customFormat="false" ht="15" hidden="false" customHeight="false" outlineLevel="0" collapsed="false">
      <c r="F98" s="0" t="n">
        <v>96</v>
      </c>
    </row>
    <row r="99" customFormat="false" ht="15" hidden="false" customHeight="false" outlineLevel="0" collapsed="false">
      <c r="F99" s="0" t="n">
        <v>97</v>
      </c>
    </row>
    <row r="100" customFormat="false" ht="15" hidden="false" customHeight="false" outlineLevel="0" collapsed="false">
      <c r="F100" s="0" t="n">
        <v>98</v>
      </c>
    </row>
    <row r="101" customFormat="false" ht="15" hidden="false" customHeight="false" outlineLevel="0" collapsed="false">
      <c r="F101" s="0" t="n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2026-10-25T15:43:45Z</dcterms:created>
  <dc:creator>openpyxl</dc:creator>
  <dc:description/>
  <dc:language>ru-RU</dc:language>
  <cp:lastModifiedBy/>
  <dcterms:modified xsi:type="dcterms:W3CDTF">2026-10-25T15:43:45Z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