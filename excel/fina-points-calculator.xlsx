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лькулятор" sheetId="1" state="visible" r:id="rId3"/>
    <sheet name="Протокол" sheetId="2" state="visible" r:id="rId4"/>
    <sheet name="Базовые времена" sheetId="3" state="visible" r:id="rId5"/>
    <sheet name="Списки" sheetId="4" state="hidden" r:id="rId6"/>
  </sheets>
  <definedNames>
    <definedName function="false" hidden="true" localSheetId="1" name="_xlnm._FilterDatabase" vbProcedure="false">Протокол!$A$1:$H$501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fina.borozdov.ru</author>
  </authors>
  <commentList>
    <comment ref="F1" authorId="0">
      <text>
        <r>
          <rPr>
            <sz val="10"/>
            <rFont val="Arial"/>
            <family val="2"/>
          </rPr>
          <t xml:space="preserve">Пусто, если не заполнена строка или дистанции нет в этом бассейне (например, 100 м комплекс в 50 м).</t>
        </r>
      </text>
    </comment>
  </commentList>
</comments>
</file>

<file path=xl/sharedStrings.xml><?xml version="1.0" encoding="utf-8"?>
<sst xmlns="http://schemas.openxmlformats.org/spreadsheetml/2006/main" count="285" uniqueCount="49">
  <si>
    <t xml:space="preserve">Калькулятор очков FINA (World Aquatics Points)</t>
  </si>
  <si>
    <t xml:space="preserve">Всё выбирается из списков в серых ячейках. Можно и напечатать число в ячейку.</t>
  </si>
  <si>
    <t xml:space="preserve">Бассейн</t>
  </si>
  <si>
    <t xml:space="preserve">25 м</t>
  </si>
  <si>
    <t xml:space="preserve">Пол</t>
  </si>
  <si>
    <t xml:space="preserve">Мужчины</t>
  </si>
  <si>
    <t xml:space="preserve">Дистанция</t>
  </si>
  <si>
    <t xml:space="preserve">100 м вольный стиль</t>
  </si>
  <si>
    <t xml:space="preserve">Минуты</t>
  </si>
  <si>
    <t xml:space="preserve">Секунды</t>
  </si>
  <si>
    <t xml:space="preserve">Сотые</t>
  </si>
  <si>
    <t xml:space="preserve">Время</t>
  </si>
  <si>
    <t xml:space="preserve">Базовое время, с</t>
  </si>
  <si>
    <t xml:space="preserve">Время, с</t>
  </si>
  <si>
    <t xml:space="preserve">Очки FINA</t>
  </si>
  <si>
    <t xml:space="preserve">Обратный расчёт</t>
  </si>
  <si>
    <t xml:space="preserve">Нужные очки</t>
  </si>
  <si>
    <t xml:space="preserve">Нужное время</t>
  </si>
  <si>
    <t xml:space="preserve">Формула: очки = 1000 × (базовое время / время)³, дробная часть отбрасывается.</t>
  </si>
  <si>
    <t xml:space="preserve">Сайт: https://fina.borozdov.ru — тот же расчёт.</t>
  </si>
  <si>
    <t xml:space="preserve">Спортсмен</t>
  </si>
  <si>
    <t xml:space="preserve">Иванов Иван</t>
  </si>
  <si>
    <t xml:space="preserve">50.12</t>
  </si>
  <si>
    <t xml:space="preserve">Петрова Анна</t>
  </si>
  <si>
    <t xml:space="preserve">50 м</t>
  </si>
  <si>
    <t xml:space="preserve">Женщины</t>
  </si>
  <si>
    <t xml:space="preserve">200 м комплекс</t>
  </si>
  <si>
    <t xml:space="preserve">2:21.40</t>
  </si>
  <si>
    <t xml:space="preserve">Базовое время</t>
  </si>
  <si>
    <t xml:space="preserve">50 м вольный стиль</t>
  </si>
  <si>
    <t xml:space="preserve">200 м вольный стиль</t>
  </si>
  <si>
    <t xml:space="preserve">400 м вольный стиль</t>
  </si>
  <si>
    <t xml:space="preserve">800 м вольный стиль</t>
  </si>
  <si>
    <t xml:space="preserve">1500 м вольный стиль</t>
  </si>
  <si>
    <t xml:space="preserve">50 м на спине</t>
  </si>
  <si>
    <t xml:space="preserve">100 м на спине</t>
  </si>
  <si>
    <t xml:space="preserve">200 м на спине</t>
  </si>
  <si>
    <t xml:space="preserve">50 м брасс</t>
  </si>
  <si>
    <t xml:space="preserve">100 м брасс</t>
  </si>
  <si>
    <t xml:space="preserve">200 м брасс</t>
  </si>
  <si>
    <t xml:space="preserve">50 м баттерфляй</t>
  </si>
  <si>
    <t xml:space="preserve">100 м баттерфляй</t>
  </si>
  <si>
    <t xml:space="preserve">200 м баттерфляй</t>
  </si>
  <si>
    <t xml:space="preserve">100 м комплекс</t>
  </si>
  <si>
    <t xml:space="preserve">400 м комплекс</t>
  </si>
  <si>
    <t xml:space="preserve">Источник: World Aquatics Points — Base Times SCM and LCM. Редакции: SCM (25 м) 2026 действует 2026-09-01 — 2027-08-31; LCM (50 м) 2026 действует 2026-01-01 — 2026-12-31.</t>
  </si>
  <si>
    <t xml:space="preserve">https://resources.fina.org/fina/document/2026/09/05/9b48fb98-233c-4ce9-b67b-bc6163319bbd/Points-Base-times-SCM-and-LCM-2026_09.2026.pdf</t>
  </si>
  <si>
    <t xml:space="preserve">Когда редакция истечёт, замените числа в столбце D — остальные листы пересчитаются сами.</t>
  </si>
  <si>
    <t xml:space="preserve">Очки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</si>
</sst>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"/>
    <numFmt numFmtId="166" formatCode="0.00"/>
    <numFmt numFmtId="167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6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5" t="s">
        <v>3</v>
      </c>
      <c r="C4" s="2"/>
    </row>
    <row r="5" customFormat="false" ht="15" hidden="false" customHeight="false" outlineLevel="0" collapsed="false">
      <c r="A5" s="4" t="s">
        <v>4</v>
      </c>
      <c r="B5" s="5" t="s">
        <v>5</v>
      </c>
      <c r="C5" s="2"/>
    </row>
    <row r="6" customFormat="false" ht="15" hidden="false" customHeight="false" outlineLevel="0" collapsed="false">
      <c r="A6" s="4" t="s">
        <v>6</v>
      </c>
      <c r="B6" s="5" t="s">
        <v>7</v>
      </c>
      <c r="C6" s="2"/>
    </row>
    <row r="7" customFormat="false" ht="15" hidden="false" customHeight="false" outlineLevel="0" collapsed="false">
      <c r="A7" s="4" t="s">
        <v>8</v>
      </c>
      <c r="B7" s="5" t="n">
        <v>0</v>
      </c>
      <c r="C7" s="2"/>
    </row>
    <row r="8" customFormat="false" ht="15" hidden="false" customHeight="false" outlineLevel="0" collapsed="false">
      <c r="A8" s="4" t="s">
        <v>9</v>
      </c>
      <c r="B8" s="6" t="n">
        <v>50</v>
      </c>
      <c r="C8" s="2"/>
    </row>
    <row r="9" customFormat="false" ht="15" hidden="false" customHeight="false" outlineLevel="0" collapsed="false">
      <c r="A9" s="4" t="s">
        <v>10</v>
      </c>
      <c r="B9" s="6" t="n">
        <v>12</v>
      </c>
      <c r="C9" s="2"/>
    </row>
    <row r="10" customFormat="false" ht="15" hidden="false" customHeight="false" outlineLevel="0" collapsed="false">
      <c r="A10" s="2"/>
      <c r="B10" s="2"/>
      <c r="C10" s="2"/>
    </row>
    <row r="11" customFormat="false" ht="15" hidden="false" customHeight="false" outlineLevel="0" collapsed="false">
      <c r="A11" s="2" t="s">
        <v>11</v>
      </c>
      <c r="B11" s="7" t="str">
        <f aca="false">IF(B13="","",IF(INT(ROUND(B13*100,0)/6000)&gt;0,INT(ROUND(B13*100,0)/6000)&amp;":"&amp;RIGHT("0"&amp;INT(MOD(ROUND(B13*100,0),6000)/100),2),INT(MOD(ROUND(B13*100,0),6000)/100))&amp;"."&amp;RIGHT("0"&amp;MOD(ROUND(B13*100,0),100),2))</f>
        <v>50.12</v>
      </c>
      <c r="C11" s="2"/>
    </row>
    <row r="12" customFormat="false" ht="15" hidden="false" customHeight="false" outlineLevel="0" collapsed="false">
      <c r="A12" s="2" t="s">
        <v>12</v>
      </c>
      <c r="B12" s="8" t="n">
        <f aca="false">SUMIFS('Базовые времена'!$D$2:$D$71,'Базовые времена'!$A$2:$A$71,$B$4,'Базовые времена'!$B$2:$B$71,$B$5,'Базовые времена'!$C$2:$C$71,$B$6)</f>
        <v>44.84</v>
      </c>
      <c r="C12" s="3" t="str">
        <f aca="false">IF(B12=0,"Такой дистанции нет в этом бассейне","")</f>
        <v/>
      </c>
    </row>
    <row r="13" customFormat="false" ht="15" hidden="false" customHeight="false" outlineLevel="0" collapsed="false">
      <c r="A13" s="2" t="s">
        <v>13</v>
      </c>
      <c r="B13" s="8" t="n">
        <f aca="false">IF(N(B7)*60+N(B8)+N(B9)/100&lt;=0,"",N(B7)*60+N(B8)+N(B9)/100)</f>
        <v>50.12</v>
      </c>
      <c r="C13" s="2"/>
    </row>
    <row r="14" customFormat="false" ht="19.7" hidden="false" customHeight="false" outlineLevel="0" collapsed="false">
      <c r="A14" s="4" t="s">
        <v>14</v>
      </c>
      <c r="B14" s="9" t="n">
        <f aca="false">IF(OR(B12=0,B13=""),"",ROUNDDOWN(1000*(B12/B13)^3,0))</f>
        <v>716</v>
      </c>
      <c r="C14" s="2"/>
    </row>
    <row r="15" customFormat="false" ht="15" hidden="false" customHeight="false" outlineLevel="0" collapsed="false">
      <c r="A15" s="2"/>
      <c r="B15" s="2"/>
      <c r="C15" s="2"/>
    </row>
    <row r="16" customFormat="false" ht="15" hidden="false" customHeight="false" outlineLevel="0" collapsed="false">
      <c r="A16" s="4" t="s">
        <v>15</v>
      </c>
      <c r="B16" s="2"/>
      <c r="C16" s="2"/>
    </row>
    <row r="17" customFormat="false" ht="15" hidden="false" customHeight="false" outlineLevel="0" collapsed="false">
      <c r="A17" s="4" t="s">
        <v>16</v>
      </c>
      <c r="B17" s="5" t="n">
        <v>700</v>
      </c>
      <c r="C17" s="2"/>
    </row>
    <row r="18" customFormat="false" ht="19.7" hidden="false" customHeight="false" outlineLevel="0" collapsed="false">
      <c r="A18" s="4" t="s">
        <v>17</v>
      </c>
      <c r="B18" s="10" t="str">
        <f aca="false">IF(C18="","",IF(INT(ROUND(C18*100,0)/6000)&gt;0,INT(ROUND(C18*100,0)/6000)&amp;":"&amp;RIGHT("0"&amp;INT(MOD(ROUND(C18*100,0),6000)/100),2),INT(MOD(ROUND(C18*100,0),6000)/100))&amp;"."&amp;RIGHT("0"&amp;MOD(ROUND(C18*100,0),100),2))</f>
        <v>50.50</v>
      </c>
      <c r="C18" s="11" t="n">
        <f aca="false">IF(OR(B12=0,N(B17)&lt;=0),"",ROUNDDOWN(B12/(B17/1000)^(1/3)+0.000000001,2))</f>
        <v>50.5</v>
      </c>
    </row>
    <row r="19" customFormat="false" ht="15" hidden="false" customHeight="false" outlineLevel="0" collapsed="false">
      <c r="A19" s="2"/>
      <c r="B19" s="2"/>
      <c r="C19" s="2"/>
    </row>
    <row r="20" customFormat="false" ht="15" hidden="false" customHeight="false" outlineLevel="0" collapsed="false">
      <c r="A20" s="3" t="s">
        <v>18</v>
      </c>
      <c r="B20" s="2"/>
      <c r="C20" s="2"/>
    </row>
    <row r="21" customFormat="false" ht="15" hidden="false" customHeight="false" outlineLevel="0" collapsed="false">
      <c r="A21" s="3" t="s">
        <v>19</v>
      </c>
      <c r="B21" s="2"/>
      <c r="C21" s="2"/>
    </row>
  </sheetData>
  <dataValidations count="7">
    <dataValidation allowBlank="true" errorStyle="stop" operator="between" showDropDown="false" showErrorMessage="false" showInputMessage="false" sqref="B4" type="list">
      <formula1>Списки!$A$2:$A$3</formula1>
      <formula2>0</formula2>
    </dataValidation>
    <dataValidation allowBlank="true" errorStyle="stop" operator="between" showDropDown="false" showErrorMessage="false" showInputMessage="false" sqref="B5" type="list">
      <formula1>Списки!$B$2:$B$3</formula1>
      <formula2>0</formula2>
    </dataValidation>
    <dataValidation allowBlank="true" errorStyle="stop" operator="between" showDropDown="false" showErrorMessage="false" showInputMessage="false" sqref="B6" type="list">
      <formula1>Списки!$C$2:$C$19</formula1>
      <formula2>0</formula2>
    </dataValidation>
    <dataValidation allowBlank="true" errorStyle="stop" operator="between" showDropDown="false" showErrorMessage="false" showInputMessage="false" sqref="B7" type="list">
      <formula1>Списки!$D$2:$D$32</formula1>
      <formula2>0</formula2>
    </dataValidation>
    <dataValidation allowBlank="true" errorStyle="stop" operator="between" showDropDown="false" showErrorMessage="false" showInputMessage="false" sqref="B8" type="list">
      <formula1>Списки!$E$2:$E$61</formula1>
      <formula2>0</formula2>
    </dataValidation>
    <dataValidation allowBlank="true" errorStyle="stop" operator="between" showDropDown="false" showErrorMessage="false" showInputMessage="false" sqref="B9" type="list">
      <formula1>Списки!$F$2:$F$101</formula1>
      <formula2>0</formula2>
    </dataValidation>
    <dataValidation allowBlank="true" errorStyle="stop" operator="between" showDropDown="false" showErrorMessage="false" showInputMessage="false" sqref="B17" type="list">
      <formula1>Списки!$G$2:$G$92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2" t="s">
        <v>20</v>
      </c>
      <c r="B1" s="12" t="s">
        <v>2</v>
      </c>
      <c r="C1" s="12" t="s">
        <v>4</v>
      </c>
      <c r="D1" s="12" t="s">
        <v>6</v>
      </c>
      <c r="E1" s="12" t="s">
        <v>11</v>
      </c>
      <c r="F1" s="12" t="s">
        <v>14</v>
      </c>
      <c r="G1" s="12" t="s">
        <v>12</v>
      </c>
      <c r="H1" s="12" t="s">
        <v>13</v>
      </c>
    </row>
    <row r="2" customFormat="false" ht="15" hidden="false" customHeight="false" outlineLevel="0" collapsed="false">
      <c r="A2" s="5" t="s">
        <v>21</v>
      </c>
      <c r="B2" s="5" t="s">
        <v>3</v>
      </c>
      <c r="C2" s="5" t="s">
        <v>5</v>
      </c>
      <c r="D2" s="5" t="s">
        <v>7</v>
      </c>
      <c r="E2" s="13" t="s">
        <v>22</v>
      </c>
      <c r="F2" s="4" t="n">
        <f aca="false">IF(OR(G2="",H2="",N(G2)=0,N(H2)&lt;=0),"",ROUNDDOWN(1000*(G2/H2)^3,0))</f>
        <v>716</v>
      </c>
      <c r="G2" s="11" t="n">
        <f aca="false">IF(D2="","",SUMIFS('Базовые времена'!$D$2:$D$71,'Базовые времена'!$A$2:$A$71,B2,'Базовые времена'!$B$2:$B$71,C2,'Базовые времена'!$C$2:$C$71,D2))</f>
        <v>44.84</v>
      </c>
      <c r="H2" s="11" t="n">
        <f aca="false">IF(E2="","",IF(ISNUMBER(E2),IF(E2&lt;1,E2*86400,E2),IFERROR(IF(ISNUMBER(FIND(":",SUBSTITUTE(TRIM(E2),",","."))),VALUE(LEFT(SUBSTITUTE(TRIM(E2),",","."),FIND(":",SUBSTITUTE(TRIM(E2),",","."))-1))*60+_xlfn.NUMBERVALUE(MID(SUBSTITUTE(TRIM(E2),",","."),FIND(":",SUBSTITUTE(TRIM(E2),",","."))+1,99),"."),_xlfn.NUMBERVALUE(SUBSTITUTE(TRIM(E2),",","."),".")),0)))</f>
        <v>50.12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13" t="s">
        <v>27</v>
      </c>
      <c r="F3" s="4" t="n">
        <f aca="false">IF(OR(G3="",H3="",N(G3)=0,N(H3)&lt;=0),"",ROUNDDOWN(1000*(G3/H3)^3,0))</f>
        <v>702</v>
      </c>
      <c r="G3" s="11" t="n">
        <f aca="false">IF(D3="","",SUMIFS('Базовые времена'!$D$2:$D$71,'Базовые времена'!$A$2:$A$71,B3,'Базовые времена'!$B$2:$B$71,C3,'Базовые времена'!$C$2:$C$71,D3))</f>
        <v>125.7</v>
      </c>
      <c r="H3" s="11" t="n">
        <f aca="false">IF(E3="","",IF(ISNUMBER(E3),IF(E3&lt;1,E3*86400,E3),IFERROR(IF(ISNUMBER(FIND(":",SUBSTITUTE(TRIM(E3),",","."))),VALUE(LEFT(SUBSTITUTE(TRIM(E3),",","."),FIND(":",SUBSTITUTE(TRIM(E3),",","."))-1))*60+_xlfn.NUMBERVALUE(MID(SUBSTITUTE(TRIM(E3),",","."),FIND(":",SUBSTITUTE(TRIM(E3),",","."))+1,99),"."),_xlfn.NUMBERVALUE(SUBSTITUTE(TRIM(E3),",","."),".")),0)))</f>
        <v>141.4</v>
      </c>
    </row>
    <row r="4" customFormat="false" ht="15" hidden="false" customHeight="false" outlineLevel="0" collapsed="false">
      <c r="A4" s="5"/>
      <c r="B4" s="5"/>
      <c r="C4" s="5"/>
      <c r="D4" s="5"/>
      <c r="E4" s="13"/>
      <c r="F4" s="4" t="str">
        <f aca="false">IF(OR(G4="",H4="",N(G4)=0,N(H4)&lt;=0),"",ROUNDDOWN(1000*(G4/H4)^3,0))</f>
        <v/>
      </c>
      <c r="G4" s="11" t="str">
        <f aca="false">IF(D4="","",SUMIFS('Базовые времена'!$D$2:$D$71,'Базовые времена'!$A$2:$A$71,B4,'Базовые времена'!$B$2:$B$71,C4,'Базовые времена'!$C$2:$C$71,D4))</f>
        <v/>
      </c>
      <c r="H4" s="11" t="str">
        <f aca="false">IF(E4="","",IF(ISNUMBER(E4),IF(E4&lt;1,E4*86400,E4),IFERROR(IF(ISNUMBER(FIND(":",SUBSTITUTE(TRIM(E4),",","."))),VALUE(LEFT(SUBSTITUTE(TRIM(E4),",","."),FIND(":",SUBSTITUTE(TRIM(E4),",","."))-1))*60+_xlfn.NUMBERVALUE(MID(SUBSTITUTE(TRIM(E4),",","."),FIND(":",SUBSTITUTE(TRIM(E4),",","."))+1,99),"."),_xlfn.NUMBERVALUE(SUBSTITUTE(TRIM(E4),",","."),".")),0)))</f>
        <v/>
      </c>
    </row>
    <row r="5" customFormat="false" ht="15" hidden="false" customHeight="false" outlineLevel="0" collapsed="false">
      <c r="A5" s="5"/>
      <c r="B5" s="5"/>
      <c r="C5" s="5"/>
      <c r="D5" s="5"/>
      <c r="E5" s="13"/>
      <c r="F5" s="4" t="str">
        <f aca="false">IF(OR(G5="",H5="",N(G5)=0,N(H5)&lt;=0),"",ROUNDDOWN(1000*(G5/H5)^3,0))</f>
        <v/>
      </c>
      <c r="G5" s="11" t="str">
        <f aca="false">IF(D5="","",SUMIFS('Базовые времена'!$D$2:$D$71,'Базовые времена'!$A$2:$A$71,B5,'Базовые времена'!$B$2:$B$71,C5,'Базовые времена'!$C$2:$C$71,D5))</f>
        <v/>
      </c>
      <c r="H5" s="11" t="str">
        <f aca="false">IF(E5="","",IF(ISNUMBER(E5),IF(E5&lt;1,E5*86400,E5),IFERROR(IF(ISNUMBER(FIND(":",SUBSTITUTE(TRIM(E5),",","."))),VALUE(LEFT(SUBSTITUTE(TRIM(E5),",","."),FIND(":",SUBSTITUTE(TRIM(E5),",","."))-1))*60+_xlfn.NUMBERVALUE(MID(SUBSTITUTE(TRIM(E5),",","."),FIND(":",SUBSTITUTE(TRIM(E5),",","."))+1,99),"."),_xlfn.NUMBERVALUE(SUBSTITUTE(TRIM(E5),",","."),".")),0)))</f>
        <v/>
      </c>
    </row>
    <row r="6" customFormat="false" ht="15" hidden="false" customHeight="false" outlineLevel="0" collapsed="false">
      <c r="A6" s="5"/>
      <c r="B6" s="5"/>
      <c r="C6" s="5"/>
      <c r="D6" s="5"/>
      <c r="E6" s="13"/>
      <c r="F6" s="4" t="str">
        <f aca="false">IF(OR(G6="",H6="",N(G6)=0,N(H6)&lt;=0),"",ROUNDDOWN(1000*(G6/H6)^3,0))</f>
        <v/>
      </c>
      <c r="G6" s="11" t="str">
        <f aca="false">IF(D6="","",SUMIFS('Базовые времена'!$D$2:$D$71,'Базовые времена'!$A$2:$A$71,B6,'Базовые времена'!$B$2:$B$71,C6,'Базовые времена'!$C$2:$C$71,D6))</f>
        <v/>
      </c>
      <c r="H6" s="11" t="str">
        <f aca="false">IF(E6="","",IF(ISNUMBER(E6),IF(E6&lt;1,E6*86400,E6),IFERROR(IF(ISNUMBER(FIND(":",SUBSTITUTE(TRIM(E6),",","."))),VALUE(LEFT(SUBSTITUTE(TRIM(E6),",","."),FIND(":",SUBSTITUTE(TRIM(E6),",","."))-1))*60+_xlfn.NUMBERVALUE(MID(SUBSTITUTE(TRIM(E6),",","."),FIND(":",SUBSTITUTE(TRIM(E6),",","."))+1,99),"."),_xlfn.NUMBERVALUE(SUBSTITUTE(TRIM(E6),",","."),".")),0)))</f>
        <v/>
      </c>
    </row>
    <row r="7" customFormat="false" ht="15" hidden="false" customHeight="false" outlineLevel="0" collapsed="false">
      <c r="A7" s="5"/>
      <c r="B7" s="5"/>
      <c r="C7" s="5"/>
      <c r="D7" s="5"/>
      <c r="E7" s="13"/>
      <c r="F7" s="4" t="str">
        <f aca="false">IF(OR(G7="",H7="",N(G7)=0,N(H7)&lt;=0),"",ROUNDDOWN(1000*(G7/H7)^3,0))</f>
        <v/>
      </c>
      <c r="G7" s="11" t="str">
        <f aca="false">IF(D7="","",SUMIFS('Базовые времена'!$D$2:$D$71,'Базовые времена'!$A$2:$A$71,B7,'Базовые времена'!$B$2:$B$71,C7,'Базовые времена'!$C$2:$C$71,D7))</f>
        <v/>
      </c>
      <c r="H7" s="11" t="str">
        <f aca="false">IF(E7="","",IF(ISNUMBER(E7),IF(E7&lt;1,E7*86400,E7),IFERROR(IF(ISNUMBER(FIND(":",SUBSTITUTE(TRIM(E7),",","."))),VALUE(LEFT(SUBSTITUTE(TRIM(E7),",","."),FIND(":",SUBSTITUTE(TRIM(E7),",","."))-1))*60+_xlfn.NUMBERVALUE(MID(SUBSTITUTE(TRIM(E7),",","."),FIND(":",SUBSTITUTE(TRIM(E7),",","."))+1,99),"."),_xlfn.NUMBERVALUE(SUBSTITUTE(TRIM(E7),",","."),".")),0)))</f>
        <v/>
      </c>
    </row>
    <row r="8" customFormat="false" ht="15" hidden="false" customHeight="false" outlineLevel="0" collapsed="false">
      <c r="A8" s="5"/>
      <c r="B8" s="5"/>
      <c r="C8" s="5"/>
      <c r="D8" s="5"/>
      <c r="E8" s="13"/>
      <c r="F8" s="4" t="str">
        <f aca="false">IF(OR(G8="",H8="",N(G8)=0,N(H8)&lt;=0),"",ROUNDDOWN(1000*(G8/H8)^3,0))</f>
        <v/>
      </c>
      <c r="G8" s="11" t="str">
        <f aca="false">IF(D8="","",SUMIFS('Базовые времена'!$D$2:$D$71,'Базовые времена'!$A$2:$A$71,B8,'Базовые времена'!$B$2:$B$71,C8,'Базовые времена'!$C$2:$C$71,D8))</f>
        <v/>
      </c>
      <c r="H8" s="11" t="str">
        <f aca="false">IF(E8="","",IF(ISNUMBER(E8),IF(E8&lt;1,E8*86400,E8),IFERROR(IF(ISNUMBER(FIND(":",SUBSTITUTE(TRIM(E8),",","."))),VALUE(LEFT(SUBSTITUTE(TRIM(E8),",","."),FIND(":",SUBSTITUTE(TRIM(E8),",","."))-1))*60+_xlfn.NUMBERVALUE(MID(SUBSTITUTE(TRIM(E8),",","."),FIND(":",SUBSTITUTE(TRIM(E8),",","."))+1,99),"."),_xlfn.NUMBERVALUE(SUBSTITUTE(TRIM(E8),",","."),".")),0)))</f>
        <v/>
      </c>
    </row>
    <row r="9" customFormat="false" ht="15" hidden="false" customHeight="false" outlineLevel="0" collapsed="false">
      <c r="A9" s="5"/>
      <c r="B9" s="5"/>
      <c r="C9" s="5"/>
      <c r="D9" s="5"/>
      <c r="E9" s="13"/>
      <c r="F9" s="4" t="str">
        <f aca="false">IF(OR(G9="",H9="",N(G9)=0,N(H9)&lt;=0),"",ROUNDDOWN(1000*(G9/H9)^3,0))</f>
        <v/>
      </c>
      <c r="G9" s="11" t="str">
        <f aca="false">IF(D9="","",SUMIFS('Базовые времена'!$D$2:$D$71,'Базовые времена'!$A$2:$A$71,B9,'Базовые времена'!$B$2:$B$71,C9,'Базовые времена'!$C$2:$C$71,D9))</f>
        <v/>
      </c>
      <c r="H9" s="11" t="str">
        <f aca="false">IF(E9="","",IF(ISNUMBER(E9),IF(E9&lt;1,E9*86400,E9),IFERROR(IF(ISNUMBER(FIND(":",SUBSTITUTE(TRIM(E9),",","."))),VALUE(LEFT(SUBSTITUTE(TRIM(E9),",","."),FIND(":",SUBSTITUTE(TRIM(E9),",","."))-1))*60+_xlfn.NUMBERVALUE(MID(SUBSTITUTE(TRIM(E9),",","."),FIND(":",SUBSTITUTE(TRIM(E9),",","."))+1,99),"."),_xlfn.NUMBERVALUE(SUBSTITUTE(TRIM(E9),",","."),".")),0)))</f>
        <v/>
      </c>
    </row>
    <row r="10" customFormat="false" ht="15" hidden="false" customHeight="false" outlineLevel="0" collapsed="false">
      <c r="A10" s="5"/>
      <c r="B10" s="5"/>
      <c r="C10" s="5"/>
      <c r="D10" s="5"/>
      <c r="E10" s="13"/>
      <c r="F10" s="4" t="str">
        <f aca="false">IF(OR(G10="",H10="",N(G10)=0,N(H10)&lt;=0),"",ROUNDDOWN(1000*(G10/H10)^3,0))</f>
        <v/>
      </c>
      <c r="G10" s="11" t="str">
        <f aca="false">IF(D10="","",SUMIFS('Базовые времена'!$D$2:$D$71,'Базовые времена'!$A$2:$A$71,B10,'Базовые времена'!$B$2:$B$71,C10,'Базовые времена'!$C$2:$C$71,D10))</f>
        <v/>
      </c>
      <c r="H10" s="11" t="str">
        <f aca="false">IF(E10="","",IF(ISNUMBER(E10),IF(E10&lt;1,E10*86400,E10),IFERROR(IF(ISNUMBER(FIND(":",SUBSTITUTE(TRIM(E10),",","."))),VALUE(LEFT(SUBSTITUTE(TRIM(E10),",","."),FIND(":",SUBSTITUTE(TRIM(E10),",","."))-1))*60+_xlfn.NUMBERVALUE(MID(SUBSTITUTE(TRIM(E10),",","."),FIND(":",SUBSTITUTE(TRIM(E10),",","."))+1,99),"."),_xlfn.NUMBERVALUE(SUBSTITUTE(TRIM(E10),",","."),".")),0)))</f>
        <v/>
      </c>
    </row>
    <row r="11" customFormat="false" ht="15" hidden="false" customHeight="false" outlineLevel="0" collapsed="false">
      <c r="A11" s="5"/>
      <c r="B11" s="5"/>
      <c r="C11" s="5"/>
      <c r="D11" s="5"/>
      <c r="E11" s="13"/>
      <c r="F11" s="4" t="str">
        <f aca="false">IF(OR(G11="",H11="",N(G11)=0,N(H11)&lt;=0),"",ROUNDDOWN(1000*(G11/H11)^3,0))</f>
        <v/>
      </c>
      <c r="G11" s="11" t="str">
        <f aca="false">IF(D11="","",SUMIFS('Базовые времена'!$D$2:$D$71,'Базовые времена'!$A$2:$A$71,B11,'Базовые времена'!$B$2:$B$71,C11,'Базовые времена'!$C$2:$C$71,D11))</f>
        <v/>
      </c>
      <c r="H11" s="11" t="str">
        <f aca="false">IF(E11="","",IF(ISNUMBER(E11),IF(E11&lt;1,E11*86400,E11),IFERROR(IF(ISNUMBER(FIND(":",SUBSTITUTE(TRIM(E11),",","."))),VALUE(LEFT(SUBSTITUTE(TRIM(E11),",","."),FIND(":",SUBSTITUTE(TRIM(E11),",","."))-1))*60+_xlfn.NUMBERVALUE(MID(SUBSTITUTE(TRIM(E11),",","."),FIND(":",SUBSTITUTE(TRIM(E11),",","."))+1,99),"."),_xlfn.NUMBERVALUE(SUBSTITUTE(TRIM(E11),",","."),".")),0)))</f>
        <v/>
      </c>
    </row>
    <row r="12" customFormat="false" ht="15" hidden="false" customHeight="false" outlineLevel="0" collapsed="false">
      <c r="A12" s="5"/>
      <c r="B12" s="5"/>
      <c r="C12" s="5"/>
      <c r="D12" s="5"/>
      <c r="E12" s="13"/>
      <c r="F12" s="4" t="str">
        <f aca="false">IF(OR(G12="",H12="",N(G12)=0,N(H12)&lt;=0),"",ROUNDDOWN(1000*(G12/H12)^3,0))</f>
        <v/>
      </c>
      <c r="G12" s="11" t="str">
        <f aca="false">IF(D12="","",SUMIFS('Базовые времена'!$D$2:$D$71,'Базовые времена'!$A$2:$A$71,B12,'Базовые времена'!$B$2:$B$71,C12,'Базовые времена'!$C$2:$C$71,D12))</f>
        <v/>
      </c>
      <c r="H12" s="11" t="str">
        <f aca="false">IF(E12="","",IF(ISNUMBER(E12),IF(E12&lt;1,E12*86400,E12),IFERROR(IF(ISNUMBER(FIND(":",SUBSTITUTE(TRIM(E12),",","."))),VALUE(LEFT(SUBSTITUTE(TRIM(E12),",","."),FIND(":",SUBSTITUTE(TRIM(E12),",","."))-1))*60+_xlfn.NUMBERVALUE(MID(SUBSTITUTE(TRIM(E12),",","."),FIND(":",SUBSTITUTE(TRIM(E12),",","."))+1,99),"."),_xlfn.NUMBERVALUE(SUBSTITUTE(TRIM(E12),",","."),".")),0)))</f>
        <v/>
      </c>
    </row>
    <row r="13" customFormat="false" ht="15" hidden="false" customHeight="false" outlineLevel="0" collapsed="false">
      <c r="A13" s="5"/>
      <c r="B13" s="5"/>
      <c r="C13" s="5"/>
      <c r="D13" s="5"/>
      <c r="E13" s="13"/>
      <c r="F13" s="4" t="str">
        <f aca="false">IF(OR(G13="",H13="",N(G13)=0,N(H13)&lt;=0),"",ROUNDDOWN(1000*(G13/H13)^3,0))</f>
        <v/>
      </c>
      <c r="G13" s="11" t="str">
        <f aca="false">IF(D13="","",SUMIFS('Базовые времена'!$D$2:$D$71,'Базовые времена'!$A$2:$A$71,B13,'Базовые времена'!$B$2:$B$71,C13,'Базовые времена'!$C$2:$C$71,D13))</f>
        <v/>
      </c>
      <c r="H13" s="11" t="str">
        <f aca="false">IF(E13="","",IF(ISNUMBER(E13),IF(E13&lt;1,E13*86400,E13),IFERROR(IF(ISNUMBER(FIND(":",SUBSTITUTE(TRIM(E13),",","."))),VALUE(LEFT(SUBSTITUTE(TRIM(E13),",","."),FIND(":",SUBSTITUTE(TRIM(E13),",","."))-1))*60+_xlfn.NUMBERVALUE(MID(SUBSTITUTE(TRIM(E13),",","."),FIND(":",SUBSTITUTE(TRIM(E13),",","."))+1,99),"."),_xlfn.NUMBERVALUE(SUBSTITUTE(TRIM(E13),",","."),".")),0)))</f>
        <v/>
      </c>
    </row>
    <row r="14" customFormat="false" ht="15" hidden="false" customHeight="false" outlineLevel="0" collapsed="false">
      <c r="A14" s="5"/>
      <c r="B14" s="5"/>
      <c r="C14" s="5"/>
      <c r="D14" s="5"/>
      <c r="E14" s="13"/>
      <c r="F14" s="4" t="str">
        <f aca="false">IF(OR(G14="",H14="",N(G14)=0,N(H14)&lt;=0),"",ROUNDDOWN(1000*(G14/H14)^3,0))</f>
        <v/>
      </c>
      <c r="G14" s="11" t="str">
        <f aca="false">IF(D14="","",SUMIFS('Базовые времена'!$D$2:$D$71,'Базовые времена'!$A$2:$A$71,B14,'Базовые времена'!$B$2:$B$71,C14,'Базовые времена'!$C$2:$C$71,D14))</f>
        <v/>
      </c>
      <c r="H14" s="11" t="str">
        <f aca="false">IF(E14="","",IF(ISNUMBER(E14),IF(E14&lt;1,E14*86400,E14),IFERROR(IF(ISNUMBER(FIND(":",SUBSTITUTE(TRIM(E14),",","."))),VALUE(LEFT(SUBSTITUTE(TRIM(E14),",","."),FIND(":",SUBSTITUTE(TRIM(E14),",","."))-1))*60+_xlfn.NUMBERVALUE(MID(SUBSTITUTE(TRIM(E14),",","."),FIND(":",SUBSTITUTE(TRIM(E14),",","."))+1,99),"."),_xlfn.NUMBERVALUE(SUBSTITUTE(TRIM(E14),",","."),".")),0)))</f>
        <v/>
      </c>
    </row>
    <row r="15" customFormat="false" ht="15" hidden="false" customHeight="false" outlineLevel="0" collapsed="false">
      <c r="A15" s="5"/>
      <c r="B15" s="5"/>
      <c r="C15" s="5"/>
      <c r="D15" s="5"/>
      <c r="E15" s="13"/>
      <c r="F15" s="4" t="str">
        <f aca="false">IF(OR(G15="",H15="",N(G15)=0,N(H15)&lt;=0),"",ROUNDDOWN(1000*(G15/H15)^3,0))</f>
        <v/>
      </c>
      <c r="G15" s="11" t="str">
        <f aca="false">IF(D15="","",SUMIFS('Базовые времена'!$D$2:$D$71,'Базовые времена'!$A$2:$A$71,B15,'Базовые времена'!$B$2:$B$71,C15,'Базовые времена'!$C$2:$C$71,D15))</f>
        <v/>
      </c>
      <c r="H15" s="11" t="str">
        <f aca="false">IF(E15="","",IF(ISNUMBER(E15),IF(E15&lt;1,E15*86400,E15),IFERROR(IF(ISNUMBER(FIND(":",SUBSTITUTE(TRIM(E15),",","."))),VALUE(LEFT(SUBSTITUTE(TRIM(E15),",","."),FIND(":",SUBSTITUTE(TRIM(E15),",","."))-1))*60+_xlfn.NUMBERVALUE(MID(SUBSTITUTE(TRIM(E15),",","."),FIND(":",SUBSTITUTE(TRIM(E15),",","."))+1,99),"."),_xlfn.NUMBERVALUE(SUBSTITUTE(TRIM(E15),",","."),".")),0)))</f>
        <v/>
      </c>
    </row>
    <row r="16" customFormat="false" ht="15" hidden="false" customHeight="false" outlineLevel="0" collapsed="false">
      <c r="A16" s="5"/>
      <c r="B16" s="5"/>
      <c r="C16" s="5"/>
      <c r="D16" s="5"/>
      <c r="E16" s="13"/>
      <c r="F16" s="4" t="str">
        <f aca="false">IF(OR(G16="",H16="",N(G16)=0,N(H16)&lt;=0),"",ROUNDDOWN(1000*(G16/H16)^3,0))</f>
        <v/>
      </c>
      <c r="G16" s="11" t="str">
        <f aca="false">IF(D16="","",SUMIFS('Базовые времена'!$D$2:$D$71,'Базовые времена'!$A$2:$A$71,B16,'Базовые времена'!$B$2:$B$71,C16,'Базовые времена'!$C$2:$C$71,D16))</f>
        <v/>
      </c>
      <c r="H16" s="11" t="str">
        <f aca="false">IF(E16="","",IF(ISNUMBER(E16),IF(E16&lt;1,E16*86400,E16),IFERROR(IF(ISNUMBER(FIND(":",SUBSTITUTE(TRIM(E16),",","."))),VALUE(LEFT(SUBSTITUTE(TRIM(E16),",","."),FIND(":",SUBSTITUTE(TRIM(E16),",","."))-1))*60+_xlfn.NUMBERVALUE(MID(SUBSTITUTE(TRIM(E16),",","."),FIND(":",SUBSTITUTE(TRIM(E16),",","."))+1,99),"."),_xlfn.NUMBERVALUE(SUBSTITUTE(TRIM(E16),",","."),".")),0)))</f>
        <v/>
      </c>
    </row>
    <row r="17" customFormat="false" ht="15" hidden="false" customHeight="false" outlineLevel="0" collapsed="false">
      <c r="A17" s="5"/>
      <c r="B17" s="5"/>
      <c r="C17" s="5"/>
      <c r="D17" s="5"/>
      <c r="E17" s="13"/>
      <c r="F17" s="4" t="str">
        <f aca="false">IF(OR(G17="",H17="",N(G17)=0,N(H17)&lt;=0),"",ROUNDDOWN(1000*(G17/H17)^3,0))</f>
        <v/>
      </c>
      <c r="G17" s="11" t="str">
        <f aca="false">IF(D17="","",SUMIFS('Базовые времена'!$D$2:$D$71,'Базовые времена'!$A$2:$A$71,B17,'Базовые времена'!$B$2:$B$71,C17,'Базовые времена'!$C$2:$C$71,D17))</f>
        <v/>
      </c>
      <c r="H17" s="11" t="str">
        <f aca="false">IF(E17="","",IF(ISNUMBER(E17),IF(E17&lt;1,E17*86400,E17),IFERROR(IF(ISNUMBER(FIND(":",SUBSTITUTE(TRIM(E17),",","."))),VALUE(LEFT(SUBSTITUTE(TRIM(E17),",","."),FIND(":",SUBSTITUTE(TRIM(E17),",","."))-1))*60+_xlfn.NUMBERVALUE(MID(SUBSTITUTE(TRIM(E17),",","."),FIND(":",SUBSTITUTE(TRIM(E17),",","."))+1,99),"."),_xlfn.NUMBERVALUE(SUBSTITUTE(TRIM(E17),",","."),".")),0)))</f>
        <v/>
      </c>
    </row>
    <row r="18" customFormat="false" ht="15" hidden="false" customHeight="false" outlineLevel="0" collapsed="false">
      <c r="A18" s="5"/>
      <c r="B18" s="5"/>
      <c r="C18" s="5"/>
      <c r="D18" s="5"/>
      <c r="E18" s="13"/>
      <c r="F18" s="4" t="str">
        <f aca="false">IF(OR(G18="",H18="",N(G18)=0,N(H18)&lt;=0),"",ROUNDDOWN(1000*(G18/H18)^3,0))</f>
        <v/>
      </c>
      <c r="G18" s="11" t="str">
        <f aca="false">IF(D18="","",SUMIFS('Базовые времена'!$D$2:$D$71,'Базовые времена'!$A$2:$A$71,B18,'Базовые времена'!$B$2:$B$71,C18,'Базовые времена'!$C$2:$C$71,D18))</f>
        <v/>
      </c>
      <c r="H18" s="11" t="str">
        <f aca="false">IF(E18="","",IF(ISNUMBER(E18),IF(E18&lt;1,E18*86400,E18),IFERROR(IF(ISNUMBER(FIND(":",SUBSTITUTE(TRIM(E18),",","."))),VALUE(LEFT(SUBSTITUTE(TRIM(E18),",","."),FIND(":",SUBSTITUTE(TRIM(E18),",","."))-1))*60+_xlfn.NUMBERVALUE(MID(SUBSTITUTE(TRIM(E18),",","."),FIND(":",SUBSTITUTE(TRIM(E18),",","."))+1,99),"."),_xlfn.NUMBERVALUE(SUBSTITUTE(TRIM(E18),",","."),".")),0)))</f>
        <v/>
      </c>
    </row>
    <row r="19" customFormat="false" ht="15" hidden="false" customHeight="false" outlineLevel="0" collapsed="false">
      <c r="A19" s="5"/>
      <c r="B19" s="5"/>
      <c r="C19" s="5"/>
      <c r="D19" s="5"/>
      <c r="E19" s="13"/>
      <c r="F19" s="4" t="str">
        <f aca="false">IF(OR(G19="",H19="",N(G19)=0,N(H19)&lt;=0),"",ROUNDDOWN(1000*(G19/H19)^3,0))</f>
        <v/>
      </c>
      <c r="G19" s="11" t="str">
        <f aca="false">IF(D19="","",SUMIFS('Базовые времена'!$D$2:$D$71,'Базовые времена'!$A$2:$A$71,B19,'Базовые времена'!$B$2:$B$71,C19,'Базовые времена'!$C$2:$C$71,D19))</f>
        <v/>
      </c>
      <c r="H19" s="11" t="str">
        <f aca="false">IF(E19="","",IF(ISNUMBER(E19),IF(E19&lt;1,E19*86400,E19),IFERROR(IF(ISNUMBER(FIND(":",SUBSTITUTE(TRIM(E19),",","."))),VALUE(LEFT(SUBSTITUTE(TRIM(E19),",","."),FIND(":",SUBSTITUTE(TRIM(E19),",","."))-1))*60+_xlfn.NUMBERVALUE(MID(SUBSTITUTE(TRIM(E19),",","."),FIND(":",SUBSTITUTE(TRIM(E19),",","."))+1,99),"."),_xlfn.NUMBERVALUE(SUBSTITUTE(TRIM(E19),",","."),".")),0)))</f>
        <v/>
      </c>
    </row>
    <row r="20" customFormat="false" ht="15" hidden="false" customHeight="false" outlineLevel="0" collapsed="false">
      <c r="A20" s="5"/>
      <c r="B20" s="5"/>
      <c r="C20" s="5"/>
      <c r="D20" s="5"/>
      <c r="E20" s="13"/>
      <c r="F20" s="4" t="str">
        <f aca="false">IF(OR(G20="",H20="",N(G20)=0,N(H20)&lt;=0),"",ROUNDDOWN(1000*(G20/H20)^3,0))</f>
        <v/>
      </c>
      <c r="G20" s="11" t="str">
        <f aca="false">IF(D20="","",SUMIFS('Базовые времена'!$D$2:$D$71,'Базовые времена'!$A$2:$A$71,B20,'Базовые времена'!$B$2:$B$71,C20,'Базовые времена'!$C$2:$C$71,D20))</f>
        <v/>
      </c>
      <c r="H20" s="11" t="str">
        <f aca="false">IF(E20="","",IF(ISNUMBER(E20),IF(E20&lt;1,E20*86400,E20),IFERROR(IF(ISNUMBER(FIND(":",SUBSTITUTE(TRIM(E20),",","."))),VALUE(LEFT(SUBSTITUTE(TRIM(E20),",","."),FIND(":",SUBSTITUTE(TRIM(E20),",","."))-1))*60+_xlfn.NUMBERVALUE(MID(SUBSTITUTE(TRIM(E20),",","."),FIND(":",SUBSTITUTE(TRIM(E20),",","."))+1,99),"."),_xlfn.NUMBERVALUE(SUBSTITUTE(TRIM(E20),",","."),".")),0)))</f>
        <v/>
      </c>
    </row>
    <row r="21" customFormat="false" ht="15" hidden="false" customHeight="false" outlineLevel="0" collapsed="false">
      <c r="A21" s="5"/>
      <c r="B21" s="5"/>
      <c r="C21" s="5"/>
      <c r="D21" s="5"/>
      <c r="E21" s="13"/>
      <c r="F21" s="4" t="str">
        <f aca="false">IF(OR(G21="",H21="",N(G21)=0,N(H21)&lt;=0),"",ROUNDDOWN(1000*(G21/H21)^3,0))</f>
        <v/>
      </c>
      <c r="G21" s="11" t="str">
        <f aca="false">IF(D21="","",SUMIFS('Базовые времена'!$D$2:$D$71,'Базовые времена'!$A$2:$A$71,B21,'Базовые времена'!$B$2:$B$71,C21,'Базовые времена'!$C$2:$C$71,D21))</f>
        <v/>
      </c>
      <c r="H21" s="11" t="str">
        <f aca="false">IF(E21="","",IF(ISNUMBER(E21),IF(E21&lt;1,E21*86400,E21),IFERROR(IF(ISNUMBER(FIND(":",SUBSTITUTE(TRIM(E21),",","."))),VALUE(LEFT(SUBSTITUTE(TRIM(E21),",","."),FIND(":",SUBSTITUTE(TRIM(E21),",","."))-1))*60+_xlfn.NUMBERVALUE(MID(SUBSTITUTE(TRIM(E21),",","."),FIND(":",SUBSTITUTE(TRIM(E21),",","."))+1,99),"."),_xlfn.NUMBERVALUE(SUBSTITUTE(TRIM(E21),",","."),".")),0)))</f>
        <v/>
      </c>
    </row>
    <row r="22" customFormat="false" ht="15" hidden="false" customHeight="false" outlineLevel="0" collapsed="false">
      <c r="A22" s="5"/>
      <c r="B22" s="5"/>
      <c r="C22" s="5"/>
      <c r="D22" s="5"/>
      <c r="E22" s="13"/>
      <c r="F22" s="4" t="str">
        <f aca="false">IF(OR(G22="",H22="",N(G22)=0,N(H22)&lt;=0),"",ROUNDDOWN(1000*(G22/H22)^3,0))</f>
        <v/>
      </c>
      <c r="G22" s="11" t="str">
        <f aca="false">IF(D22="","",SUMIFS('Базовые времена'!$D$2:$D$71,'Базовые времена'!$A$2:$A$71,B22,'Базовые времена'!$B$2:$B$71,C22,'Базовые времена'!$C$2:$C$71,D22))</f>
        <v/>
      </c>
      <c r="H22" s="11" t="str">
        <f aca="false">IF(E22="","",IF(ISNUMBER(E22),IF(E22&lt;1,E22*86400,E22),IFERROR(IF(ISNUMBER(FIND(":",SUBSTITUTE(TRIM(E22),",","."))),VALUE(LEFT(SUBSTITUTE(TRIM(E22),",","."),FIND(":",SUBSTITUTE(TRIM(E22),",","."))-1))*60+_xlfn.NUMBERVALUE(MID(SUBSTITUTE(TRIM(E22),",","."),FIND(":",SUBSTITUTE(TRIM(E22),",","."))+1,99),"."),_xlfn.NUMBERVALUE(SUBSTITUTE(TRIM(E22),",","."),".")),0)))</f>
        <v/>
      </c>
    </row>
    <row r="23" customFormat="false" ht="15" hidden="false" customHeight="false" outlineLevel="0" collapsed="false">
      <c r="A23" s="5"/>
      <c r="B23" s="5"/>
      <c r="C23" s="5"/>
      <c r="D23" s="5"/>
      <c r="E23" s="13"/>
      <c r="F23" s="4" t="str">
        <f aca="false">IF(OR(G23="",H23="",N(G23)=0,N(H23)&lt;=0),"",ROUNDDOWN(1000*(G23/H23)^3,0))</f>
        <v/>
      </c>
      <c r="G23" s="11" t="str">
        <f aca="false">IF(D23="","",SUMIFS('Базовые времена'!$D$2:$D$71,'Базовые времена'!$A$2:$A$71,B23,'Базовые времена'!$B$2:$B$71,C23,'Базовые времена'!$C$2:$C$71,D23))</f>
        <v/>
      </c>
      <c r="H23" s="11" t="str">
        <f aca="false">IF(E23="","",IF(ISNUMBER(E23),IF(E23&lt;1,E23*86400,E23),IFERROR(IF(ISNUMBER(FIND(":",SUBSTITUTE(TRIM(E23),",","."))),VALUE(LEFT(SUBSTITUTE(TRIM(E23),",","."),FIND(":",SUBSTITUTE(TRIM(E23),",","."))-1))*60+_xlfn.NUMBERVALUE(MID(SUBSTITUTE(TRIM(E23),",","."),FIND(":",SUBSTITUTE(TRIM(E23),",","."))+1,99),"."),_xlfn.NUMBERVALUE(SUBSTITUTE(TRIM(E23),",","."),".")),0)))</f>
        <v/>
      </c>
    </row>
    <row r="24" customFormat="false" ht="15" hidden="false" customHeight="false" outlineLevel="0" collapsed="false">
      <c r="A24" s="5"/>
      <c r="B24" s="5"/>
      <c r="C24" s="5"/>
      <c r="D24" s="5"/>
      <c r="E24" s="13"/>
      <c r="F24" s="4" t="str">
        <f aca="false">IF(OR(G24="",H24="",N(G24)=0,N(H24)&lt;=0),"",ROUNDDOWN(1000*(G24/H24)^3,0))</f>
        <v/>
      </c>
      <c r="G24" s="11" t="str">
        <f aca="false">IF(D24="","",SUMIFS('Базовые времена'!$D$2:$D$71,'Базовые времена'!$A$2:$A$71,B24,'Базовые времена'!$B$2:$B$71,C24,'Базовые времена'!$C$2:$C$71,D24))</f>
        <v/>
      </c>
      <c r="H24" s="11" t="str">
        <f aca="false">IF(E24="","",IF(ISNUMBER(E24),IF(E24&lt;1,E24*86400,E24),IFERROR(IF(ISNUMBER(FIND(":",SUBSTITUTE(TRIM(E24),",","."))),VALUE(LEFT(SUBSTITUTE(TRIM(E24),",","."),FIND(":",SUBSTITUTE(TRIM(E24),",","."))-1))*60+_xlfn.NUMBERVALUE(MID(SUBSTITUTE(TRIM(E24),",","."),FIND(":",SUBSTITUTE(TRIM(E24),",","."))+1,99),"."),_xlfn.NUMBERVALUE(SUBSTITUTE(TRIM(E24),",","."),".")),0)))</f>
        <v/>
      </c>
    </row>
    <row r="25" customFormat="false" ht="15" hidden="false" customHeight="false" outlineLevel="0" collapsed="false">
      <c r="A25" s="5"/>
      <c r="B25" s="5"/>
      <c r="C25" s="5"/>
      <c r="D25" s="5"/>
      <c r="E25" s="13"/>
      <c r="F25" s="4" t="str">
        <f aca="false">IF(OR(G25="",H25="",N(G25)=0,N(H25)&lt;=0),"",ROUNDDOWN(1000*(G25/H25)^3,0))</f>
        <v/>
      </c>
      <c r="G25" s="11" t="str">
        <f aca="false">IF(D25="","",SUMIFS('Базовые времена'!$D$2:$D$71,'Базовые времена'!$A$2:$A$71,B25,'Базовые времена'!$B$2:$B$71,C25,'Базовые времена'!$C$2:$C$71,D25))</f>
        <v/>
      </c>
      <c r="H25" s="11" t="str">
        <f aca="false">IF(E25="","",IF(ISNUMBER(E25),IF(E25&lt;1,E25*86400,E25),IFERROR(IF(ISNUMBER(FIND(":",SUBSTITUTE(TRIM(E25),",","."))),VALUE(LEFT(SUBSTITUTE(TRIM(E25),",","."),FIND(":",SUBSTITUTE(TRIM(E25),",","."))-1))*60+_xlfn.NUMBERVALUE(MID(SUBSTITUTE(TRIM(E25),",","."),FIND(":",SUBSTITUTE(TRIM(E25),",","."))+1,99),"."),_xlfn.NUMBERVALUE(SUBSTITUTE(TRIM(E25),",","."),".")),0)))</f>
        <v/>
      </c>
    </row>
    <row r="26" customFormat="false" ht="15" hidden="false" customHeight="false" outlineLevel="0" collapsed="false">
      <c r="A26" s="5"/>
      <c r="B26" s="5"/>
      <c r="C26" s="5"/>
      <c r="D26" s="5"/>
      <c r="E26" s="13"/>
      <c r="F26" s="4" t="str">
        <f aca="false">IF(OR(G26="",H26="",N(G26)=0,N(H26)&lt;=0),"",ROUNDDOWN(1000*(G26/H26)^3,0))</f>
        <v/>
      </c>
      <c r="G26" s="11" t="str">
        <f aca="false">IF(D26="","",SUMIFS('Базовые времена'!$D$2:$D$71,'Базовые времена'!$A$2:$A$71,B26,'Базовые времена'!$B$2:$B$71,C26,'Базовые времена'!$C$2:$C$71,D26))</f>
        <v/>
      </c>
      <c r="H26" s="11" t="str">
        <f aca="false">IF(E26="","",IF(ISNUMBER(E26),IF(E26&lt;1,E26*86400,E26),IFERROR(IF(ISNUMBER(FIND(":",SUBSTITUTE(TRIM(E26),",","."))),VALUE(LEFT(SUBSTITUTE(TRIM(E26),",","."),FIND(":",SUBSTITUTE(TRIM(E26),",","."))-1))*60+_xlfn.NUMBERVALUE(MID(SUBSTITUTE(TRIM(E26),",","."),FIND(":",SUBSTITUTE(TRIM(E26),",","."))+1,99),"."),_xlfn.NUMBERVALUE(SUBSTITUTE(TRIM(E26),",","."),".")),0)))</f>
        <v/>
      </c>
    </row>
    <row r="27" customFormat="false" ht="15" hidden="false" customHeight="false" outlineLevel="0" collapsed="false">
      <c r="A27" s="5"/>
      <c r="B27" s="5"/>
      <c r="C27" s="5"/>
      <c r="D27" s="5"/>
      <c r="E27" s="13"/>
      <c r="F27" s="4" t="str">
        <f aca="false">IF(OR(G27="",H27="",N(G27)=0,N(H27)&lt;=0),"",ROUNDDOWN(1000*(G27/H27)^3,0))</f>
        <v/>
      </c>
      <c r="G27" s="11" t="str">
        <f aca="false">IF(D27="","",SUMIFS('Базовые времена'!$D$2:$D$71,'Базовые времена'!$A$2:$A$71,B27,'Базовые времена'!$B$2:$B$71,C27,'Базовые времена'!$C$2:$C$71,D27))</f>
        <v/>
      </c>
      <c r="H27" s="11" t="str">
        <f aca="false">IF(E27="","",IF(ISNUMBER(E27),IF(E27&lt;1,E27*86400,E27),IFERROR(IF(ISNUMBER(FIND(":",SUBSTITUTE(TRIM(E27),",","."))),VALUE(LEFT(SUBSTITUTE(TRIM(E27),",","."),FIND(":",SUBSTITUTE(TRIM(E27),",","."))-1))*60+_xlfn.NUMBERVALUE(MID(SUBSTITUTE(TRIM(E27),",","."),FIND(":",SUBSTITUTE(TRIM(E27),",","."))+1,99),"."),_xlfn.NUMBERVALUE(SUBSTITUTE(TRIM(E27),",","."),".")),0)))</f>
        <v/>
      </c>
    </row>
    <row r="28" customFormat="false" ht="15" hidden="false" customHeight="false" outlineLevel="0" collapsed="false">
      <c r="A28" s="5"/>
      <c r="B28" s="5"/>
      <c r="C28" s="5"/>
      <c r="D28" s="5"/>
      <c r="E28" s="13"/>
      <c r="F28" s="4" t="str">
        <f aca="false">IF(OR(G28="",H28="",N(G28)=0,N(H28)&lt;=0),"",ROUNDDOWN(1000*(G28/H28)^3,0))</f>
        <v/>
      </c>
      <c r="G28" s="11" t="str">
        <f aca="false">IF(D28="","",SUMIFS('Базовые времена'!$D$2:$D$71,'Базовые времена'!$A$2:$A$71,B28,'Базовые времена'!$B$2:$B$71,C28,'Базовые времена'!$C$2:$C$71,D28))</f>
        <v/>
      </c>
      <c r="H28" s="11" t="str">
        <f aca="false">IF(E28="","",IF(ISNUMBER(E28),IF(E28&lt;1,E28*86400,E28),IFERROR(IF(ISNUMBER(FIND(":",SUBSTITUTE(TRIM(E28),",","."))),VALUE(LEFT(SUBSTITUTE(TRIM(E28),",","."),FIND(":",SUBSTITUTE(TRIM(E28),",","."))-1))*60+_xlfn.NUMBERVALUE(MID(SUBSTITUTE(TRIM(E28),",","."),FIND(":",SUBSTITUTE(TRIM(E28),",","."))+1,99),"."),_xlfn.NUMBERVALUE(SUBSTITUTE(TRIM(E28),",","."),".")),0)))</f>
        <v/>
      </c>
    </row>
    <row r="29" customFormat="false" ht="15" hidden="false" customHeight="false" outlineLevel="0" collapsed="false">
      <c r="A29" s="5"/>
      <c r="B29" s="5"/>
      <c r="C29" s="5"/>
      <c r="D29" s="5"/>
      <c r="E29" s="13"/>
      <c r="F29" s="4" t="str">
        <f aca="false">IF(OR(G29="",H29="",N(G29)=0,N(H29)&lt;=0),"",ROUNDDOWN(1000*(G29/H29)^3,0))</f>
        <v/>
      </c>
      <c r="G29" s="11" t="str">
        <f aca="false">IF(D29="","",SUMIFS('Базовые времена'!$D$2:$D$71,'Базовые времена'!$A$2:$A$71,B29,'Базовые времена'!$B$2:$B$71,C29,'Базовые времена'!$C$2:$C$71,D29))</f>
        <v/>
      </c>
      <c r="H29" s="11" t="str">
        <f aca="false">IF(E29="","",IF(ISNUMBER(E29),IF(E29&lt;1,E29*86400,E29),IFERROR(IF(ISNUMBER(FIND(":",SUBSTITUTE(TRIM(E29),",","."))),VALUE(LEFT(SUBSTITUTE(TRIM(E29),",","."),FIND(":",SUBSTITUTE(TRIM(E29),",","."))-1))*60+_xlfn.NUMBERVALUE(MID(SUBSTITUTE(TRIM(E29),",","."),FIND(":",SUBSTITUTE(TRIM(E29),",","."))+1,99),"."),_xlfn.NUMBERVALUE(SUBSTITUTE(TRIM(E29),",","."),".")),0)))</f>
        <v/>
      </c>
    </row>
    <row r="30" customFormat="false" ht="15" hidden="false" customHeight="false" outlineLevel="0" collapsed="false">
      <c r="A30" s="5"/>
      <c r="B30" s="5"/>
      <c r="C30" s="5"/>
      <c r="D30" s="5"/>
      <c r="E30" s="13"/>
      <c r="F30" s="4" t="str">
        <f aca="false">IF(OR(G30="",H30="",N(G30)=0,N(H30)&lt;=0),"",ROUNDDOWN(1000*(G30/H30)^3,0))</f>
        <v/>
      </c>
      <c r="G30" s="11" t="str">
        <f aca="false">IF(D30="","",SUMIFS('Базовые времена'!$D$2:$D$71,'Базовые времена'!$A$2:$A$71,B30,'Базовые времена'!$B$2:$B$71,C30,'Базовые времена'!$C$2:$C$71,D30))</f>
        <v/>
      </c>
      <c r="H30" s="11" t="str">
        <f aca="false">IF(E30="","",IF(ISNUMBER(E30),IF(E30&lt;1,E30*86400,E30),IFERROR(IF(ISNUMBER(FIND(":",SUBSTITUTE(TRIM(E30),",","."))),VALUE(LEFT(SUBSTITUTE(TRIM(E30),",","."),FIND(":",SUBSTITUTE(TRIM(E30),",","."))-1))*60+_xlfn.NUMBERVALUE(MID(SUBSTITUTE(TRIM(E30),",","."),FIND(":",SUBSTITUTE(TRIM(E30),",","."))+1,99),"."),_xlfn.NUMBERVALUE(SUBSTITUTE(TRIM(E30),",","."),".")),0)))</f>
        <v/>
      </c>
    </row>
    <row r="31" customFormat="false" ht="15" hidden="false" customHeight="false" outlineLevel="0" collapsed="false">
      <c r="A31" s="5"/>
      <c r="B31" s="5"/>
      <c r="C31" s="5"/>
      <c r="D31" s="5"/>
      <c r="E31" s="13"/>
      <c r="F31" s="4" t="str">
        <f aca="false">IF(OR(G31="",H31="",N(G31)=0,N(H31)&lt;=0),"",ROUNDDOWN(1000*(G31/H31)^3,0))</f>
        <v/>
      </c>
      <c r="G31" s="11" t="str">
        <f aca="false">IF(D31="","",SUMIFS('Базовые времена'!$D$2:$D$71,'Базовые времена'!$A$2:$A$71,B31,'Базовые времена'!$B$2:$B$71,C31,'Базовые времена'!$C$2:$C$71,D31))</f>
        <v/>
      </c>
      <c r="H31" s="11" t="str">
        <f aca="false">IF(E31="","",IF(ISNUMBER(E31),IF(E31&lt;1,E31*86400,E31),IFERROR(IF(ISNUMBER(FIND(":",SUBSTITUTE(TRIM(E31),",","."))),VALUE(LEFT(SUBSTITUTE(TRIM(E31),",","."),FIND(":",SUBSTITUTE(TRIM(E31),",","."))-1))*60+_xlfn.NUMBERVALUE(MID(SUBSTITUTE(TRIM(E31),",","."),FIND(":",SUBSTITUTE(TRIM(E31),",","."))+1,99),"."),_xlfn.NUMBERVALUE(SUBSTITUTE(TRIM(E31),",","."),".")),0)))</f>
        <v/>
      </c>
    </row>
    <row r="32" customFormat="false" ht="15" hidden="false" customHeight="false" outlineLevel="0" collapsed="false">
      <c r="A32" s="5"/>
      <c r="B32" s="5"/>
      <c r="C32" s="5"/>
      <c r="D32" s="5"/>
      <c r="E32" s="13"/>
      <c r="F32" s="4" t="str">
        <f aca="false">IF(OR(G32="",H32="",N(G32)=0,N(H32)&lt;=0),"",ROUNDDOWN(1000*(G32/H32)^3,0))</f>
        <v/>
      </c>
      <c r="G32" s="11" t="str">
        <f aca="false">IF(D32="","",SUMIFS('Базовые времена'!$D$2:$D$71,'Базовые времена'!$A$2:$A$71,B32,'Базовые времена'!$B$2:$B$71,C32,'Базовые времена'!$C$2:$C$71,D32))</f>
        <v/>
      </c>
      <c r="H32" s="11" t="str">
        <f aca="false">IF(E32="","",IF(ISNUMBER(E32),IF(E32&lt;1,E32*86400,E32),IFERROR(IF(ISNUMBER(FIND(":",SUBSTITUTE(TRIM(E32),",","."))),VALUE(LEFT(SUBSTITUTE(TRIM(E32),",","."),FIND(":",SUBSTITUTE(TRIM(E32),",","."))-1))*60+_xlfn.NUMBERVALUE(MID(SUBSTITUTE(TRIM(E32),",","."),FIND(":",SUBSTITUTE(TRIM(E32),",","."))+1,99),"."),_xlfn.NUMBERVALUE(SUBSTITUTE(TRIM(E32),",","."),".")),0)))</f>
        <v/>
      </c>
    </row>
    <row r="33" customFormat="false" ht="15" hidden="false" customHeight="false" outlineLevel="0" collapsed="false">
      <c r="A33" s="5"/>
      <c r="B33" s="5"/>
      <c r="C33" s="5"/>
      <c r="D33" s="5"/>
      <c r="E33" s="13"/>
      <c r="F33" s="4" t="str">
        <f aca="false">IF(OR(G33="",H33="",N(G33)=0,N(H33)&lt;=0),"",ROUNDDOWN(1000*(G33/H33)^3,0))</f>
        <v/>
      </c>
      <c r="G33" s="11" t="str">
        <f aca="false">IF(D33="","",SUMIFS('Базовые времена'!$D$2:$D$71,'Базовые времена'!$A$2:$A$71,B33,'Базовые времена'!$B$2:$B$71,C33,'Базовые времена'!$C$2:$C$71,D33))</f>
        <v/>
      </c>
      <c r="H33" s="11" t="str">
        <f aca="false">IF(E33="","",IF(ISNUMBER(E33),IF(E33&lt;1,E33*86400,E33),IFERROR(IF(ISNUMBER(FIND(":",SUBSTITUTE(TRIM(E33),",","."))),VALUE(LEFT(SUBSTITUTE(TRIM(E33),",","."),FIND(":",SUBSTITUTE(TRIM(E33),",","."))-1))*60+_xlfn.NUMBERVALUE(MID(SUBSTITUTE(TRIM(E33),",","."),FIND(":",SUBSTITUTE(TRIM(E33),",","."))+1,99),"."),_xlfn.NUMBERVALUE(SUBSTITUTE(TRIM(E33),",","."),".")),0)))</f>
        <v/>
      </c>
    </row>
    <row r="34" customFormat="false" ht="15" hidden="false" customHeight="false" outlineLevel="0" collapsed="false">
      <c r="A34" s="5"/>
      <c r="B34" s="5"/>
      <c r="C34" s="5"/>
      <c r="D34" s="5"/>
      <c r="E34" s="13"/>
      <c r="F34" s="4" t="str">
        <f aca="false">IF(OR(G34="",H34="",N(G34)=0,N(H34)&lt;=0),"",ROUNDDOWN(1000*(G34/H34)^3,0))</f>
        <v/>
      </c>
      <c r="G34" s="11" t="str">
        <f aca="false">IF(D34="","",SUMIFS('Базовые времена'!$D$2:$D$71,'Базовые времена'!$A$2:$A$71,B34,'Базовые времена'!$B$2:$B$71,C34,'Базовые времена'!$C$2:$C$71,D34))</f>
        <v/>
      </c>
      <c r="H34" s="11" t="str">
        <f aca="false">IF(E34="","",IF(ISNUMBER(E34),IF(E34&lt;1,E34*86400,E34),IFERROR(IF(ISNUMBER(FIND(":",SUBSTITUTE(TRIM(E34),",","."))),VALUE(LEFT(SUBSTITUTE(TRIM(E34),",","."),FIND(":",SUBSTITUTE(TRIM(E34),",","."))-1))*60+_xlfn.NUMBERVALUE(MID(SUBSTITUTE(TRIM(E34),",","."),FIND(":",SUBSTITUTE(TRIM(E34),",","."))+1,99),"."),_xlfn.NUMBERVALUE(SUBSTITUTE(TRIM(E34),",","."),".")),0)))</f>
        <v/>
      </c>
    </row>
    <row r="35" customFormat="false" ht="15" hidden="false" customHeight="false" outlineLevel="0" collapsed="false">
      <c r="A35" s="5"/>
      <c r="B35" s="5"/>
      <c r="C35" s="5"/>
      <c r="D35" s="5"/>
      <c r="E35" s="13"/>
      <c r="F35" s="4" t="str">
        <f aca="false">IF(OR(G35="",H35="",N(G35)=0,N(H35)&lt;=0),"",ROUNDDOWN(1000*(G35/H35)^3,0))</f>
        <v/>
      </c>
      <c r="G35" s="11" t="str">
        <f aca="false">IF(D35="","",SUMIFS('Базовые времена'!$D$2:$D$71,'Базовые времена'!$A$2:$A$71,B35,'Базовые времена'!$B$2:$B$71,C35,'Базовые времена'!$C$2:$C$71,D35))</f>
        <v/>
      </c>
      <c r="H35" s="11" t="str">
        <f aca="false">IF(E35="","",IF(ISNUMBER(E35),IF(E35&lt;1,E35*86400,E35),IFERROR(IF(ISNUMBER(FIND(":",SUBSTITUTE(TRIM(E35),",","."))),VALUE(LEFT(SUBSTITUTE(TRIM(E35),",","."),FIND(":",SUBSTITUTE(TRIM(E35),",","."))-1))*60+_xlfn.NUMBERVALUE(MID(SUBSTITUTE(TRIM(E35),",","."),FIND(":",SUBSTITUTE(TRIM(E35),",","."))+1,99),"."),_xlfn.NUMBERVALUE(SUBSTITUTE(TRIM(E35),",","."),".")),0)))</f>
        <v/>
      </c>
    </row>
    <row r="36" customFormat="false" ht="15" hidden="false" customHeight="false" outlineLevel="0" collapsed="false">
      <c r="A36" s="5"/>
      <c r="B36" s="5"/>
      <c r="C36" s="5"/>
      <c r="D36" s="5"/>
      <c r="E36" s="13"/>
      <c r="F36" s="4" t="str">
        <f aca="false">IF(OR(G36="",H36="",N(G36)=0,N(H36)&lt;=0),"",ROUNDDOWN(1000*(G36/H36)^3,0))</f>
        <v/>
      </c>
      <c r="G36" s="11" t="str">
        <f aca="false">IF(D36="","",SUMIFS('Базовые времена'!$D$2:$D$71,'Базовые времена'!$A$2:$A$71,B36,'Базовые времена'!$B$2:$B$71,C36,'Базовые времена'!$C$2:$C$71,D36))</f>
        <v/>
      </c>
      <c r="H36" s="11" t="str">
        <f aca="false">IF(E36="","",IF(ISNUMBER(E36),IF(E36&lt;1,E36*86400,E36),IFERROR(IF(ISNUMBER(FIND(":",SUBSTITUTE(TRIM(E36),",","."))),VALUE(LEFT(SUBSTITUTE(TRIM(E36),",","."),FIND(":",SUBSTITUTE(TRIM(E36),",","."))-1))*60+_xlfn.NUMBERVALUE(MID(SUBSTITUTE(TRIM(E36),",","."),FIND(":",SUBSTITUTE(TRIM(E36),",","."))+1,99),"."),_xlfn.NUMBERVALUE(SUBSTITUTE(TRIM(E36),",","."),".")),0)))</f>
        <v/>
      </c>
    </row>
    <row r="37" customFormat="false" ht="15" hidden="false" customHeight="false" outlineLevel="0" collapsed="false">
      <c r="A37" s="5"/>
      <c r="B37" s="5"/>
      <c r="C37" s="5"/>
      <c r="D37" s="5"/>
      <c r="E37" s="13"/>
      <c r="F37" s="4" t="str">
        <f aca="false">IF(OR(G37="",H37="",N(G37)=0,N(H37)&lt;=0),"",ROUNDDOWN(1000*(G37/H37)^3,0))</f>
        <v/>
      </c>
      <c r="G37" s="11" t="str">
        <f aca="false">IF(D37="","",SUMIFS('Базовые времена'!$D$2:$D$71,'Базовые времена'!$A$2:$A$71,B37,'Базовые времена'!$B$2:$B$71,C37,'Базовые времена'!$C$2:$C$71,D37))</f>
        <v/>
      </c>
      <c r="H37" s="11" t="str">
        <f aca="false">IF(E37="","",IF(ISNUMBER(E37),IF(E37&lt;1,E37*86400,E37),IFERROR(IF(ISNUMBER(FIND(":",SUBSTITUTE(TRIM(E37),",","."))),VALUE(LEFT(SUBSTITUTE(TRIM(E37),",","."),FIND(":",SUBSTITUTE(TRIM(E37),",","."))-1))*60+_xlfn.NUMBERVALUE(MID(SUBSTITUTE(TRIM(E37),",","."),FIND(":",SUBSTITUTE(TRIM(E37),",","."))+1,99),"."),_xlfn.NUMBERVALUE(SUBSTITUTE(TRIM(E37),",","."),".")),0)))</f>
        <v/>
      </c>
    </row>
    <row r="38" customFormat="false" ht="15" hidden="false" customHeight="false" outlineLevel="0" collapsed="false">
      <c r="A38" s="5"/>
      <c r="B38" s="5"/>
      <c r="C38" s="5"/>
      <c r="D38" s="5"/>
      <c r="E38" s="13"/>
      <c r="F38" s="4" t="str">
        <f aca="false">IF(OR(G38="",H38="",N(G38)=0,N(H38)&lt;=0),"",ROUNDDOWN(1000*(G38/H38)^3,0))</f>
        <v/>
      </c>
      <c r="G38" s="11" t="str">
        <f aca="false">IF(D38="","",SUMIFS('Базовые времена'!$D$2:$D$71,'Базовые времена'!$A$2:$A$71,B38,'Базовые времена'!$B$2:$B$71,C38,'Базовые времена'!$C$2:$C$71,D38))</f>
        <v/>
      </c>
      <c r="H38" s="11" t="str">
        <f aca="false">IF(E38="","",IF(ISNUMBER(E38),IF(E38&lt;1,E38*86400,E38),IFERROR(IF(ISNUMBER(FIND(":",SUBSTITUTE(TRIM(E38),",","."))),VALUE(LEFT(SUBSTITUTE(TRIM(E38),",","."),FIND(":",SUBSTITUTE(TRIM(E38),",","."))-1))*60+_xlfn.NUMBERVALUE(MID(SUBSTITUTE(TRIM(E38),",","."),FIND(":",SUBSTITUTE(TRIM(E38),",","."))+1,99),"."),_xlfn.NUMBERVALUE(SUBSTITUTE(TRIM(E38),",","."),".")),0)))</f>
        <v/>
      </c>
    </row>
    <row r="39" customFormat="false" ht="15" hidden="false" customHeight="false" outlineLevel="0" collapsed="false">
      <c r="A39" s="5"/>
      <c r="B39" s="5"/>
      <c r="C39" s="5"/>
      <c r="D39" s="5"/>
      <c r="E39" s="13"/>
      <c r="F39" s="4" t="str">
        <f aca="false">IF(OR(G39="",H39="",N(G39)=0,N(H39)&lt;=0),"",ROUNDDOWN(1000*(G39/H39)^3,0))</f>
        <v/>
      </c>
      <c r="G39" s="11" t="str">
        <f aca="false">IF(D39="","",SUMIFS('Базовые времена'!$D$2:$D$71,'Базовые времена'!$A$2:$A$71,B39,'Базовые времена'!$B$2:$B$71,C39,'Базовые времена'!$C$2:$C$71,D39))</f>
        <v/>
      </c>
      <c r="H39" s="11" t="str">
        <f aca="false">IF(E39="","",IF(ISNUMBER(E39),IF(E39&lt;1,E39*86400,E39),IFERROR(IF(ISNUMBER(FIND(":",SUBSTITUTE(TRIM(E39),",","."))),VALUE(LEFT(SUBSTITUTE(TRIM(E39),",","."),FIND(":",SUBSTITUTE(TRIM(E39),",","."))-1))*60+_xlfn.NUMBERVALUE(MID(SUBSTITUTE(TRIM(E39),",","."),FIND(":",SUBSTITUTE(TRIM(E39),",","."))+1,99),"."),_xlfn.NUMBERVALUE(SUBSTITUTE(TRIM(E39),",","."),".")),0)))</f>
        <v/>
      </c>
    </row>
    <row r="40" customFormat="false" ht="15" hidden="false" customHeight="false" outlineLevel="0" collapsed="false">
      <c r="A40" s="5"/>
      <c r="B40" s="5"/>
      <c r="C40" s="5"/>
      <c r="D40" s="5"/>
      <c r="E40" s="13"/>
      <c r="F40" s="4" t="str">
        <f aca="false">IF(OR(G40="",H40="",N(G40)=0,N(H40)&lt;=0),"",ROUNDDOWN(1000*(G40/H40)^3,0))</f>
        <v/>
      </c>
      <c r="G40" s="11" t="str">
        <f aca="false">IF(D40="","",SUMIFS('Базовые времена'!$D$2:$D$71,'Базовые времена'!$A$2:$A$71,B40,'Базовые времена'!$B$2:$B$71,C40,'Базовые времена'!$C$2:$C$71,D40))</f>
        <v/>
      </c>
      <c r="H40" s="11" t="str">
        <f aca="false">IF(E40="","",IF(ISNUMBER(E40),IF(E40&lt;1,E40*86400,E40),IFERROR(IF(ISNUMBER(FIND(":",SUBSTITUTE(TRIM(E40),",","."))),VALUE(LEFT(SUBSTITUTE(TRIM(E40),",","."),FIND(":",SUBSTITUTE(TRIM(E40),",","."))-1))*60+_xlfn.NUMBERVALUE(MID(SUBSTITUTE(TRIM(E40),",","."),FIND(":",SUBSTITUTE(TRIM(E40),",","."))+1,99),"."),_xlfn.NUMBERVALUE(SUBSTITUTE(TRIM(E40),",","."),".")),0)))</f>
        <v/>
      </c>
    </row>
    <row r="41" customFormat="false" ht="15" hidden="false" customHeight="false" outlineLevel="0" collapsed="false">
      <c r="A41" s="5"/>
      <c r="B41" s="5"/>
      <c r="C41" s="5"/>
      <c r="D41" s="5"/>
      <c r="E41" s="13"/>
      <c r="F41" s="4" t="str">
        <f aca="false">IF(OR(G41="",H41="",N(G41)=0,N(H41)&lt;=0),"",ROUNDDOWN(1000*(G41/H41)^3,0))</f>
        <v/>
      </c>
      <c r="G41" s="11" t="str">
        <f aca="false">IF(D41="","",SUMIFS('Базовые времена'!$D$2:$D$71,'Базовые времена'!$A$2:$A$71,B41,'Базовые времена'!$B$2:$B$71,C41,'Базовые времена'!$C$2:$C$71,D41))</f>
        <v/>
      </c>
      <c r="H41" s="11" t="str">
        <f aca="false">IF(E41="","",IF(ISNUMBER(E41),IF(E41&lt;1,E41*86400,E41),IFERROR(IF(ISNUMBER(FIND(":",SUBSTITUTE(TRIM(E41),",","."))),VALUE(LEFT(SUBSTITUTE(TRIM(E41),",","."),FIND(":",SUBSTITUTE(TRIM(E41),",","."))-1))*60+_xlfn.NUMBERVALUE(MID(SUBSTITUTE(TRIM(E41),",","."),FIND(":",SUBSTITUTE(TRIM(E41),",","."))+1,99),"."),_xlfn.NUMBERVALUE(SUBSTITUTE(TRIM(E41),",","."),".")),0)))</f>
        <v/>
      </c>
    </row>
    <row r="42" customFormat="false" ht="15" hidden="false" customHeight="false" outlineLevel="0" collapsed="false">
      <c r="A42" s="5"/>
      <c r="B42" s="5"/>
      <c r="C42" s="5"/>
      <c r="D42" s="5"/>
      <c r="E42" s="13"/>
      <c r="F42" s="4" t="str">
        <f aca="false">IF(OR(G42="",H42="",N(G42)=0,N(H42)&lt;=0),"",ROUNDDOWN(1000*(G42/H42)^3,0))</f>
        <v/>
      </c>
      <c r="G42" s="11" t="str">
        <f aca="false">IF(D42="","",SUMIFS('Базовые времена'!$D$2:$D$71,'Базовые времена'!$A$2:$A$71,B42,'Базовые времена'!$B$2:$B$71,C42,'Базовые времена'!$C$2:$C$71,D42))</f>
        <v/>
      </c>
      <c r="H42" s="11" t="str">
        <f aca="false">IF(E42="","",IF(ISNUMBER(E42),IF(E42&lt;1,E42*86400,E42),IFERROR(IF(ISNUMBER(FIND(":",SUBSTITUTE(TRIM(E42),",","."))),VALUE(LEFT(SUBSTITUTE(TRIM(E42),",","."),FIND(":",SUBSTITUTE(TRIM(E42),",","."))-1))*60+_xlfn.NUMBERVALUE(MID(SUBSTITUTE(TRIM(E42),",","."),FIND(":",SUBSTITUTE(TRIM(E42),",","."))+1,99),"."),_xlfn.NUMBERVALUE(SUBSTITUTE(TRIM(E42),",","."),".")),0)))</f>
        <v/>
      </c>
    </row>
    <row r="43" customFormat="false" ht="15" hidden="false" customHeight="false" outlineLevel="0" collapsed="false">
      <c r="A43" s="5"/>
      <c r="B43" s="5"/>
      <c r="C43" s="5"/>
      <c r="D43" s="5"/>
      <c r="E43" s="13"/>
      <c r="F43" s="4" t="str">
        <f aca="false">IF(OR(G43="",H43="",N(G43)=0,N(H43)&lt;=0),"",ROUNDDOWN(1000*(G43/H43)^3,0))</f>
        <v/>
      </c>
      <c r="G43" s="11" t="str">
        <f aca="false">IF(D43="","",SUMIFS('Базовые времена'!$D$2:$D$71,'Базовые времена'!$A$2:$A$71,B43,'Базовые времена'!$B$2:$B$71,C43,'Базовые времена'!$C$2:$C$71,D43))</f>
        <v/>
      </c>
      <c r="H43" s="11" t="str">
        <f aca="false">IF(E43="","",IF(ISNUMBER(E43),IF(E43&lt;1,E43*86400,E43),IFERROR(IF(ISNUMBER(FIND(":",SUBSTITUTE(TRIM(E43),",","."))),VALUE(LEFT(SUBSTITUTE(TRIM(E43),",","."),FIND(":",SUBSTITUTE(TRIM(E43),",","."))-1))*60+_xlfn.NUMBERVALUE(MID(SUBSTITUTE(TRIM(E43),",","."),FIND(":",SUBSTITUTE(TRIM(E43),",","."))+1,99),"."),_xlfn.NUMBERVALUE(SUBSTITUTE(TRIM(E43),",","."),".")),0)))</f>
        <v/>
      </c>
    </row>
    <row r="44" customFormat="false" ht="15" hidden="false" customHeight="false" outlineLevel="0" collapsed="false">
      <c r="A44" s="5"/>
      <c r="B44" s="5"/>
      <c r="C44" s="5"/>
      <c r="D44" s="5"/>
      <c r="E44" s="13"/>
      <c r="F44" s="4" t="str">
        <f aca="false">IF(OR(G44="",H44="",N(G44)=0,N(H44)&lt;=0),"",ROUNDDOWN(1000*(G44/H44)^3,0))</f>
        <v/>
      </c>
      <c r="G44" s="11" t="str">
        <f aca="false">IF(D44="","",SUMIFS('Базовые времена'!$D$2:$D$71,'Базовые времена'!$A$2:$A$71,B44,'Базовые времена'!$B$2:$B$71,C44,'Базовые времена'!$C$2:$C$71,D44))</f>
        <v/>
      </c>
      <c r="H44" s="11" t="str">
        <f aca="false">IF(E44="","",IF(ISNUMBER(E44),IF(E44&lt;1,E44*86400,E44),IFERROR(IF(ISNUMBER(FIND(":",SUBSTITUTE(TRIM(E44),",","."))),VALUE(LEFT(SUBSTITUTE(TRIM(E44),",","."),FIND(":",SUBSTITUTE(TRIM(E44),",","."))-1))*60+_xlfn.NUMBERVALUE(MID(SUBSTITUTE(TRIM(E44),",","."),FIND(":",SUBSTITUTE(TRIM(E44),",","."))+1,99),"."),_xlfn.NUMBERVALUE(SUBSTITUTE(TRIM(E44),",","."),".")),0)))</f>
        <v/>
      </c>
    </row>
    <row r="45" customFormat="false" ht="15" hidden="false" customHeight="false" outlineLevel="0" collapsed="false">
      <c r="A45" s="5"/>
      <c r="B45" s="5"/>
      <c r="C45" s="5"/>
      <c r="D45" s="5"/>
      <c r="E45" s="13"/>
      <c r="F45" s="4" t="str">
        <f aca="false">IF(OR(G45="",H45="",N(G45)=0,N(H45)&lt;=0),"",ROUNDDOWN(1000*(G45/H45)^3,0))</f>
        <v/>
      </c>
      <c r="G45" s="11" t="str">
        <f aca="false">IF(D45="","",SUMIFS('Базовые времена'!$D$2:$D$71,'Базовые времена'!$A$2:$A$71,B45,'Базовые времена'!$B$2:$B$71,C45,'Базовые времена'!$C$2:$C$71,D45))</f>
        <v/>
      </c>
      <c r="H45" s="11" t="str">
        <f aca="false">IF(E45="","",IF(ISNUMBER(E45),IF(E45&lt;1,E45*86400,E45),IFERROR(IF(ISNUMBER(FIND(":",SUBSTITUTE(TRIM(E45),",","."))),VALUE(LEFT(SUBSTITUTE(TRIM(E45),",","."),FIND(":",SUBSTITUTE(TRIM(E45),",","."))-1))*60+_xlfn.NUMBERVALUE(MID(SUBSTITUTE(TRIM(E45),",","."),FIND(":",SUBSTITUTE(TRIM(E45),",","."))+1,99),"."),_xlfn.NUMBERVALUE(SUBSTITUTE(TRIM(E45),",","."),".")),0)))</f>
        <v/>
      </c>
    </row>
    <row r="46" customFormat="false" ht="15" hidden="false" customHeight="false" outlineLevel="0" collapsed="false">
      <c r="A46" s="5"/>
      <c r="B46" s="5"/>
      <c r="C46" s="5"/>
      <c r="D46" s="5"/>
      <c r="E46" s="13"/>
      <c r="F46" s="4" t="str">
        <f aca="false">IF(OR(G46="",H46="",N(G46)=0,N(H46)&lt;=0),"",ROUNDDOWN(1000*(G46/H46)^3,0))</f>
        <v/>
      </c>
      <c r="G46" s="11" t="str">
        <f aca="false">IF(D46="","",SUMIFS('Базовые времена'!$D$2:$D$71,'Базовые времена'!$A$2:$A$71,B46,'Базовые времена'!$B$2:$B$71,C46,'Базовые времена'!$C$2:$C$71,D46))</f>
        <v/>
      </c>
      <c r="H46" s="11" t="str">
        <f aca="false">IF(E46="","",IF(ISNUMBER(E46),IF(E46&lt;1,E46*86400,E46),IFERROR(IF(ISNUMBER(FIND(":",SUBSTITUTE(TRIM(E46),",","."))),VALUE(LEFT(SUBSTITUTE(TRIM(E46),",","."),FIND(":",SUBSTITUTE(TRIM(E46),",","."))-1))*60+_xlfn.NUMBERVALUE(MID(SUBSTITUTE(TRIM(E46),",","."),FIND(":",SUBSTITUTE(TRIM(E46),",","."))+1,99),"."),_xlfn.NUMBERVALUE(SUBSTITUTE(TRIM(E46),",","."),".")),0)))</f>
        <v/>
      </c>
    </row>
    <row r="47" customFormat="false" ht="15" hidden="false" customHeight="false" outlineLevel="0" collapsed="false">
      <c r="A47" s="5"/>
      <c r="B47" s="5"/>
      <c r="C47" s="5"/>
      <c r="D47" s="5"/>
      <c r="E47" s="13"/>
      <c r="F47" s="4" t="str">
        <f aca="false">IF(OR(G47="",H47="",N(G47)=0,N(H47)&lt;=0),"",ROUNDDOWN(1000*(G47/H47)^3,0))</f>
        <v/>
      </c>
      <c r="G47" s="11" t="str">
        <f aca="false">IF(D47="","",SUMIFS('Базовые времена'!$D$2:$D$71,'Базовые времена'!$A$2:$A$71,B47,'Базовые времена'!$B$2:$B$71,C47,'Базовые времена'!$C$2:$C$71,D47))</f>
        <v/>
      </c>
      <c r="H47" s="11" t="str">
        <f aca="false">IF(E47="","",IF(ISNUMBER(E47),IF(E47&lt;1,E47*86400,E47),IFERROR(IF(ISNUMBER(FIND(":",SUBSTITUTE(TRIM(E47),",","."))),VALUE(LEFT(SUBSTITUTE(TRIM(E47),",","."),FIND(":",SUBSTITUTE(TRIM(E47),",","."))-1))*60+_xlfn.NUMBERVALUE(MID(SUBSTITUTE(TRIM(E47),",","."),FIND(":",SUBSTITUTE(TRIM(E47),",","."))+1,99),"."),_xlfn.NUMBERVALUE(SUBSTITUTE(TRIM(E47),",","."),".")),0)))</f>
        <v/>
      </c>
    </row>
    <row r="48" customFormat="false" ht="15" hidden="false" customHeight="false" outlineLevel="0" collapsed="false">
      <c r="A48" s="5"/>
      <c r="B48" s="5"/>
      <c r="C48" s="5"/>
      <c r="D48" s="5"/>
      <c r="E48" s="13"/>
      <c r="F48" s="4" t="str">
        <f aca="false">IF(OR(G48="",H48="",N(G48)=0,N(H48)&lt;=0),"",ROUNDDOWN(1000*(G48/H48)^3,0))</f>
        <v/>
      </c>
      <c r="G48" s="11" t="str">
        <f aca="false">IF(D48="","",SUMIFS('Базовые времена'!$D$2:$D$71,'Базовые времена'!$A$2:$A$71,B48,'Базовые времена'!$B$2:$B$71,C48,'Базовые времена'!$C$2:$C$71,D48))</f>
        <v/>
      </c>
      <c r="H48" s="11" t="str">
        <f aca="false">IF(E48="","",IF(ISNUMBER(E48),IF(E48&lt;1,E48*86400,E48),IFERROR(IF(ISNUMBER(FIND(":",SUBSTITUTE(TRIM(E48),",","."))),VALUE(LEFT(SUBSTITUTE(TRIM(E48),",","."),FIND(":",SUBSTITUTE(TRIM(E48),",","."))-1))*60+_xlfn.NUMBERVALUE(MID(SUBSTITUTE(TRIM(E48),",","."),FIND(":",SUBSTITUTE(TRIM(E48),",","."))+1,99),"."),_xlfn.NUMBERVALUE(SUBSTITUTE(TRIM(E48),",","."),".")),0)))</f>
        <v/>
      </c>
    </row>
    <row r="49" customFormat="false" ht="15" hidden="false" customHeight="false" outlineLevel="0" collapsed="false">
      <c r="A49" s="5"/>
      <c r="B49" s="5"/>
      <c r="C49" s="5"/>
      <c r="D49" s="5"/>
      <c r="E49" s="13"/>
      <c r="F49" s="4" t="str">
        <f aca="false">IF(OR(G49="",H49="",N(G49)=0,N(H49)&lt;=0),"",ROUNDDOWN(1000*(G49/H49)^3,0))</f>
        <v/>
      </c>
      <c r="G49" s="11" t="str">
        <f aca="false">IF(D49="","",SUMIFS('Базовые времена'!$D$2:$D$71,'Базовые времена'!$A$2:$A$71,B49,'Базовые времена'!$B$2:$B$71,C49,'Базовые времена'!$C$2:$C$71,D49))</f>
        <v/>
      </c>
      <c r="H49" s="11" t="str">
        <f aca="false">IF(E49="","",IF(ISNUMBER(E49),IF(E49&lt;1,E49*86400,E49),IFERROR(IF(ISNUMBER(FIND(":",SUBSTITUTE(TRIM(E49),",","."))),VALUE(LEFT(SUBSTITUTE(TRIM(E49),",","."),FIND(":",SUBSTITUTE(TRIM(E49),",","."))-1))*60+_xlfn.NUMBERVALUE(MID(SUBSTITUTE(TRIM(E49),",","."),FIND(":",SUBSTITUTE(TRIM(E49),",","."))+1,99),"."),_xlfn.NUMBERVALUE(SUBSTITUTE(TRIM(E49),",","."),".")),0)))</f>
        <v/>
      </c>
    </row>
    <row r="50" customFormat="false" ht="15" hidden="false" customHeight="false" outlineLevel="0" collapsed="false">
      <c r="A50" s="5"/>
      <c r="B50" s="5"/>
      <c r="C50" s="5"/>
      <c r="D50" s="5"/>
      <c r="E50" s="13"/>
      <c r="F50" s="4" t="str">
        <f aca="false">IF(OR(G50="",H50="",N(G50)=0,N(H50)&lt;=0),"",ROUNDDOWN(1000*(G50/H50)^3,0))</f>
        <v/>
      </c>
      <c r="G50" s="11" t="str">
        <f aca="false">IF(D50="","",SUMIFS('Базовые времена'!$D$2:$D$71,'Базовые времена'!$A$2:$A$71,B50,'Базовые времена'!$B$2:$B$71,C50,'Базовые времена'!$C$2:$C$71,D50))</f>
        <v/>
      </c>
      <c r="H50" s="11" t="str">
        <f aca="false">IF(E50="","",IF(ISNUMBER(E50),IF(E50&lt;1,E50*86400,E50),IFERROR(IF(ISNUMBER(FIND(":",SUBSTITUTE(TRIM(E50),",","."))),VALUE(LEFT(SUBSTITUTE(TRIM(E50),",","."),FIND(":",SUBSTITUTE(TRIM(E50),",","."))-1))*60+_xlfn.NUMBERVALUE(MID(SUBSTITUTE(TRIM(E50),",","."),FIND(":",SUBSTITUTE(TRIM(E50),",","."))+1,99),"."),_xlfn.NUMBERVALUE(SUBSTITUTE(TRIM(E50),",","."),".")),0)))</f>
        <v/>
      </c>
    </row>
    <row r="51" customFormat="false" ht="15" hidden="false" customHeight="false" outlineLevel="0" collapsed="false">
      <c r="A51" s="5"/>
      <c r="B51" s="5"/>
      <c r="C51" s="5"/>
      <c r="D51" s="5"/>
      <c r="E51" s="13"/>
      <c r="F51" s="4" t="str">
        <f aca="false">IF(OR(G51="",H51="",N(G51)=0,N(H51)&lt;=0),"",ROUNDDOWN(1000*(G51/H51)^3,0))</f>
        <v/>
      </c>
      <c r="G51" s="11" t="str">
        <f aca="false">IF(D51="","",SUMIFS('Базовые времена'!$D$2:$D$71,'Базовые времена'!$A$2:$A$71,B51,'Базовые времена'!$B$2:$B$71,C51,'Базовые времена'!$C$2:$C$71,D51))</f>
        <v/>
      </c>
      <c r="H51" s="11" t="str">
        <f aca="false">IF(E51="","",IF(ISNUMBER(E51),IF(E51&lt;1,E51*86400,E51),IFERROR(IF(ISNUMBER(FIND(":",SUBSTITUTE(TRIM(E51),",","."))),VALUE(LEFT(SUBSTITUTE(TRIM(E51),",","."),FIND(":",SUBSTITUTE(TRIM(E51),",","."))-1))*60+_xlfn.NUMBERVALUE(MID(SUBSTITUTE(TRIM(E51),",","."),FIND(":",SUBSTITUTE(TRIM(E51),",","."))+1,99),"."),_xlfn.NUMBERVALUE(SUBSTITUTE(TRIM(E51),",","."),".")),0)))</f>
        <v/>
      </c>
    </row>
    <row r="52" customFormat="false" ht="15" hidden="false" customHeight="false" outlineLevel="0" collapsed="false">
      <c r="A52" s="5"/>
      <c r="B52" s="5"/>
      <c r="C52" s="5"/>
      <c r="D52" s="5"/>
      <c r="E52" s="13"/>
      <c r="F52" s="4" t="str">
        <f aca="false">IF(OR(G52="",H52="",N(G52)=0,N(H52)&lt;=0),"",ROUNDDOWN(1000*(G52/H52)^3,0))</f>
        <v/>
      </c>
      <c r="G52" s="11" t="str">
        <f aca="false">IF(D52="","",SUMIFS('Базовые времена'!$D$2:$D$71,'Базовые времена'!$A$2:$A$71,B52,'Базовые времена'!$B$2:$B$71,C52,'Базовые времена'!$C$2:$C$71,D52))</f>
        <v/>
      </c>
      <c r="H52" s="11" t="str">
        <f aca="false">IF(E52="","",IF(ISNUMBER(E52),IF(E52&lt;1,E52*86400,E52),IFERROR(IF(ISNUMBER(FIND(":",SUBSTITUTE(TRIM(E52),",","."))),VALUE(LEFT(SUBSTITUTE(TRIM(E52),",","."),FIND(":",SUBSTITUTE(TRIM(E52),",","."))-1))*60+_xlfn.NUMBERVALUE(MID(SUBSTITUTE(TRIM(E52),",","."),FIND(":",SUBSTITUTE(TRIM(E52),",","."))+1,99),"."),_xlfn.NUMBERVALUE(SUBSTITUTE(TRIM(E52),",","."),".")),0)))</f>
        <v/>
      </c>
    </row>
    <row r="53" customFormat="false" ht="15" hidden="false" customHeight="false" outlineLevel="0" collapsed="false">
      <c r="A53" s="5"/>
      <c r="B53" s="5"/>
      <c r="C53" s="5"/>
      <c r="D53" s="5"/>
      <c r="E53" s="13"/>
      <c r="F53" s="4" t="str">
        <f aca="false">IF(OR(G53="",H53="",N(G53)=0,N(H53)&lt;=0),"",ROUNDDOWN(1000*(G53/H53)^3,0))</f>
        <v/>
      </c>
      <c r="G53" s="11" t="str">
        <f aca="false">IF(D53="","",SUMIFS('Базовые времена'!$D$2:$D$71,'Базовые времена'!$A$2:$A$71,B53,'Базовые времена'!$B$2:$B$71,C53,'Базовые времена'!$C$2:$C$71,D53))</f>
        <v/>
      </c>
      <c r="H53" s="11" t="str">
        <f aca="false">IF(E53="","",IF(ISNUMBER(E53),IF(E53&lt;1,E53*86400,E53),IFERROR(IF(ISNUMBER(FIND(":",SUBSTITUTE(TRIM(E53),",","."))),VALUE(LEFT(SUBSTITUTE(TRIM(E53),",","."),FIND(":",SUBSTITUTE(TRIM(E53),",","."))-1))*60+_xlfn.NUMBERVALUE(MID(SUBSTITUTE(TRIM(E53),",","."),FIND(":",SUBSTITUTE(TRIM(E53),",","."))+1,99),"."),_xlfn.NUMBERVALUE(SUBSTITUTE(TRIM(E53),",","."),".")),0)))</f>
        <v/>
      </c>
    </row>
    <row r="54" customFormat="false" ht="15" hidden="false" customHeight="false" outlineLevel="0" collapsed="false">
      <c r="A54" s="5"/>
      <c r="B54" s="5"/>
      <c r="C54" s="5"/>
      <c r="D54" s="5"/>
      <c r="E54" s="13"/>
      <c r="F54" s="4" t="str">
        <f aca="false">IF(OR(G54="",H54="",N(G54)=0,N(H54)&lt;=0),"",ROUNDDOWN(1000*(G54/H54)^3,0))</f>
        <v/>
      </c>
      <c r="G54" s="11" t="str">
        <f aca="false">IF(D54="","",SUMIFS('Базовые времена'!$D$2:$D$71,'Базовые времена'!$A$2:$A$71,B54,'Базовые времена'!$B$2:$B$71,C54,'Базовые времена'!$C$2:$C$71,D54))</f>
        <v/>
      </c>
      <c r="H54" s="11" t="str">
        <f aca="false">IF(E54="","",IF(ISNUMBER(E54),IF(E54&lt;1,E54*86400,E54),IFERROR(IF(ISNUMBER(FIND(":",SUBSTITUTE(TRIM(E54),",","."))),VALUE(LEFT(SUBSTITUTE(TRIM(E54),",","."),FIND(":",SUBSTITUTE(TRIM(E54),",","."))-1))*60+_xlfn.NUMBERVALUE(MID(SUBSTITUTE(TRIM(E54),",","."),FIND(":",SUBSTITUTE(TRIM(E54),",","."))+1,99),"."),_xlfn.NUMBERVALUE(SUBSTITUTE(TRIM(E54),",","."),".")),0)))</f>
        <v/>
      </c>
    </row>
    <row r="55" customFormat="false" ht="15" hidden="false" customHeight="false" outlineLevel="0" collapsed="false">
      <c r="A55" s="5"/>
      <c r="B55" s="5"/>
      <c r="C55" s="5"/>
      <c r="D55" s="5"/>
      <c r="E55" s="13"/>
      <c r="F55" s="4" t="str">
        <f aca="false">IF(OR(G55="",H55="",N(G55)=0,N(H55)&lt;=0),"",ROUNDDOWN(1000*(G55/H55)^3,0))</f>
        <v/>
      </c>
      <c r="G55" s="11" t="str">
        <f aca="false">IF(D55="","",SUMIFS('Базовые времена'!$D$2:$D$71,'Базовые времена'!$A$2:$A$71,B55,'Базовые времена'!$B$2:$B$71,C55,'Базовые времена'!$C$2:$C$71,D55))</f>
        <v/>
      </c>
      <c r="H55" s="11" t="str">
        <f aca="false">IF(E55="","",IF(ISNUMBER(E55),IF(E55&lt;1,E55*86400,E55),IFERROR(IF(ISNUMBER(FIND(":",SUBSTITUTE(TRIM(E55),",","."))),VALUE(LEFT(SUBSTITUTE(TRIM(E55),",","."),FIND(":",SUBSTITUTE(TRIM(E55),",","."))-1))*60+_xlfn.NUMBERVALUE(MID(SUBSTITUTE(TRIM(E55),",","."),FIND(":",SUBSTITUTE(TRIM(E55),",","."))+1,99),"."),_xlfn.NUMBERVALUE(SUBSTITUTE(TRIM(E55),",","."),".")),0)))</f>
        <v/>
      </c>
    </row>
    <row r="56" customFormat="false" ht="15" hidden="false" customHeight="false" outlineLevel="0" collapsed="false">
      <c r="A56" s="5"/>
      <c r="B56" s="5"/>
      <c r="C56" s="5"/>
      <c r="D56" s="5"/>
      <c r="E56" s="13"/>
      <c r="F56" s="4" t="str">
        <f aca="false">IF(OR(G56="",H56="",N(G56)=0,N(H56)&lt;=0),"",ROUNDDOWN(1000*(G56/H56)^3,0))</f>
        <v/>
      </c>
      <c r="G56" s="11" t="str">
        <f aca="false">IF(D56="","",SUMIFS('Базовые времена'!$D$2:$D$71,'Базовые времена'!$A$2:$A$71,B56,'Базовые времена'!$B$2:$B$71,C56,'Базовые времена'!$C$2:$C$71,D56))</f>
        <v/>
      </c>
      <c r="H56" s="11" t="str">
        <f aca="false">IF(E56="","",IF(ISNUMBER(E56),IF(E56&lt;1,E56*86400,E56),IFERROR(IF(ISNUMBER(FIND(":",SUBSTITUTE(TRIM(E56),",","."))),VALUE(LEFT(SUBSTITUTE(TRIM(E56),",","."),FIND(":",SUBSTITUTE(TRIM(E56),",","."))-1))*60+_xlfn.NUMBERVALUE(MID(SUBSTITUTE(TRIM(E56),",","."),FIND(":",SUBSTITUTE(TRIM(E56),",","."))+1,99),"."),_xlfn.NUMBERVALUE(SUBSTITUTE(TRIM(E56),",","."),".")),0)))</f>
        <v/>
      </c>
    </row>
    <row r="57" customFormat="false" ht="15" hidden="false" customHeight="false" outlineLevel="0" collapsed="false">
      <c r="A57" s="5"/>
      <c r="B57" s="5"/>
      <c r="C57" s="5"/>
      <c r="D57" s="5"/>
      <c r="E57" s="13"/>
      <c r="F57" s="4" t="str">
        <f aca="false">IF(OR(G57="",H57="",N(G57)=0,N(H57)&lt;=0),"",ROUNDDOWN(1000*(G57/H57)^3,0))</f>
        <v/>
      </c>
      <c r="G57" s="11" t="str">
        <f aca="false">IF(D57="","",SUMIFS('Базовые времена'!$D$2:$D$71,'Базовые времена'!$A$2:$A$71,B57,'Базовые времена'!$B$2:$B$71,C57,'Базовые времена'!$C$2:$C$71,D57))</f>
        <v/>
      </c>
      <c r="H57" s="11" t="str">
        <f aca="false">IF(E57="","",IF(ISNUMBER(E57),IF(E57&lt;1,E57*86400,E57),IFERROR(IF(ISNUMBER(FIND(":",SUBSTITUTE(TRIM(E57),",","."))),VALUE(LEFT(SUBSTITUTE(TRIM(E57),",","."),FIND(":",SUBSTITUTE(TRIM(E57),",","."))-1))*60+_xlfn.NUMBERVALUE(MID(SUBSTITUTE(TRIM(E57),",","."),FIND(":",SUBSTITUTE(TRIM(E57),",","."))+1,99),"."),_xlfn.NUMBERVALUE(SUBSTITUTE(TRIM(E57),",","."),".")),0)))</f>
        <v/>
      </c>
    </row>
    <row r="58" customFormat="false" ht="15" hidden="false" customHeight="false" outlineLevel="0" collapsed="false">
      <c r="A58" s="5"/>
      <c r="B58" s="5"/>
      <c r="C58" s="5"/>
      <c r="D58" s="5"/>
      <c r="E58" s="13"/>
      <c r="F58" s="4" t="str">
        <f aca="false">IF(OR(G58="",H58="",N(G58)=0,N(H58)&lt;=0),"",ROUNDDOWN(1000*(G58/H58)^3,0))</f>
        <v/>
      </c>
      <c r="G58" s="11" t="str">
        <f aca="false">IF(D58="","",SUMIFS('Базовые времена'!$D$2:$D$71,'Базовые времена'!$A$2:$A$71,B58,'Базовые времена'!$B$2:$B$71,C58,'Базовые времена'!$C$2:$C$71,D58))</f>
        <v/>
      </c>
      <c r="H58" s="11" t="str">
        <f aca="false">IF(E58="","",IF(ISNUMBER(E58),IF(E58&lt;1,E58*86400,E58),IFERROR(IF(ISNUMBER(FIND(":",SUBSTITUTE(TRIM(E58),",","."))),VALUE(LEFT(SUBSTITUTE(TRIM(E58),",","."),FIND(":",SUBSTITUTE(TRIM(E58),",","."))-1))*60+_xlfn.NUMBERVALUE(MID(SUBSTITUTE(TRIM(E58),",","."),FIND(":",SUBSTITUTE(TRIM(E58),",","."))+1,99),"."),_xlfn.NUMBERVALUE(SUBSTITUTE(TRIM(E58),",","."),".")),0)))</f>
        <v/>
      </c>
    </row>
    <row r="59" customFormat="false" ht="15" hidden="false" customHeight="false" outlineLevel="0" collapsed="false">
      <c r="A59" s="5"/>
      <c r="B59" s="5"/>
      <c r="C59" s="5"/>
      <c r="D59" s="5"/>
      <c r="E59" s="13"/>
      <c r="F59" s="4" t="str">
        <f aca="false">IF(OR(G59="",H59="",N(G59)=0,N(H59)&lt;=0),"",ROUNDDOWN(1000*(G59/H59)^3,0))</f>
        <v/>
      </c>
      <c r="G59" s="11" t="str">
        <f aca="false">IF(D59="","",SUMIFS('Базовые времена'!$D$2:$D$71,'Базовые времена'!$A$2:$A$71,B59,'Базовые времена'!$B$2:$B$71,C59,'Базовые времена'!$C$2:$C$71,D59))</f>
        <v/>
      </c>
      <c r="H59" s="11" t="str">
        <f aca="false">IF(E59="","",IF(ISNUMBER(E59),IF(E59&lt;1,E59*86400,E59),IFERROR(IF(ISNUMBER(FIND(":",SUBSTITUTE(TRIM(E59),",","."))),VALUE(LEFT(SUBSTITUTE(TRIM(E59),",","."),FIND(":",SUBSTITUTE(TRIM(E59),",","."))-1))*60+_xlfn.NUMBERVALUE(MID(SUBSTITUTE(TRIM(E59),",","."),FIND(":",SUBSTITUTE(TRIM(E59),",","."))+1,99),"."),_xlfn.NUMBERVALUE(SUBSTITUTE(TRIM(E59),",","."),".")),0)))</f>
        <v/>
      </c>
    </row>
    <row r="60" customFormat="false" ht="15" hidden="false" customHeight="false" outlineLevel="0" collapsed="false">
      <c r="A60" s="5"/>
      <c r="B60" s="5"/>
      <c r="C60" s="5"/>
      <c r="D60" s="5"/>
      <c r="E60" s="13"/>
      <c r="F60" s="4" t="str">
        <f aca="false">IF(OR(G60="",H60="",N(G60)=0,N(H60)&lt;=0),"",ROUNDDOWN(1000*(G60/H60)^3,0))</f>
        <v/>
      </c>
      <c r="G60" s="11" t="str">
        <f aca="false">IF(D60="","",SUMIFS('Базовые времена'!$D$2:$D$71,'Базовые времена'!$A$2:$A$71,B60,'Базовые времена'!$B$2:$B$71,C60,'Базовые времена'!$C$2:$C$71,D60))</f>
        <v/>
      </c>
      <c r="H60" s="11" t="str">
        <f aca="false">IF(E60="","",IF(ISNUMBER(E60),IF(E60&lt;1,E60*86400,E60),IFERROR(IF(ISNUMBER(FIND(":",SUBSTITUTE(TRIM(E60),",","."))),VALUE(LEFT(SUBSTITUTE(TRIM(E60),",","."),FIND(":",SUBSTITUTE(TRIM(E60),",","."))-1))*60+_xlfn.NUMBERVALUE(MID(SUBSTITUTE(TRIM(E60),",","."),FIND(":",SUBSTITUTE(TRIM(E60),",","."))+1,99),"."),_xlfn.NUMBERVALUE(SUBSTITUTE(TRIM(E60),",","."),".")),0)))</f>
        <v/>
      </c>
    </row>
    <row r="61" customFormat="false" ht="15" hidden="false" customHeight="false" outlineLevel="0" collapsed="false">
      <c r="A61" s="5"/>
      <c r="B61" s="5"/>
      <c r="C61" s="5"/>
      <c r="D61" s="5"/>
      <c r="E61" s="13"/>
      <c r="F61" s="4" t="str">
        <f aca="false">IF(OR(G61="",H61="",N(G61)=0,N(H61)&lt;=0),"",ROUNDDOWN(1000*(G61/H61)^3,0))</f>
        <v/>
      </c>
      <c r="G61" s="11" t="str">
        <f aca="false">IF(D61="","",SUMIFS('Базовые времена'!$D$2:$D$71,'Базовые времена'!$A$2:$A$71,B61,'Базовые времена'!$B$2:$B$71,C61,'Базовые времена'!$C$2:$C$71,D61))</f>
        <v/>
      </c>
      <c r="H61" s="11" t="str">
        <f aca="false">IF(E61="","",IF(ISNUMBER(E61),IF(E61&lt;1,E61*86400,E61),IFERROR(IF(ISNUMBER(FIND(":",SUBSTITUTE(TRIM(E61),",","."))),VALUE(LEFT(SUBSTITUTE(TRIM(E61),",","."),FIND(":",SUBSTITUTE(TRIM(E61),",","."))-1))*60+_xlfn.NUMBERVALUE(MID(SUBSTITUTE(TRIM(E61),",","."),FIND(":",SUBSTITUTE(TRIM(E61),",","."))+1,99),"."),_xlfn.NUMBERVALUE(SUBSTITUTE(TRIM(E61),",","."),".")),0)))</f>
        <v/>
      </c>
    </row>
    <row r="62" customFormat="false" ht="15" hidden="false" customHeight="false" outlineLevel="0" collapsed="false">
      <c r="A62" s="5"/>
      <c r="B62" s="5"/>
      <c r="C62" s="5"/>
      <c r="D62" s="5"/>
      <c r="E62" s="13"/>
      <c r="F62" s="4" t="str">
        <f aca="false">IF(OR(G62="",H62="",N(G62)=0,N(H62)&lt;=0),"",ROUNDDOWN(1000*(G62/H62)^3,0))</f>
        <v/>
      </c>
      <c r="G62" s="11" t="str">
        <f aca="false">IF(D62="","",SUMIFS('Базовые времена'!$D$2:$D$71,'Базовые времена'!$A$2:$A$71,B62,'Базовые времена'!$B$2:$B$71,C62,'Базовые времена'!$C$2:$C$71,D62))</f>
        <v/>
      </c>
      <c r="H62" s="11" t="str">
        <f aca="false">IF(E62="","",IF(ISNUMBER(E62),IF(E62&lt;1,E62*86400,E62),IFERROR(IF(ISNUMBER(FIND(":",SUBSTITUTE(TRIM(E62),",","."))),VALUE(LEFT(SUBSTITUTE(TRIM(E62),",","."),FIND(":",SUBSTITUTE(TRIM(E62),",","."))-1))*60+_xlfn.NUMBERVALUE(MID(SUBSTITUTE(TRIM(E62),",","."),FIND(":",SUBSTITUTE(TRIM(E62),",","."))+1,99),"."),_xlfn.NUMBERVALUE(SUBSTITUTE(TRIM(E62),",","."),".")),0)))</f>
        <v/>
      </c>
    </row>
    <row r="63" customFormat="false" ht="15" hidden="false" customHeight="false" outlineLevel="0" collapsed="false">
      <c r="A63" s="5"/>
      <c r="B63" s="5"/>
      <c r="C63" s="5"/>
      <c r="D63" s="5"/>
      <c r="E63" s="13"/>
      <c r="F63" s="4" t="str">
        <f aca="false">IF(OR(G63="",H63="",N(G63)=0,N(H63)&lt;=0),"",ROUNDDOWN(1000*(G63/H63)^3,0))</f>
        <v/>
      </c>
      <c r="G63" s="11" t="str">
        <f aca="false">IF(D63="","",SUMIFS('Базовые времена'!$D$2:$D$71,'Базовые времена'!$A$2:$A$71,B63,'Базовые времена'!$B$2:$B$71,C63,'Базовые времена'!$C$2:$C$71,D63))</f>
        <v/>
      </c>
      <c r="H63" s="11" t="str">
        <f aca="false">IF(E63="","",IF(ISNUMBER(E63),IF(E63&lt;1,E63*86400,E63),IFERROR(IF(ISNUMBER(FIND(":",SUBSTITUTE(TRIM(E63),",","."))),VALUE(LEFT(SUBSTITUTE(TRIM(E63),",","."),FIND(":",SUBSTITUTE(TRIM(E63),",","."))-1))*60+_xlfn.NUMBERVALUE(MID(SUBSTITUTE(TRIM(E63),",","."),FIND(":",SUBSTITUTE(TRIM(E63),",","."))+1,99),"."),_xlfn.NUMBERVALUE(SUBSTITUTE(TRIM(E63),",","."),".")),0)))</f>
        <v/>
      </c>
    </row>
    <row r="64" customFormat="false" ht="15" hidden="false" customHeight="false" outlineLevel="0" collapsed="false">
      <c r="A64" s="5"/>
      <c r="B64" s="5"/>
      <c r="C64" s="5"/>
      <c r="D64" s="5"/>
      <c r="E64" s="13"/>
      <c r="F64" s="4" t="str">
        <f aca="false">IF(OR(G64="",H64="",N(G64)=0,N(H64)&lt;=0),"",ROUNDDOWN(1000*(G64/H64)^3,0))</f>
        <v/>
      </c>
      <c r="G64" s="11" t="str">
        <f aca="false">IF(D64="","",SUMIFS('Базовые времена'!$D$2:$D$71,'Базовые времена'!$A$2:$A$71,B64,'Базовые времена'!$B$2:$B$71,C64,'Базовые времена'!$C$2:$C$71,D64))</f>
        <v/>
      </c>
      <c r="H64" s="11" t="str">
        <f aca="false">IF(E64="","",IF(ISNUMBER(E64),IF(E64&lt;1,E64*86400,E64),IFERROR(IF(ISNUMBER(FIND(":",SUBSTITUTE(TRIM(E64),",","."))),VALUE(LEFT(SUBSTITUTE(TRIM(E64),",","."),FIND(":",SUBSTITUTE(TRIM(E64),",","."))-1))*60+_xlfn.NUMBERVALUE(MID(SUBSTITUTE(TRIM(E64),",","."),FIND(":",SUBSTITUTE(TRIM(E64),",","."))+1,99),"."),_xlfn.NUMBERVALUE(SUBSTITUTE(TRIM(E64),",","."),".")),0)))</f>
        <v/>
      </c>
    </row>
    <row r="65" customFormat="false" ht="15" hidden="false" customHeight="false" outlineLevel="0" collapsed="false">
      <c r="A65" s="5"/>
      <c r="B65" s="5"/>
      <c r="C65" s="5"/>
      <c r="D65" s="5"/>
      <c r="E65" s="13"/>
      <c r="F65" s="4" t="str">
        <f aca="false">IF(OR(G65="",H65="",N(G65)=0,N(H65)&lt;=0),"",ROUNDDOWN(1000*(G65/H65)^3,0))</f>
        <v/>
      </c>
      <c r="G65" s="11" t="str">
        <f aca="false">IF(D65="","",SUMIFS('Базовые времена'!$D$2:$D$71,'Базовые времена'!$A$2:$A$71,B65,'Базовые времена'!$B$2:$B$71,C65,'Базовые времена'!$C$2:$C$71,D65))</f>
        <v/>
      </c>
      <c r="H65" s="11" t="str">
        <f aca="false">IF(E65="","",IF(ISNUMBER(E65),IF(E65&lt;1,E65*86400,E65),IFERROR(IF(ISNUMBER(FIND(":",SUBSTITUTE(TRIM(E65),",","."))),VALUE(LEFT(SUBSTITUTE(TRIM(E65),",","."),FIND(":",SUBSTITUTE(TRIM(E65),",","."))-1))*60+_xlfn.NUMBERVALUE(MID(SUBSTITUTE(TRIM(E65),",","."),FIND(":",SUBSTITUTE(TRIM(E65),",","."))+1,99),"."),_xlfn.NUMBERVALUE(SUBSTITUTE(TRIM(E65),",","."),".")),0)))</f>
        <v/>
      </c>
    </row>
    <row r="66" customFormat="false" ht="15" hidden="false" customHeight="false" outlineLevel="0" collapsed="false">
      <c r="A66" s="5"/>
      <c r="B66" s="5"/>
      <c r="C66" s="5"/>
      <c r="D66" s="5"/>
      <c r="E66" s="13"/>
      <c r="F66" s="4" t="str">
        <f aca="false">IF(OR(G66="",H66="",N(G66)=0,N(H66)&lt;=0),"",ROUNDDOWN(1000*(G66/H66)^3,0))</f>
        <v/>
      </c>
      <c r="G66" s="11" t="str">
        <f aca="false">IF(D66="","",SUMIFS('Базовые времена'!$D$2:$D$71,'Базовые времена'!$A$2:$A$71,B66,'Базовые времена'!$B$2:$B$71,C66,'Базовые времена'!$C$2:$C$71,D66))</f>
        <v/>
      </c>
      <c r="H66" s="11" t="str">
        <f aca="false">IF(E66="","",IF(ISNUMBER(E66),IF(E66&lt;1,E66*86400,E66),IFERROR(IF(ISNUMBER(FIND(":",SUBSTITUTE(TRIM(E66),",","."))),VALUE(LEFT(SUBSTITUTE(TRIM(E66),",","."),FIND(":",SUBSTITUTE(TRIM(E66),",","."))-1))*60+_xlfn.NUMBERVALUE(MID(SUBSTITUTE(TRIM(E66),",","."),FIND(":",SUBSTITUTE(TRIM(E66),",","."))+1,99),"."),_xlfn.NUMBERVALUE(SUBSTITUTE(TRIM(E66),",","."),".")),0)))</f>
        <v/>
      </c>
    </row>
    <row r="67" customFormat="false" ht="15" hidden="false" customHeight="false" outlineLevel="0" collapsed="false">
      <c r="A67" s="5"/>
      <c r="B67" s="5"/>
      <c r="C67" s="5"/>
      <c r="D67" s="5"/>
      <c r="E67" s="13"/>
      <c r="F67" s="4" t="str">
        <f aca="false">IF(OR(G67="",H67="",N(G67)=0,N(H67)&lt;=0),"",ROUNDDOWN(1000*(G67/H67)^3,0))</f>
        <v/>
      </c>
      <c r="G67" s="11" t="str">
        <f aca="false">IF(D67="","",SUMIFS('Базовые времена'!$D$2:$D$71,'Базовые времена'!$A$2:$A$71,B67,'Базовые времена'!$B$2:$B$71,C67,'Базовые времена'!$C$2:$C$71,D67))</f>
        <v/>
      </c>
      <c r="H67" s="11" t="str">
        <f aca="false">IF(E67="","",IF(ISNUMBER(E67),IF(E67&lt;1,E67*86400,E67),IFERROR(IF(ISNUMBER(FIND(":",SUBSTITUTE(TRIM(E67),",","."))),VALUE(LEFT(SUBSTITUTE(TRIM(E67),",","."),FIND(":",SUBSTITUTE(TRIM(E67),",","."))-1))*60+_xlfn.NUMBERVALUE(MID(SUBSTITUTE(TRIM(E67),",","."),FIND(":",SUBSTITUTE(TRIM(E67),",","."))+1,99),"."),_xlfn.NUMBERVALUE(SUBSTITUTE(TRIM(E67),",","."),".")),0)))</f>
        <v/>
      </c>
    </row>
    <row r="68" customFormat="false" ht="15" hidden="false" customHeight="false" outlineLevel="0" collapsed="false">
      <c r="A68" s="5"/>
      <c r="B68" s="5"/>
      <c r="C68" s="5"/>
      <c r="D68" s="5"/>
      <c r="E68" s="13"/>
      <c r="F68" s="4" t="str">
        <f aca="false">IF(OR(G68="",H68="",N(G68)=0,N(H68)&lt;=0),"",ROUNDDOWN(1000*(G68/H68)^3,0))</f>
        <v/>
      </c>
      <c r="G68" s="11" t="str">
        <f aca="false">IF(D68="","",SUMIFS('Базовые времена'!$D$2:$D$71,'Базовые времена'!$A$2:$A$71,B68,'Базовые времена'!$B$2:$B$71,C68,'Базовые времена'!$C$2:$C$71,D68))</f>
        <v/>
      </c>
      <c r="H68" s="11" t="str">
        <f aca="false">IF(E68="","",IF(ISNUMBER(E68),IF(E68&lt;1,E68*86400,E68),IFERROR(IF(ISNUMBER(FIND(":",SUBSTITUTE(TRIM(E68),",","."))),VALUE(LEFT(SUBSTITUTE(TRIM(E68),",","."),FIND(":",SUBSTITUTE(TRIM(E68),",","."))-1))*60+_xlfn.NUMBERVALUE(MID(SUBSTITUTE(TRIM(E68),",","."),FIND(":",SUBSTITUTE(TRIM(E68),",","."))+1,99),"."),_xlfn.NUMBERVALUE(SUBSTITUTE(TRIM(E68),",","."),".")),0)))</f>
        <v/>
      </c>
    </row>
    <row r="69" customFormat="false" ht="15" hidden="false" customHeight="false" outlineLevel="0" collapsed="false">
      <c r="A69" s="5"/>
      <c r="B69" s="5"/>
      <c r="C69" s="5"/>
      <c r="D69" s="5"/>
      <c r="E69" s="13"/>
      <c r="F69" s="4" t="str">
        <f aca="false">IF(OR(G69="",H69="",N(G69)=0,N(H69)&lt;=0),"",ROUNDDOWN(1000*(G69/H69)^3,0))</f>
        <v/>
      </c>
      <c r="G69" s="11" t="str">
        <f aca="false">IF(D69="","",SUMIFS('Базовые времена'!$D$2:$D$71,'Базовые времена'!$A$2:$A$71,B69,'Базовые времена'!$B$2:$B$71,C69,'Базовые времена'!$C$2:$C$71,D69))</f>
        <v/>
      </c>
      <c r="H69" s="11" t="str">
        <f aca="false">IF(E69="","",IF(ISNUMBER(E69),IF(E69&lt;1,E69*86400,E69),IFERROR(IF(ISNUMBER(FIND(":",SUBSTITUTE(TRIM(E69),",","."))),VALUE(LEFT(SUBSTITUTE(TRIM(E69),",","."),FIND(":",SUBSTITUTE(TRIM(E69),",","."))-1))*60+_xlfn.NUMBERVALUE(MID(SUBSTITUTE(TRIM(E69),",","."),FIND(":",SUBSTITUTE(TRIM(E69),",","."))+1,99),"."),_xlfn.NUMBERVALUE(SUBSTITUTE(TRIM(E69),",","."),".")),0)))</f>
        <v/>
      </c>
    </row>
    <row r="70" customFormat="false" ht="15" hidden="false" customHeight="false" outlineLevel="0" collapsed="false">
      <c r="A70" s="5"/>
      <c r="B70" s="5"/>
      <c r="C70" s="5"/>
      <c r="D70" s="5"/>
      <c r="E70" s="13"/>
      <c r="F70" s="4" t="str">
        <f aca="false">IF(OR(G70="",H70="",N(G70)=0,N(H70)&lt;=0),"",ROUNDDOWN(1000*(G70/H70)^3,0))</f>
        <v/>
      </c>
      <c r="G70" s="11" t="str">
        <f aca="false">IF(D70="","",SUMIFS('Базовые времена'!$D$2:$D$71,'Базовые времена'!$A$2:$A$71,B70,'Базовые времена'!$B$2:$B$71,C70,'Базовые времена'!$C$2:$C$71,D70))</f>
        <v/>
      </c>
      <c r="H70" s="11" t="str">
        <f aca="false">IF(E70="","",IF(ISNUMBER(E70),IF(E70&lt;1,E70*86400,E70),IFERROR(IF(ISNUMBER(FIND(":",SUBSTITUTE(TRIM(E70),",","."))),VALUE(LEFT(SUBSTITUTE(TRIM(E70),",","."),FIND(":",SUBSTITUTE(TRIM(E70),",","."))-1))*60+_xlfn.NUMBERVALUE(MID(SUBSTITUTE(TRIM(E70),",","."),FIND(":",SUBSTITUTE(TRIM(E70),",","."))+1,99),"."),_xlfn.NUMBERVALUE(SUBSTITUTE(TRIM(E70),",","."),".")),0)))</f>
        <v/>
      </c>
    </row>
    <row r="71" customFormat="false" ht="15" hidden="false" customHeight="false" outlineLevel="0" collapsed="false">
      <c r="A71" s="5"/>
      <c r="B71" s="5"/>
      <c r="C71" s="5"/>
      <c r="D71" s="5"/>
      <c r="E71" s="13"/>
      <c r="F71" s="4" t="str">
        <f aca="false">IF(OR(G71="",H71="",N(G71)=0,N(H71)&lt;=0),"",ROUNDDOWN(1000*(G71/H71)^3,0))</f>
        <v/>
      </c>
      <c r="G71" s="11" t="str">
        <f aca="false">IF(D71="","",SUMIFS('Базовые времена'!$D$2:$D$71,'Базовые времена'!$A$2:$A$71,B71,'Базовые времена'!$B$2:$B$71,C71,'Базовые времена'!$C$2:$C$71,D71))</f>
        <v/>
      </c>
      <c r="H71" s="11" t="str">
        <f aca="false">IF(E71="","",IF(ISNUMBER(E71),IF(E71&lt;1,E71*86400,E71),IFERROR(IF(ISNUMBER(FIND(":",SUBSTITUTE(TRIM(E71),",","."))),VALUE(LEFT(SUBSTITUTE(TRIM(E71),",","."),FIND(":",SUBSTITUTE(TRIM(E71),",","."))-1))*60+_xlfn.NUMBERVALUE(MID(SUBSTITUTE(TRIM(E71),",","."),FIND(":",SUBSTITUTE(TRIM(E71),",","."))+1,99),"."),_xlfn.NUMBERVALUE(SUBSTITUTE(TRIM(E71),",","."),".")),0)))</f>
        <v/>
      </c>
    </row>
    <row r="72" customFormat="false" ht="15" hidden="false" customHeight="false" outlineLevel="0" collapsed="false">
      <c r="A72" s="5"/>
      <c r="B72" s="5"/>
      <c r="C72" s="5"/>
      <c r="D72" s="5"/>
      <c r="E72" s="13"/>
      <c r="F72" s="4" t="str">
        <f aca="false">IF(OR(G72="",H72="",N(G72)=0,N(H72)&lt;=0),"",ROUNDDOWN(1000*(G72/H72)^3,0))</f>
        <v/>
      </c>
      <c r="G72" s="11" t="str">
        <f aca="false">IF(D72="","",SUMIFS('Базовые времена'!$D$2:$D$71,'Базовые времена'!$A$2:$A$71,B72,'Базовые времена'!$B$2:$B$71,C72,'Базовые времена'!$C$2:$C$71,D72))</f>
        <v/>
      </c>
      <c r="H72" s="11" t="str">
        <f aca="false">IF(E72="","",IF(ISNUMBER(E72),IF(E72&lt;1,E72*86400,E72),IFERROR(IF(ISNUMBER(FIND(":",SUBSTITUTE(TRIM(E72),",","."))),VALUE(LEFT(SUBSTITUTE(TRIM(E72),",","."),FIND(":",SUBSTITUTE(TRIM(E72),",","."))-1))*60+_xlfn.NUMBERVALUE(MID(SUBSTITUTE(TRIM(E72),",","."),FIND(":",SUBSTITUTE(TRIM(E72),",","."))+1,99),"."),_xlfn.NUMBERVALUE(SUBSTITUTE(TRIM(E72),",","."),".")),0)))</f>
        <v/>
      </c>
    </row>
    <row r="73" customFormat="false" ht="15" hidden="false" customHeight="false" outlineLevel="0" collapsed="false">
      <c r="A73" s="5"/>
      <c r="B73" s="5"/>
      <c r="C73" s="5"/>
      <c r="D73" s="5"/>
      <c r="E73" s="13"/>
      <c r="F73" s="4" t="str">
        <f aca="false">IF(OR(G73="",H73="",N(G73)=0,N(H73)&lt;=0),"",ROUNDDOWN(1000*(G73/H73)^3,0))</f>
        <v/>
      </c>
      <c r="G73" s="11" t="str">
        <f aca="false">IF(D73="","",SUMIFS('Базовые времена'!$D$2:$D$71,'Базовые времена'!$A$2:$A$71,B73,'Базовые времена'!$B$2:$B$71,C73,'Базовые времена'!$C$2:$C$71,D73))</f>
        <v/>
      </c>
      <c r="H73" s="11" t="str">
        <f aca="false">IF(E73="","",IF(ISNUMBER(E73),IF(E73&lt;1,E73*86400,E73),IFERROR(IF(ISNUMBER(FIND(":",SUBSTITUTE(TRIM(E73),",","."))),VALUE(LEFT(SUBSTITUTE(TRIM(E73),",","."),FIND(":",SUBSTITUTE(TRIM(E73),",","."))-1))*60+_xlfn.NUMBERVALUE(MID(SUBSTITUTE(TRIM(E73),",","."),FIND(":",SUBSTITUTE(TRIM(E73),",","."))+1,99),"."),_xlfn.NUMBERVALUE(SUBSTITUTE(TRIM(E73),",","."),".")),0)))</f>
        <v/>
      </c>
    </row>
    <row r="74" customFormat="false" ht="15" hidden="false" customHeight="false" outlineLevel="0" collapsed="false">
      <c r="A74" s="5"/>
      <c r="B74" s="5"/>
      <c r="C74" s="5"/>
      <c r="D74" s="5"/>
      <c r="E74" s="13"/>
      <c r="F74" s="4" t="str">
        <f aca="false">IF(OR(G74="",H74="",N(G74)=0,N(H74)&lt;=0),"",ROUNDDOWN(1000*(G74/H74)^3,0))</f>
        <v/>
      </c>
      <c r="G74" s="11" t="str">
        <f aca="false">IF(D74="","",SUMIFS('Базовые времена'!$D$2:$D$71,'Базовые времена'!$A$2:$A$71,B74,'Базовые времена'!$B$2:$B$71,C74,'Базовые времена'!$C$2:$C$71,D74))</f>
        <v/>
      </c>
      <c r="H74" s="11" t="str">
        <f aca="false">IF(E74="","",IF(ISNUMBER(E74),IF(E74&lt;1,E74*86400,E74),IFERROR(IF(ISNUMBER(FIND(":",SUBSTITUTE(TRIM(E74),",","."))),VALUE(LEFT(SUBSTITUTE(TRIM(E74),",","."),FIND(":",SUBSTITUTE(TRIM(E74),",","."))-1))*60+_xlfn.NUMBERVALUE(MID(SUBSTITUTE(TRIM(E74),",","."),FIND(":",SUBSTITUTE(TRIM(E74),",","."))+1,99),"."),_xlfn.NUMBERVALUE(SUBSTITUTE(TRIM(E74),",","."),".")),0)))</f>
        <v/>
      </c>
    </row>
    <row r="75" customFormat="false" ht="15" hidden="false" customHeight="false" outlineLevel="0" collapsed="false">
      <c r="A75" s="5"/>
      <c r="B75" s="5"/>
      <c r="C75" s="5"/>
      <c r="D75" s="5"/>
      <c r="E75" s="13"/>
      <c r="F75" s="4" t="str">
        <f aca="false">IF(OR(G75="",H75="",N(G75)=0,N(H75)&lt;=0),"",ROUNDDOWN(1000*(G75/H75)^3,0))</f>
        <v/>
      </c>
      <c r="G75" s="11" t="str">
        <f aca="false">IF(D75="","",SUMIFS('Базовые времена'!$D$2:$D$71,'Базовые времена'!$A$2:$A$71,B75,'Базовые времена'!$B$2:$B$71,C75,'Базовые времена'!$C$2:$C$71,D75))</f>
        <v/>
      </c>
      <c r="H75" s="11" t="str">
        <f aca="false">IF(E75="","",IF(ISNUMBER(E75),IF(E75&lt;1,E75*86400,E75),IFERROR(IF(ISNUMBER(FIND(":",SUBSTITUTE(TRIM(E75),",","."))),VALUE(LEFT(SUBSTITUTE(TRIM(E75),",","."),FIND(":",SUBSTITUTE(TRIM(E75),",","."))-1))*60+_xlfn.NUMBERVALUE(MID(SUBSTITUTE(TRIM(E75),",","."),FIND(":",SUBSTITUTE(TRIM(E75),",","."))+1,99),"."),_xlfn.NUMBERVALUE(SUBSTITUTE(TRIM(E75),",","."),".")),0)))</f>
        <v/>
      </c>
    </row>
    <row r="76" customFormat="false" ht="15" hidden="false" customHeight="false" outlineLevel="0" collapsed="false">
      <c r="A76" s="5"/>
      <c r="B76" s="5"/>
      <c r="C76" s="5"/>
      <c r="D76" s="5"/>
      <c r="E76" s="13"/>
      <c r="F76" s="4" t="str">
        <f aca="false">IF(OR(G76="",H76="",N(G76)=0,N(H76)&lt;=0),"",ROUNDDOWN(1000*(G76/H76)^3,0))</f>
        <v/>
      </c>
      <c r="G76" s="11" t="str">
        <f aca="false">IF(D76="","",SUMIFS('Базовые времена'!$D$2:$D$71,'Базовые времена'!$A$2:$A$71,B76,'Базовые времена'!$B$2:$B$71,C76,'Базовые времена'!$C$2:$C$71,D76))</f>
        <v/>
      </c>
      <c r="H76" s="11" t="str">
        <f aca="false">IF(E76="","",IF(ISNUMBER(E76),IF(E76&lt;1,E76*86400,E76),IFERROR(IF(ISNUMBER(FIND(":",SUBSTITUTE(TRIM(E76),",","."))),VALUE(LEFT(SUBSTITUTE(TRIM(E76),",","."),FIND(":",SUBSTITUTE(TRIM(E76),",","."))-1))*60+_xlfn.NUMBERVALUE(MID(SUBSTITUTE(TRIM(E76),",","."),FIND(":",SUBSTITUTE(TRIM(E76),",","."))+1,99),"."),_xlfn.NUMBERVALUE(SUBSTITUTE(TRIM(E76),",","."),".")),0)))</f>
        <v/>
      </c>
    </row>
    <row r="77" customFormat="false" ht="15" hidden="false" customHeight="false" outlineLevel="0" collapsed="false">
      <c r="A77" s="5"/>
      <c r="B77" s="5"/>
      <c r="C77" s="5"/>
      <c r="D77" s="5"/>
      <c r="E77" s="13"/>
      <c r="F77" s="4" t="str">
        <f aca="false">IF(OR(G77="",H77="",N(G77)=0,N(H77)&lt;=0),"",ROUNDDOWN(1000*(G77/H77)^3,0))</f>
        <v/>
      </c>
      <c r="G77" s="11" t="str">
        <f aca="false">IF(D77="","",SUMIFS('Базовые времена'!$D$2:$D$71,'Базовые времена'!$A$2:$A$71,B77,'Базовые времена'!$B$2:$B$71,C77,'Базовые времена'!$C$2:$C$71,D77))</f>
        <v/>
      </c>
      <c r="H77" s="11" t="str">
        <f aca="false">IF(E77="","",IF(ISNUMBER(E77),IF(E77&lt;1,E77*86400,E77),IFERROR(IF(ISNUMBER(FIND(":",SUBSTITUTE(TRIM(E77),",","."))),VALUE(LEFT(SUBSTITUTE(TRIM(E77),",","."),FIND(":",SUBSTITUTE(TRIM(E77),",","."))-1))*60+_xlfn.NUMBERVALUE(MID(SUBSTITUTE(TRIM(E77),",","."),FIND(":",SUBSTITUTE(TRIM(E77),",","."))+1,99),"."),_xlfn.NUMBERVALUE(SUBSTITUTE(TRIM(E77),",","."),".")),0)))</f>
        <v/>
      </c>
    </row>
    <row r="78" customFormat="false" ht="15" hidden="false" customHeight="false" outlineLevel="0" collapsed="false">
      <c r="A78" s="5"/>
      <c r="B78" s="5"/>
      <c r="C78" s="5"/>
      <c r="D78" s="5"/>
      <c r="E78" s="13"/>
      <c r="F78" s="4" t="str">
        <f aca="false">IF(OR(G78="",H78="",N(G78)=0,N(H78)&lt;=0),"",ROUNDDOWN(1000*(G78/H78)^3,0))</f>
        <v/>
      </c>
      <c r="G78" s="11" t="str">
        <f aca="false">IF(D78="","",SUMIFS('Базовые времена'!$D$2:$D$71,'Базовые времена'!$A$2:$A$71,B78,'Базовые времена'!$B$2:$B$71,C78,'Базовые времена'!$C$2:$C$71,D78))</f>
        <v/>
      </c>
      <c r="H78" s="11" t="str">
        <f aca="false">IF(E78="","",IF(ISNUMBER(E78),IF(E78&lt;1,E78*86400,E78),IFERROR(IF(ISNUMBER(FIND(":",SUBSTITUTE(TRIM(E78),",","."))),VALUE(LEFT(SUBSTITUTE(TRIM(E78),",","."),FIND(":",SUBSTITUTE(TRIM(E78),",","."))-1))*60+_xlfn.NUMBERVALUE(MID(SUBSTITUTE(TRIM(E78),",","."),FIND(":",SUBSTITUTE(TRIM(E78),",","."))+1,99),"."),_xlfn.NUMBERVALUE(SUBSTITUTE(TRIM(E78),",","."),".")),0)))</f>
        <v/>
      </c>
    </row>
    <row r="79" customFormat="false" ht="15" hidden="false" customHeight="false" outlineLevel="0" collapsed="false">
      <c r="A79" s="5"/>
      <c r="B79" s="5"/>
      <c r="C79" s="5"/>
      <c r="D79" s="5"/>
      <c r="E79" s="13"/>
      <c r="F79" s="4" t="str">
        <f aca="false">IF(OR(G79="",H79="",N(G79)=0,N(H79)&lt;=0),"",ROUNDDOWN(1000*(G79/H79)^3,0))</f>
        <v/>
      </c>
      <c r="G79" s="11" t="str">
        <f aca="false">IF(D79="","",SUMIFS('Базовые времена'!$D$2:$D$71,'Базовые времена'!$A$2:$A$71,B79,'Базовые времена'!$B$2:$B$71,C79,'Базовые времена'!$C$2:$C$71,D79))</f>
        <v/>
      </c>
      <c r="H79" s="11" t="str">
        <f aca="false">IF(E79="","",IF(ISNUMBER(E79),IF(E79&lt;1,E79*86400,E79),IFERROR(IF(ISNUMBER(FIND(":",SUBSTITUTE(TRIM(E79),",","."))),VALUE(LEFT(SUBSTITUTE(TRIM(E79),",","."),FIND(":",SUBSTITUTE(TRIM(E79),",","."))-1))*60+_xlfn.NUMBERVALUE(MID(SUBSTITUTE(TRIM(E79),",","."),FIND(":",SUBSTITUTE(TRIM(E79),",","."))+1,99),"."),_xlfn.NUMBERVALUE(SUBSTITUTE(TRIM(E79),",","."),".")),0)))</f>
        <v/>
      </c>
    </row>
    <row r="80" customFormat="false" ht="15" hidden="false" customHeight="false" outlineLevel="0" collapsed="false">
      <c r="A80" s="5"/>
      <c r="B80" s="5"/>
      <c r="C80" s="5"/>
      <c r="D80" s="5"/>
      <c r="E80" s="13"/>
      <c r="F80" s="4" t="str">
        <f aca="false">IF(OR(G80="",H80="",N(G80)=0,N(H80)&lt;=0),"",ROUNDDOWN(1000*(G80/H80)^3,0))</f>
        <v/>
      </c>
      <c r="G80" s="11" t="str">
        <f aca="false">IF(D80="","",SUMIFS('Базовые времена'!$D$2:$D$71,'Базовые времена'!$A$2:$A$71,B80,'Базовые времена'!$B$2:$B$71,C80,'Базовые времена'!$C$2:$C$71,D80))</f>
        <v/>
      </c>
      <c r="H80" s="11" t="str">
        <f aca="false">IF(E80="","",IF(ISNUMBER(E80),IF(E80&lt;1,E80*86400,E80),IFERROR(IF(ISNUMBER(FIND(":",SUBSTITUTE(TRIM(E80),",","."))),VALUE(LEFT(SUBSTITUTE(TRIM(E80),",","."),FIND(":",SUBSTITUTE(TRIM(E80),",","."))-1))*60+_xlfn.NUMBERVALUE(MID(SUBSTITUTE(TRIM(E80),",","."),FIND(":",SUBSTITUTE(TRIM(E80),",","."))+1,99),"."),_xlfn.NUMBERVALUE(SUBSTITUTE(TRIM(E80),",","."),".")),0)))</f>
        <v/>
      </c>
    </row>
    <row r="81" customFormat="false" ht="15" hidden="false" customHeight="false" outlineLevel="0" collapsed="false">
      <c r="A81" s="5"/>
      <c r="B81" s="5"/>
      <c r="C81" s="5"/>
      <c r="D81" s="5"/>
      <c r="E81" s="13"/>
      <c r="F81" s="4" t="str">
        <f aca="false">IF(OR(G81="",H81="",N(G81)=0,N(H81)&lt;=0),"",ROUNDDOWN(1000*(G81/H81)^3,0))</f>
        <v/>
      </c>
      <c r="G81" s="11" t="str">
        <f aca="false">IF(D81="","",SUMIFS('Базовые времена'!$D$2:$D$71,'Базовые времена'!$A$2:$A$71,B81,'Базовые времена'!$B$2:$B$71,C81,'Базовые времена'!$C$2:$C$71,D81))</f>
        <v/>
      </c>
      <c r="H81" s="11" t="str">
        <f aca="false">IF(E81="","",IF(ISNUMBER(E81),IF(E81&lt;1,E81*86400,E81),IFERROR(IF(ISNUMBER(FIND(":",SUBSTITUTE(TRIM(E81),",","."))),VALUE(LEFT(SUBSTITUTE(TRIM(E81),",","."),FIND(":",SUBSTITUTE(TRIM(E81),",","."))-1))*60+_xlfn.NUMBERVALUE(MID(SUBSTITUTE(TRIM(E81),",","."),FIND(":",SUBSTITUTE(TRIM(E81),",","."))+1,99),"."),_xlfn.NUMBERVALUE(SUBSTITUTE(TRIM(E81),",","."),".")),0)))</f>
        <v/>
      </c>
    </row>
    <row r="82" customFormat="false" ht="15" hidden="false" customHeight="false" outlineLevel="0" collapsed="false">
      <c r="A82" s="5"/>
      <c r="B82" s="5"/>
      <c r="C82" s="5"/>
      <c r="D82" s="5"/>
      <c r="E82" s="13"/>
      <c r="F82" s="4" t="str">
        <f aca="false">IF(OR(G82="",H82="",N(G82)=0,N(H82)&lt;=0),"",ROUNDDOWN(1000*(G82/H82)^3,0))</f>
        <v/>
      </c>
      <c r="G82" s="11" t="str">
        <f aca="false">IF(D82="","",SUMIFS('Базовые времена'!$D$2:$D$71,'Базовые времена'!$A$2:$A$71,B82,'Базовые времена'!$B$2:$B$71,C82,'Базовые времена'!$C$2:$C$71,D82))</f>
        <v/>
      </c>
      <c r="H82" s="11" t="str">
        <f aca="false">IF(E82="","",IF(ISNUMBER(E82),IF(E82&lt;1,E82*86400,E82),IFERROR(IF(ISNUMBER(FIND(":",SUBSTITUTE(TRIM(E82),",","."))),VALUE(LEFT(SUBSTITUTE(TRIM(E82),",","."),FIND(":",SUBSTITUTE(TRIM(E82),",","."))-1))*60+_xlfn.NUMBERVALUE(MID(SUBSTITUTE(TRIM(E82),",","."),FIND(":",SUBSTITUTE(TRIM(E82),",","."))+1,99),"."),_xlfn.NUMBERVALUE(SUBSTITUTE(TRIM(E82),",","."),".")),0)))</f>
        <v/>
      </c>
    </row>
    <row r="83" customFormat="false" ht="15" hidden="false" customHeight="false" outlineLevel="0" collapsed="false">
      <c r="A83" s="5"/>
      <c r="B83" s="5"/>
      <c r="C83" s="5"/>
      <c r="D83" s="5"/>
      <c r="E83" s="13"/>
      <c r="F83" s="4" t="str">
        <f aca="false">IF(OR(G83="",H83="",N(G83)=0,N(H83)&lt;=0),"",ROUNDDOWN(1000*(G83/H83)^3,0))</f>
        <v/>
      </c>
      <c r="G83" s="11" t="str">
        <f aca="false">IF(D83="","",SUMIFS('Базовые времена'!$D$2:$D$71,'Базовые времена'!$A$2:$A$71,B83,'Базовые времена'!$B$2:$B$71,C83,'Базовые времена'!$C$2:$C$71,D83))</f>
        <v/>
      </c>
      <c r="H83" s="11" t="str">
        <f aca="false">IF(E83="","",IF(ISNUMBER(E83),IF(E83&lt;1,E83*86400,E83),IFERROR(IF(ISNUMBER(FIND(":",SUBSTITUTE(TRIM(E83),",","."))),VALUE(LEFT(SUBSTITUTE(TRIM(E83),",","."),FIND(":",SUBSTITUTE(TRIM(E83),",","."))-1))*60+_xlfn.NUMBERVALUE(MID(SUBSTITUTE(TRIM(E83),",","."),FIND(":",SUBSTITUTE(TRIM(E83),",","."))+1,99),"."),_xlfn.NUMBERVALUE(SUBSTITUTE(TRIM(E83),",","."),".")),0)))</f>
        <v/>
      </c>
    </row>
    <row r="84" customFormat="false" ht="15" hidden="false" customHeight="false" outlineLevel="0" collapsed="false">
      <c r="A84" s="5"/>
      <c r="B84" s="5"/>
      <c r="C84" s="5"/>
      <c r="D84" s="5"/>
      <c r="E84" s="13"/>
      <c r="F84" s="4" t="str">
        <f aca="false">IF(OR(G84="",H84="",N(G84)=0,N(H84)&lt;=0),"",ROUNDDOWN(1000*(G84/H84)^3,0))</f>
        <v/>
      </c>
      <c r="G84" s="11" t="str">
        <f aca="false">IF(D84="","",SUMIFS('Базовые времена'!$D$2:$D$71,'Базовые времена'!$A$2:$A$71,B84,'Базовые времена'!$B$2:$B$71,C84,'Базовые времена'!$C$2:$C$71,D84))</f>
        <v/>
      </c>
      <c r="H84" s="11" t="str">
        <f aca="false">IF(E84="","",IF(ISNUMBER(E84),IF(E84&lt;1,E84*86400,E84),IFERROR(IF(ISNUMBER(FIND(":",SUBSTITUTE(TRIM(E84),",","."))),VALUE(LEFT(SUBSTITUTE(TRIM(E84),",","."),FIND(":",SUBSTITUTE(TRIM(E84),",","."))-1))*60+_xlfn.NUMBERVALUE(MID(SUBSTITUTE(TRIM(E84),",","."),FIND(":",SUBSTITUTE(TRIM(E84),",","."))+1,99),"."),_xlfn.NUMBERVALUE(SUBSTITUTE(TRIM(E84),",","."),".")),0)))</f>
        <v/>
      </c>
    </row>
    <row r="85" customFormat="false" ht="15" hidden="false" customHeight="false" outlineLevel="0" collapsed="false">
      <c r="A85" s="5"/>
      <c r="B85" s="5"/>
      <c r="C85" s="5"/>
      <c r="D85" s="5"/>
      <c r="E85" s="13"/>
      <c r="F85" s="4" t="str">
        <f aca="false">IF(OR(G85="",H85="",N(G85)=0,N(H85)&lt;=0),"",ROUNDDOWN(1000*(G85/H85)^3,0))</f>
        <v/>
      </c>
      <c r="G85" s="11" t="str">
        <f aca="false">IF(D85="","",SUMIFS('Базовые времена'!$D$2:$D$71,'Базовые времена'!$A$2:$A$71,B85,'Базовые времена'!$B$2:$B$71,C85,'Базовые времена'!$C$2:$C$71,D85))</f>
        <v/>
      </c>
      <c r="H85" s="11" t="str">
        <f aca="false">IF(E85="","",IF(ISNUMBER(E85),IF(E85&lt;1,E85*86400,E85),IFERROR(IF(ISNUMBER(FIND(":",SUBSTITUTE(TRIM(E85),",","."))),VALUE(LEFT(SUBSTITUTE(TRIM(E85),",","."),FIND(":",SUBSTITUTE(TRIM(E85),",","."))-1))*60+_xlfn.NUMBERVALUE(MID(SUBSTITUTE(TRIM(E85),",","."),FIND(":",SUBSTITUTE(TRIM(E85),",","."))+1,99),"."),_xlfn.NUMBERVALUE(SUBSTITUTE(TRIM(E85),",","."),".")),0)))</f>
        <v/>
      </c>
    </row>
    <row r="86" customFormat="false" ht="15" hidden="false" customHeight="false" outlineLevel="0" collapsed="false">
      <c r="A86" s="5"/>
      <c r="B86" s="5"/>
      <c r="C86" s="5"/>
      <c r="D86" s="5"/>
      <c r="E86" s="13"/>
      <c r="F86" s="4" t="str">
        <f aca="false">IF(OR(G86="",H86="",N(G86)=0,N(H86)&lt;=0),"",ROUNDDOWN(1000*(G86/H86)^3,0))</f>
        <v/>
      </c>
      <c r="G86" s="11" t="str">
        <f aca="false">IF(D86="","",SUMIFS('Базовые времена'!$D$2:$D$71,'Базовые времена'!$A$2:$A$71,B86,'Базовые времена'!$B$2:$B$71,C86,'Базовые времена'!$C$2:$C$71,D86))</f>
        <v/>
      </c>
      <c r="H86" s="11" t="str">
        <f aca="false">IF(E86="","",IF(ISNUMBER(E86),IF(E86&lt;1,E86*86400,E86),IFERROR(IF(ISNUMBER(FIND(":",SUBSTITUTE(TRIM(E86),",","."))),VALUE(LEFT(SUBSTITUTE(TRIM(E86),",","."),FIND(":",SUBSTITUTE(TRIM(E86),",","."))-1))*60+_xlfn.NUMBERVALUE(MID(SUBSTITUTE(TRIM(E86),",","."),FIND(":",SUBSTITUTE(TRIM(E86),",","."))+1,99),"."),_xlfn.NUMBERVALUE(SUBSTITUTE(TRIM(E86),",","."),".")),0)))</f>
        <v/>
      </c>
    </row>
    <row r="87" customFormat="false" ht="15" hidden="false" customHeight="false" outlineLevel="0" collapsed="false">
      <c r="A87" s="5"/>
      <c r="B87" s="5"/>
      <c r="C87" s="5"/>
      <c r="D87" s="5"/>
      <c r="E87" s="13"/>
      <c r="F87" s="4" t="str">
        <f aca="false">IF(OR(G87="",H87="",N(G87)=0,N(H87)&lt;=0),"",ROUNDDOWN(1000*(G87/H87)^3,0))</f>
        <v/>
      </c>
      <c r="G87" s="11" t="str">
        <f aca="false">IF(D87="","",SUMIFS('Базовые времена'!$D$2:$D$71,'Базовые времена'!$A$2:$A$71,B87,'Базовые времена'!$B$2:$B$71,C87,'Базовые времена'!$C$2:$C$71,D87))</f>
        <v/>
      </c>
      <c r="H87" s="11" t="str">
        <f aca="false">IF(E87="","",IF(ISNUMBER(E87),IF(E87&lt;1,E87*86400,E87),IFERROR(IF(ISNUMBER(FIND(":",SUBSTITUTE(TRIM(E87),",","."))),VALUE(LEFT(SUBSTITUTE(TRIM(E87),",","."),FIND(":",SUBSTITUTE(TRIM(E87),",","."))-1))*60+_xlfn.NUMBERVALUE(MID(SUBSTITUTE(TRIM(E87),",","."),FIND(":",SUBSTITUTE(TRIM(E87),",","."))+1,99),"."),_xlfn.NUMBERVALUE(SUBSTITUTE(TRIM(E87),",","."),".")),0)))</f>
        <v/>
      </c>
    </row>
    <row r="88" customFormat="false" ht="15" hidden="false" customHeight="false" outlineLevel="0" collapsed="false">
      <c r="A88" s="5"/>
      <c r="B88" s="5"/>
      <c r="C88" s="5"/>
      <c r="D88" s="5"/>
      <c r="E88" s="13"/>
      <c r="F88" s="4" t="str">
        <f aca="false">IF(OR(G88="",H88="",N(G88)=0,N(H88)&lt;=0),"",ROUNDDOWN(1000*(G88/H88)^3,0))</f>
        <v/>
      </c>
      <c r="G88" s="11" t="str">
        <f aca="false">IF(D88="","",SUMIFS('Базовые времена'!$D$2:$D$71,'Базовые времена'!$A$2:$A$71,B88,'Базовые времена'!$B$2:$B$71,C88,'Базовые времена'!$C$2:$C$71,D88))</f>
        <v/>
      </c>
      <c r="H88" s="11" t="str">
        <f aca="false">IF(E88="","",IF(ISNUMBER(E88),IF(E88&lt;1,E88*86400,E88),IFERROR(IF(ISNUMBER(FIND(":",SUBSTITUTE(TRIM(E88),",","."))),VALUE(LEFT(SUBSTITUTE(TRIM(E88),",","."),FIND(":",SUBSTITUTE(TRIM(E88),",","."))-1))*60+_xlfn.NUMBERVALUE(MID(SUBSTITUTE(TRIM(E88),",","."),FIND(":",SUBSTITUTE(TRIM(E88),",","."))+1,99),"."),_xlfn.NUMBERVALUE(SUBSTITUTE(TRIM(E88),",","."),".")),0)))</f>
        <v/>
      </c>
    </row>
    <row r="89" customFormat="false" ht="15" hidden="false" customHeight="false" outlineLevel="0" collapsed="false">
      <c r="A89" s="5"/>
      <c r="B89" s="5"/>
      <c r="C89" s="5"/>
      <c r="D89" s="5"/>
      <c r="E89" s="13"/>
      <c r="F89" s="4" t="str">
        <f aca="false">IF(OR(G89="",H89="",N(G89)=0,N(H89)&lt;=0),"",ROUNDDOWN(1000*(G89/H89)^3,0))</f>
        <v/>
      </c>
      <c r="G89" s="11" t="str">
        <f aca="false">IF(D89="","",SUMIFS('Базовые времена'!$D$2:$D$71,'Базовые времена'!$A$2:$A$71,B89,'Базовые времена'!$B$2:$B$71,C89,'Базовые времена'!$C$2:$C$71,D89))</f>
        <v/>
      </c>
      <c r="H89" s="11" t="str">
        <f aca="false">IF(E89="","",IF(ISNUMBER(E89),IF(E89&lt;1,E89*86400,E89),IFERROR(IF(ISNUMBER(FIND(":",SUBSTITUTE(TRIM(E89),",","."))),VALUE(LEFT(SUBSTITUTE(TRIM(E89),",","."),FIND(":",SUBSTITUTE(TRIM(E89),",","."))-1))*60+_xlfn.NUMBERVALUE(MID(SUBSTITUTE(TRIM(E89),",","."),FIND(":",SUBSTITUTE(TRIM(E89),",","."))+1,99),"."),_xlfn.NUMBERVALUE(SUBSTITUTE(TRIM(E89),",","."),".")),0)))</f>
        <v/>
      </c>
    </row>
    <row r="90" customFormat="false" ht="15" hidden="false" customHeight="false" outlineLevel="0" collapsed="false">
      <c r="A90" s="5"/>
      <c r="B90" s="5"/>
      <c r="C90" s="5"/>
      <c r="D90" s="5"/>
      <c r="E90" s="13"/>
      <c r="F90" s="4" t="str">
        <f aca="false">IF(OR(G90="",H90="",N(G90)=0,N(H90)&lt;=0),"",ROUNDDOWN(1000*(G90/H90)^3,0))</f>
        <v/>
      </c>
      <c r="G90" s="11" t="str">
        <f aca="false">IF(D90="","",SUMIFS('Базовые времена'!$D$2:$D$71,'Базовые времена'!$A$2:$A$71,B90,'Базовые времена'!$B$2:$B$71,C90,'Базовые времена'!$C$2:$C$71,D90))</f>
        <v/>
      </c>
      <c r="H90" s="11" t="str">
        <f aca="false">IF(E90="","",IF(ISNUMBER(E90),IF(E90&lt;1,E90*86400,E90),IFERROR(IF(ISNUMBER(FIND(":",SUBSTITUTE(TRIM(E90),",","."))),VALUE(LEFT(SUBSTITUTE(TRIM(E90),",","."),FIND(":",SUBSTITUTE(TRIM(E90),",","."))-1))*60+_xlfn.NUMBERVALUE(MID(SUBSTITUTE(TRIM(E90),",","."),FIND(":",SUBSTITUTE(TRIM(E90),",","."))+1,99),"."),_xlfn.NUMBERVALUE(SUBSTITUTE(TRIM(E90),",","."),".")),0)))</f>
        <v/>
      </c>
    </row>
    <row r="91" customFormat="false" ht="15" hidden="false" customHeight="false" outlineLevel="0" collapsed="false">
      <c r="A91" s="5"/>
      <c r="B91" s="5"/>
      <c r="C91" s="5"/>
      <c r="D91" s="5"/>
      <c r="E91" s="13"/>
      <c r="F91" s="4" t="str">
        <f aca="false">IF(OR(G91="",H91="",N(G91)=0,N(H91)&lt;=0),"",ROUNDDOWN(1000*(G91/H91)^3,0))</f>
        <v/>
      </c>
      <c r="G91" s="11" t="str">
        <f aca="false">IF(D91="","",SUMIFS('Базовые времена'!$D$2:$D$71,'Базовые времена'!$A$2:$A$71,B91,'Базовые времена'!$B$2:$B$71,C91,'Базовые времена'!$C$2:$C$71,D91))</f>
        <v/>
      </c>
      <c r="H91" s="11" t="str">
        <f aca="false">IF(E91="","",IF(ISNUMBER(E91),IF(E91&lt;1,E91*86400,E91),IFERROR(IF(ISNUMBER(FIND(":",SUBSTITUTE(TRIM(E91),",","."))),VALUE(LEFT(SUBSTITUTE(TRIM(E91),",","."),FIND(":",SUBSTITUTE(TRIM(E91),",","."))-1))*60+_xlfn.NUMBERVALUE(MID(SUBSTITUTE(TRIM(E91),",","."),FIND(":",SUBSTITUTE(TRIM(E91),",","."))+1,99),"."),_xlfn.NUMBERVALUE(SUBSTITUTE(TRIM(E91),",","."),".")),0)))</f>
        <v/>
      </c>
    </row>
    <row r="92" customFormat="false" ht="15" hidden="false" customHeight="false" outlineLevel="0" collapsed="false">
      <c r="A92" s="5"/>
      <c r="B92" s="5"/>
      <c r="C92" s="5"/>
      <c r="D92" s="5"/>
      <c r="E92" s="13"/>
      <c r="F92" s="4" t="str">
        <f aca="false">IF(OR(G92="",H92="",N(G92)=0,N(H92)&lt;=0),"",ROUNDDOWN(1000*(G92/H92)^3,0))</f>
        <v/>
      </c>
      <c r="G92" s="11" t="str">
        <f aca="false">IF(D92="","",SUMIFS('Базовые времена'!$D$2:$D$71,'Базовые времена'!$A$2:$A$71,B92,'Базовые времена'!$B$2:$B$71,C92,'Базовые времена'!$C$2:$C$71,D92))</f>
        <v/>
      </c>
      <c r="H92" s="11" t="str">
        <f aca="false">IF(E92="","",IF(ISNUMBER(E92),IF(E92&lt;1,E92*86400,E92),IFERROR(IF(ISNUMBER(FIND(":",SUBSTITUTE(TRIM(E92),",","."))),VALUE(LEFT(SUBSTITUTE(TRIM(E92),",","."),FIND(":",SUBSTITUTE(TRIM(E92),",","."))-1))*60+_xlfn.NUMBERVALUE(MID(SUBSTITUTE(TRIM(E92),",","."),FIND(":",SUBSTITUTE(TRIM(E92),",","."))+1,99),"."),_xlfn.NUMBERVALUE(SUBSTITUTE(TRIM(E92),",","."),".")),0)))</f>
        <v/>
      </c>
    </row>
    <row r="93" customFormat="false" ht="15" hidden="false" customHeight="false" outlineLevel="0" collapsed="false">
      <c r="A93" s="5"/>
      <c r="B93" s="5"/>
      <c r="C93" s="5"/>
      <c r="D93" s="5"/>
      <c r="E93" s="13"/>
      <c r="F93" s="4" t="str">
        <f aca="false">IF(OR(G93="",H93="",N(G93)=0,N(H93)&lt;=0),"",ROUNDDOWN(1000*(G93/H93)^3,0))</f>
        <v/>
      </c>
      <c r="G93" s="11" t="str">
        <f aca="false">IF(D93="","",SUMIFS('Базовые времена'!$D$2:$D$71,'Базовые времена'!$A$2:$A$71,B93,'Базовые времена'!$B$2:$B$71,C93,'Базовые времена'!$C$2:$C$71,D93))</f>
        <v/>
      </c>
      <c r="H93" s="11" t="str">
        <f aca="false">IF(E93="","",IF(ISNUMBER(E93),IF(E93&lt;1,E93*86400,E93),IFERROR(IF(ISNUMBER(FIND(":",SUBSTITUTE(TRIM(E93),",","."))),VALUE(LEFT(SUBSTITUTE(TRIM(E93),",","."),FIND(":",SUBSTITUTE(TRIM(E93),",","."))-1))*60+_xlfn.NUMBERVALUE(MID(SUBSTITUTE(TRIM(E93),",","."),FIND(":",SUBSTITUTE(TRIM(E93),",","."))+1,99),"."),_xlfn.NUMBERVALUE(SUBSTITUTE(TRIM(E93),",","."),".")),0)))</f>
        <v/>
      </c>
    </row>
    <row r="94" customFormat="false" ht="15" hidden="false" customHeight="false" outlineLevel="0" collapsed="false">
      <c r="A94" s="5"/>
      <c r="B94" s="5"/>
      <c r="C94" s="5"/>
      <c r="D94" s="5"/>
      <c r="E94" s="13"/>
      <c r="F94" s="4" t="str">
        <f aca="false">IF(OR(G94="",H94="",N(G94)=0,N(H94)&lt;=0),"",ROUNDDOWN(1000*(G94/H94)^3,0))</f>
        <v/>
      </c>
      <c r="G94" s="11" t="str">
        <f aca="false">IF(D94="","",SUMIFS('Базовые времена'!$D$2:$D$71,'Базовые времена'!$A$2:$A$71,B94,'Базовые времена'!$B$2:$B$71,C94,'Базовые времена'!$C$2:$C$71,D94))</f>
        <v/>
      </c>
      <c r="H94" s="11" t="str">
        <f aca="false">IF(E94="","",IF(ISNUMBER(E94),IF(E94&lt;1,E94*86400,E94),IFERROR(IF(ISNUMBER(FIND(":",SUBSTITUTE(TRIM(E94),",","."))),VALUE(LEFT(SUBSTITUTE(TRIM(E94),",","."),FIND(":",SUBSTITUTE(TRIM(E94),",","."))-1))*60+_xlfn.NUMBERVALUE(MID(SUBSTITUTE(TRIM(E94),",","."),FIND(":",SUBSTITUTE(TRIM(E94),",","."))+1,99),"."),_xlfn.NUMBERVALUE(SUBSTITUTE(TRIM(E94),",","."),".")),0)))</f>
        <v/>
      </c>
    </row>
    <row r="95" customFormat="false" ht="15" hidden="false" customHeight="false" outlineLevel="0" collapsed="false">
      <c r="A95" s="5"/>
      <c r="B95" s="5"/>
      <c r="C95" s="5"/>
      <c r="D95" s="5"/>
      <c r="E95" s="13"/>
      <c r="F95" s="4" t="str">
        <f aca="false">IF(OR(G95="",H95="",N(G95)=0,N(H95)&lt;=0),"",ROUNDDOWN(1000*(G95/H95)^3,0))</f>
        <v/>
      </c>
      <c r="G95" s="11" t="str">
        <f aca="false">IF(D95="","",SUMIFS('Базовые времена'!$D$2:$D$71,'Базовые времена'!$A$2:$A$71,B95,'Базовые времена'!$B$2:$B$71,C95,'Базовые времена'!$C$2:$C$71,D95))</f>
        <v/>
      </c>
      <c r="H95" s="11" t="str">
        <f aca="false">IF(E95="","",IF(ISNUMBER(E95),IF(E95&lt;1,E95*86400,E95),IFERROR(IF(ISNUMBER(FIND(":",SUBSTITUTE(TRIM(E95),",","."))),VALUE(LEFT(SUBSTITUTE(TRIM(E95),",","."),FIND(":",SUBSTITUTE(TRIM(E95),",","."))-1))*60+_xlfn.NUMBERVALUE(MID(SUBSTITUTE(TRIM(E95),",","."),FIND(":",SUBSTITUTE(TRIM(E95),",","."))+1,99),"."),_xlfn.NUMBERVALUE(SUBSTITUTE(TRIM(E95),",","."),".")),0)))</f>
        <v/>
      </c>
    </row>
    <row r="96" customFormat="false" ht="15" hidden="false" customHeight="false" outlineLevel="0" collapsed="false">
      <c r="A96" s="5"/>
      <c r="B96" s="5"/>
      <c r="C96" s="5"/>
      <c r="D96" s="5"/>
      <c r="E96" s="13"/>
      <c r="F96" s="4" t="str">
        <f aca="false">IF(OR(G96="",H96="",N(G96)=0,N(H96)&lt;=0),"",ROUNDDOWN(1000*(G96/H96)^3,0))</f>
        <v/>
      </c>
      <c r="G96" s="11" t="str">
        <f aca="false">IF(D96="","",SUMIFS('Базовые времена'!$D$2:$D$71,'Базовые времена'!$A$2:$A$71,B96,'Базовые времена'!$B$2:$B$71,C96,'Базовые времена'!$C$2:$C$71,D96))</f>
        <v/>
      </c>
      <c r="H96" s="11" t="str">
        <f aca="false">IF(E96="","",IF(ISNUMBER(E96),IF(E96&lt;1,E96*86400,E96),IFERROR(IF(ISNUMBER(FIND(":",SUBSTITUTE(TRIM(E96),",","."))),VALUE(LEFT(SUBSTITUTE(TRIM(E96),",","."),FIND(":",SUBSTITUTE(TRIM(E96),",","."))-1))*60+_xlfn.NUMBERVALUE(MID(SUBSTITUTE(TRIM(E96),",","."),FIND(":",SUBSTITUTE(TRIM(E96),",","."))+1,99),"."),_xlfn.NUMBERVALUE(SUBSTITUTE(TRIM(E96),",","."),".")),0)))</f>
        <v/>
      </c>
    </row>
    <row r="97" customFormat="false" ht="15" hidden="false" customHeight="false" outlineLevel="0" collapsed="false">
      <c r="A97" s="5"/>
      <c r="B97" s="5"/>
      <c r="C97" s="5"/>
      <c r="D97" s="5"/>
      <c r="E97" s="13"/>
      <c r="F97" s="4" t="str">
        <f aca="false">IF(OR(G97="",H97="",N(G97)=0,N(H97)&lt;=0),"",ROUNDDOWN(1000*(G97/H97)^3,0))</f>
        <v/>
      </c>
      <c r="G97" s="11" t="str">
        <f aca="false">IF(D97="","",SUMIFS('Базовые времена'!$D$2:$D$71,'Базовые времена'!$A$2:$A$71,B97,'Базовые времена'!$B$2:$B$71,C97,'Базовые времена'!$C$2:$C$71,D97))</f>
        <v/>
      </c>
      <c r="H97" s="11" t="str">
        <f aca="false">IF(E97="","",IF(ISNUMBER(E97),IF(E97&lt;1,E97*86400,E97),IFERROR(IF(ISNUMBER(FIND(":",SUBSTITUTE(TRIM(E97),",","."))),VALUE(LEFT(SUBSTITUTE(TRIM(E97),",","."),FIND(":",SUBSTITUTE(TRIM(E97),",","."))-1))*60+_xlfn.NUMBERVALUE(MID(SUBSTITUTE(TRIM(E97),",","."),FIND(":",SUBSTITUTE(TRIM(E97),",","."))+1,99),"."),_xlfn.NUMBERVALUE(SUBSTITUTE(TRIM(E97),",","."),".")),0)))</f>
        <v/>
      </c>
    </row>
    <row r="98" customFormat="false" ht="15" hidden="false" customHeight="false" outlineLevel="0" collapsed="false">
      <c r="A98" s="5"/>
      <c r="B98" s="5"/>
      <c r="C98" s="5"/>
      <c r="D98" s="5"/>
      <c r="E98" s="13"/>
      <c r="F98" s="4" t="str">
        <f aca="false">IF(OR(G98="",H98="",N(G98)=0,N(H98)&lt;=0),"",ROUNDDOWN(1000*(G98/H98)^3,0))</f>
        <v/>
      </c>
      <c r="G98" s="11" t="str">
        <f aca="false">IF(D98="","",SUMIFS('Базовые времена'!$D$2:$D$71,'Базовые времена'!$A$2:$A$71,B98,'Базовые времена'!$B$2:$B$71,C98,'Базовые времена'!$C$2:$C$71,D98))</f>
        <v/>
      </c>
      <c r="H98" s="11" t="str">
        <f aca="false">IF(E98="","",IF(ISNUMBER(E98),IF(E98&lt;1,E98*86400,E98),IFERROR(IF(ISNUMBER(FIND(":",SUBSTITUTE(TRIM(E98),",","."))),VALUE(LEFT(SUBSTITUTE(TRIM(E98),",","."),FIND(":",SUBSTITUTE(TRIM(E98),",","."))-1))*60+_xlfn.NUMBERVALUE(MID(SUBSTITUTE(TRIM(E98),",","."),FIND(":",SUBSTITUTE(TRIM(E98),",","."))+1,99),"."),_xlfn.NUMBERVALUE(SUBSTITUTE(TRIM(E98),",","."),".")),0)))</f>
        <v/>
      </c>
    </row>
    <row r="99" customFormat="false" ht="15" hidden="false" customHeight="false" outlineLevel="0" collapsed="false">
      <c r="A99" s="5"/>
      <c r="B99" s="5"/>
      <c r="C99" s="5"/>
      <c r="D99" s="5"/>
      <c r="E99" s="13"/>
      <c r="F99" s="4" t="str">
        <f aca="false">IF(OR(G99="",H99="",N(G99)=0,N(H99)&lt;=0),"",ROUNDDOWN(1000*(G99/H99)^3,0))</f>
        <v/>
      </c>
      <c r="G99" s="11" t="str">
        <f aca="false">IF(D99="","",SUMIFS('Базовые времена'!$D$2:$D$71,'Базовые времена'!$A$2:$A$71,B99,'Базовые времена'!$B$2:$B$71,C99,'Базовые времена'!$C$2:$C$71,D99))</f>
        <v/>
      </c>
      <c r="H99" s="11" t="str">
        <f aca="false">IF(E99="","",IF(ISNUMBER(E99),IF(E99&lt;1,E99*86400,E99),IFERROR(IF(ISNUMBER(FIND(":",SUBSTITUTE(TRIM(E99),",","."))),VALUE(LEFT(SUBSTITUTE(TRIM(E99),",","."),FIND(":",SUBSTITUTE(TRIM(E99),",","."))-1))*60+_xlfn.NUMBERVALUE(MID(SUBSTITUTE(TRIM(E99),",","."),FIND(":",SUBSTITUTE(TRIM(E99),",","."))+1,99),"."),_xlfn.NUMBERVALUE(SUBSTITUTE(TRIM(E99),",","."),".")),0)))</f>
        <v/>
      </c>
    </row>
    <row r="100" customFormat="false" ht="15" hidden="false" customHeight="false" outlineLevel="0" collapsed="false">
      <c r="A100" s="5"/>
      <c r="B100" s="5"/>
      <c r="C100" s="5"/>
      <c r="D100" s="5"/>
      <c r="E100" s="13"/>
      <c r="F100" s="4" t="str">
        <f aca="false">IF(OR(G100="",H100="",N(G100)=0,N(H100)&lt;=0),"",ROUNDDOWN(1000*(G100/H100)^3,0))</f>
        <v/>
      </c>
      <c r="G100" s="11" t="str">
        <f aca="false">IF(D100="","",SUMIFS('Базовые времена'!$D$2:$D$71,'Базовые времена'!$A$2:$A$71,B100,'Базовые времена'!$B$2:$B$71,C100,'Базовые времена'!$C$2:$C$71,D100))</f>
        <v/>
      </c>
      <c r="H100" s="11" t="str">
        <f aca="false">IF(E100="","",IF(ISNUMBER(E100),IF(E100&lt;1,E100*86400,E100),IFERROR(IF(ISNUMBER(FIND(":",SUBSTITUTE(TRIM(E100),",","."))),VALUE(LEFT(SUBSTITUTE(TRIM(E100),",","."),FIND(":",SUBSTITUTE(TRIM(E100),",","."))-1))*60+_xlfn.NUMBERVALUE(MID(SUBSTITUTE(TRIM(E100),",","."),FIND(":",SUBSTITUTE(TRIM(E100),",","."))+1,99),"."),_xlfn.NUMBERVALUE(SUBSTITUTE(TRIM(E100),",","."),".")),0)))</f>
        <v/>
      </c>
    </row>
    <row r="101" customFormat="false" ht="15" hidden="false" customHeight="false" outlineLevel="0" collapsed="false">
      <c r="A101" s="5"/>
      <c r="B101" s="5"/>
      <c r="C101" s="5"/>
      <c r="D101" s="5"/>
      <c r="E101" s="13"/>
      <c r="F101" s="4" t="str">
        <f aca="false">IF(OR(G101="",H101="",N(G101)=0,N(H101)&lt;=0),"",ROUNDDOWN(1000*(G101/H101)^3,0))</f>
        <v/>
      </c>
      <c r="G101" s="11" t="str">
        <f aca="false">IF(D101="","",SUMIFS('Базовые времена'!$D$2:$D$71,'Базовые времена'!$A$2:$A$71,B101,'Базовые времена'!$B$2:$B$71,C101,'Базовые времена'!$C$2:$C$71,D101))</f>
        <v/>
      </c>
      <c r="H101" s="11" t="str">
        <f aca="false">IF(E101="","",IF(ISNUMBER(E101),IF(E101&lt;1,E101*86400,E101),IFERROR(IF(ISNUMBER(FIND(":",SUBSTITUTE(TRIM(E101),",","."))),VALUE(LEFT(SUBSTITUTE(TRIM(E101),",","."),FIND(":",SUBSTITUTE(TRIM(E101),",","."))-1))*60+_xlfn.NUMBERVALUE(MID(SUBSTITUTE(TRIM(E101),",","."),FIND(":",SUBSTITUTE(TRIM(E101),",","."))+1,99),"."),_xlfn.NUMBERVALUE(SUBSTITUTE(TRIM(E101),",","."),".")),0)))</f>
        <v/>
      </c>
    </row>
    <row r="102" customFormat="false" ht="15" hidden="false" customHeight="false" outlineLevel="0" collapsed="false">
      <c r="A102" s="5"/>
      <c r="B102" s="5"/>
      <c r="C102" s="5"/>
      <c r="D102" s="5"/>
      <c r="E102" s="13"/>
      <c r="F102" s="4" t="str">
        <f aca="false">IF(OR(G102="",H102="",N(G102)=0,N(H102)&lt;=0),"",ROUNDDOWN(1000*(G102/H102)^3,0))</f>
        <v/>
      </c>
      <c r="G102" s="11" t="str">
        <f aca="false">IF(D102="","",SUMIFS('Базовые времена'!$D$2:$D$71,'Базовые времена'!$A$2:$A$71,B102,'Базовые времена'!$B$2:$B$71,C102,'Базовые времена'!$C$2:$C$71,D102))</f>
        <v/>
      </c>
      <c r="H102" s="11" t="str">
        <f aca="false">IF(E102="","",IF(ISNUMBER(E102),IF(E102&lt;1,E102*86400,E102),IFERROR(IF(ISNUMBER(FIND(":",SUBSTITUTE(TRIM(E102),",","."))),VALUE(LEFT(SUBSTITUTE(TRIM(E102),",","."),FIND(":",SUBSTITUTE(TRIM(E102),",","."))-1))*60+_xlfn.NUMBERVALUE(MID(SUBSTITUTE(TRIM(E102),",","."),FIND(":",SUBSTITUTE(TRIM(E102),",","."))+1,99),"."),_xlfn.NUMBERVALUE(SUBSTITUTE(TRIM(E102),",","."),".")),0)))</f>
        <v/>
      </c>
    </row>
    <row r="103" customFormat="false" ht="15" hidden="false" customHeight="false" outlineLevel="0" collapsed="false">
      <c r="A103" s="5"/>
      <c r="B103" s="5"/>
      <c r="C103" s="5"/>
      <c r="D103" s="5"/>
      <c r="E103" s="13"/>
      <c r="F103" s="4" t="str">
        <f aca="false">IF(OR(G103="",H103="",N(G103)=0,N(H103)&lt;=0),"",ROUNDDOWN(1000*(G103/H103)^3,0))</f>
        <v/>
      </c>
      <c r="G103" s="11" t="str">
        <f aca="false">IF(D103="","",SUMIFS('Базовые времена'!$D$2:$D$71,'Базовые времена'!$A$2:$A$71,B103,'Базовые времена'!$B$2:$B$71,C103,'Базовые времена'!$C$2:$C$71,D103))</f>
        <v/>
      </c>
      <c r="H103" s="11" t="str">
        <f aca="false">IF(E103="","",IF(ISNUMBER(E103),IF(E103&lt;1,E103*86400,E103),IFERROR(IF(ISNUMBER(FIND(":",SUBSTITUTE(TRIM(E103),",","."))),VALUE(LEFT(SUBSTITUTE(TRIM(E103),",","."),FIND(":",SUBSTITUTE(TRIM(E103),",","."))-1))*60+_xlfn.NUMBERVALUE(MID(SUBSTITUTE(TRIM(E103),",","."),FIND(":",SUBSTITUTE(TRIM(E103),",","."))+1,99),"."),_xlfn.NUMBERVALUE(SUBSTITUTE(TRIM(E103),",","."),".")),0)))</f>
        <v/>
      </c>
    </row>
    <row r="104" customFormat="false" ht="15" hidden="false" customHeight="false" outlineLevel="0" collapsed="false">
      <c r="A104" s="5"/>
      <c r="B104" s="5"/>
      <c r="C104" s="5"/>
      <c r="D104" s="5"/>
      <c r="E104" s="13"/>
      <c r="F104" s="4" t="str">
        <f aca="false">IF(OR(G104="",H104="",N(G104)=0,N(H104)&lt;=0),"",ROUNDDOWN(1000*(G104/H104)^3,0))</f>
        <v/>
      </c>
      <c r="G104" s="11" t="str">
        <f aca="false">IF(D104="","",SUMIFS('Базовые времена'!$D$2:$D$71,'Базовые времена'!$A$2:$A$71,B104,'Базовые времена'!$B$2:$B$71,C104,'Базовые времена'!$C$2:$C$71,D104))</f>
        <v/>
      </c>
      <c r="H104" s="11" t="str">
        <f aca="false">IF(E104="","",IF(ISNUMBER(E104),IF(E104&lt;1,E104*86400,E104),IFERROR(IF(ISNUMBER(FIND(":",SUBSTITUTE(TRIM(E104),",","."))),VALUE(LEFT(SUBSTITUTE(TRIM(E104),",","."),FIND(":",SUBSTITUTE(TRIM(E104),",","."))-1))*60+_xlfn.NUMBERVALUE(MID(SUBSTITUTE(TRIM(E104),",","."),FIND(":",SUBSTITUTE(TRIM(E104),",","."))+1,99),"."),_xlfn.NUMBERVALUE(SUBSTITUTE(TRIM(E104),",","."),".")),0)))</f>
        <v/>
      </c>
    </row>
    <row r="105" customFormat="false" ht="15" hidden="false" customHeight="false" outlineLevel="0" collapsed="false">
      <c r="A105" s="5"/>
      <c r="B105" s="5"/>
      <c r="C105" s="5"/>
      <c r="D105" s="5"/>
      <c r="E105" s="13"/>
      <c r="F105" s="4" t="str">
        <f aca="false">IF(OR(G105="",H105="",N(G105)=0,N(H105)&lt;=0),"",ROUNDDOWN(1000*(G105/H105)^3,0))</f>
        <v/>
      </c>
      <c r="G105" s="11" t="str">
        <f aca="false">IF(D105="","",SUMIFS('Базовые времена'!$D$2:$D$71,'Базовые времена'!$A$2:$A$71,B105,'Базовые времена'!$B$2:$B$71,C105,'Базовые времена'!$C$2:$C$71,D105))</f>
        <v/>
      </c>
      <c r="H105" s="11" t="str">
        <f aca="false">IF(E105="","",IF(ISNUMBER(E105),IF(E105&lt;1,E105*86400,E105),IFERROR(IF(ISNUMBER(FIND(":",SUBSTITUTE(TRIM(E105),",","."))),VALUE(LEFT(SUBSTITUTE(TRIM(E105),",","."),FIND(":",SUBSTITUTE(TRIM(E105),",","."))-1))*60+_xlfn.NUMBERVALUE(MID(SUBSTITUTE(TRIM(E105),",","."),FIND(":",SUBSTITUTE(TRIM(E105),",","."))+1,99),"."),_xlfn.NUMBERVALUE(SUBSTITUTE(TRIM(E105),",","."),".")),0)))</f>
        <v/>
      </c>
    </row>
    <row r="106" customFormat="false" ht="15" hidden="false" customHeight="false" outlineLevel="0" collapsed="false">
      <c r="A106" s="5"/>
      <c r="B106" s="5"/>
      <c r="C106" s="5"/>
      <c r="D106" s="5"/>
      <c r="E106" s="13"/>
      <c r="F106" s="4" t="str">
        <f aca="false">IF(OR(G106="",H106="",N(G106)=0,N(H106)&lt;=0),"",ROUNDDOWN(1000*(G106/H106)^3,0))</f>
        <v/>
      </c>
      <c r="G106" s="11" t="str">
        <f aca="false">IF(D106="","",SUMIFS('Базовые времена'!$D$2:$D$71,'Базовые времена'!$A$2:$A$71,B106,'Базовые времена'!$B$2:$B$71,C106,'Базовые времена'!$C$2:$C$71,D106))</f>
        <v/>
      </c>
      <c r="H106" s="11" t="str">
        <f aca="false">IF(E106="","",IF(ISNUMBER(E106),IF(E106&lt;1,E106*86400,E106),IFERROR(IF(ISNUMBER(FIND(":",SUBSTITUTE(TRIM(E106),",","."))),VALUE(LEFT(SUBSTITUTE(TRIM(E106),",","."),FIND(":",SUBSTITUTE(TRIM(E106),",","."))-1))*60+_xlfn.NUMBERVALUE(MID(SUBSTITUTE(TRIM(E106),",","."),FIND(":",SUBSTITUTE(TRIM(E106),",","."))+1,99),"."),_xlfn.NUMBERVALUE(SUBSTITUTE(TRIM(E106),",","."),".")),0)))</f>
        <v/>
      </c>
    </row>
    <row r="107" customFormat="false" ht="15" hidden="false" customHeight="false" outlineLevel="0" collapsed="false">
      <c r="A107" s="5"/>
      <c r="B107" s="5"/>
      <c r="C107" s="5"/>
      <c r="D107" s="5"/>
      <c r="E107" s="13"/>
      <c r="F107" s="4" t="str">
        <f aca="false">IF(OR(G107="",H107="",N(G107)=0,N(H107)&lt;=0),"",ROUNDDOWN(1000*(G107/H107)^3,0))</f>
        <v/>
      </c>
      <c r="G107" s="11" t="str">
        <f aca="false">IF(D107="","",SUMIFS('Базовые времена'!$D$2:$D$71,'Базовые времена'!$A$2:$A$71,B107,'Базовые времена'!$B$2:$B$71,C107,'Базовые времена'!$C$2:$C$71,D107))</f>
        <v/>
      </c>
      <c r="H107" s="11" t="str">
        <f aca="false">IF(E107="","",IF(ISNUMBER(E107),IF(E107&lt;1,E107*86400,E107),IFERROR(IF(ISNUMBER(FIND(":",SUBSTITUTE(TRIM(E107),",","."))),VALUE(LEFT(SUBSTITUTE(TRIM(E107),",","."),FIND(":",SUBSTITUTE(TRIM(E107),",","."))-1))*60+_xlfn.NUMBERVALUE(MID(SUBSTITUTE(TRIM(E107),",","."),FIND(":",SUBSTITUTE(TRIM(E107),",","."))+1,99),"."),_xlfn.NUMBERVALUE(SUBSTITUTE(TRIM(E107),",","."),".")),0)))</f>
        <v/>
      </c>
    </row>
    <row r="108" customFormat="false" ht="15" hidden="false" customHeight="false" outlineLevel="0" collapsed="false">
      <c r="A108" s="5"/>
      <c r="B108" s="5"/>
      <c r="C108" s="5"/>
      <c r="D108" s="5"/>
      <c r="E108" s="13"/>
      <c r="F108" s="4" t="str">
        <f aca="false">IF(OR(G108="",H108="",N(G108)=0,N(H108)&lt;=0),"",ROUNDDOWN(1000*(G108/H108)^3,0))</f>
        <v/>
      </c>
      <c r="G108" s="11" t="str">
        <f aca="false">IF(D108="","",SUMIFS('Базовые времена'!$D$2:$D$71,'Базовые времена'!$A$2:$A$71,B108,'Базовые времена'!$B$2:$B$71,C108,'Базовые времена'!$C$2:$C$71,D108))</f>
        <v/>
      </c>
      <c r="H108" s="11" t="str">
        <f aca="false">IF(E108="","",IF(ISNUMBER(E108),IF(E108&lt;1,E108*86400,E108),IFERROR(IF(ISNUMBER(FIND(":",SUBSTITUTE(TRIM(E108),",","."))),VALUE(LEFT(SUBSTITUTE(TRIM(E108),",","."),FIND(":",SUBSTITUTE(TRIM(E108),",","."))-1))*60+_xlfn.NUMBERVALUE(MID(SUBSTITUTE(TRIM(E108),",","."),FIND(":",SUBSTITUTE(TRIM(E108),",","."))+1,99),"."),_xlfn.NUMBERVALUE(SUBSTITUTE(TRIM(E108),",","."),".")),0)))</f>
        <v/>
      </c>
    </row>
    <row r="109" customFormat="false" ht="15" hidden="false" customHeight="false" outlineLevel="0" collapsed="false">
      <c r="A109" s="5"/>
      <c r="B109" s="5"/>
      <c r="C109" s="5"/>
      <c r="D109" s="5"/>
      <c r="E109" s="13"/>
      <c r="F109" s="4" t="str">
        <f aca="false">IF(OR(G109="",H109="",N(G109)=0,N(H109)&lt;=0),"",ROUNDDOWN(1000*(G109/H109)^3,0))</f>
        <v/>
      </c>
      <c r="G109" s="11" t="str">
        <f aca="false">IF(D109="","",SUMIFS('Базовые времена'!$D$2:$D$71,'Базовые времена'!$A$2:$A$71,B109,'Базовые времена'!$B$2:$B$71,C109,'Базовые времена'!$C$2:$C$71,D109))</f>
        <v/>
      </c>
      <c r="H109" s="11" t="str">
        <f aca="false">IF(E109="","",IF(ISNUMBER(E109),IF(E109&lt;1,E109*86400,E109),IFERROR(IF(ISNUMBER(FIND(":",SUBSTITUTE(TRIM(E109),",","."))),VALUE(LEFT(SUBSTITUTE(TRIM(E109),",","."),FIND(":",SUBSTITUTE(TRIM(E109),",","."))-1))*60+_xlfn.NUMBERVALUE(MID(SUBSTITUTE(TRIM(E109),",","."),FIND(":",SUBSTITUTE(TRIM(E109),",","."))+1,99),"."),_xlfn.NUMBERVALUE(SUBSTITUTE(TRIM(E109),",","."),".")),0)))</f>
        <v/>
      </c>
    </row>
    <row r="110" customFormat="false" ht="15" hidden="false" customHeight="false" outlineLevel="0" collapsed="false">
      <c r="A110" s="5"/>
      <c r="B110" s="5"/>
      <c r="C110" s="5"/>
      <c r="D110" s="5"/>
      <c r="E110" s="13"/>
      <c r="F110" s="4" t="str">
        <f aca="false">IF(OR(G110="",H110="",N(G110)=0,N(H110)&lt;=0),"",ROUNDDOWN(1000*(G110/H110)^3,0))</f>
        <v/>
      </c>
      <c r="G110" s="11" t="str">
        <f aca="false">IF(D110="","",SUMIFS('Базовые времена'!$D$2:$D$71,'Базовые времена'!$A$2:$A$71,B110,'Базовые времена'!$B$2:$B$71,C110,'Базовые времена'!$C$2:$C$71,D110))</f>
        <v/>
      </c>
      <c r="H110" s="11" t="str">
        <f aca="false">IF(E110="","",IF(ISNUMBER(E110),IF(E110&lt;1,E110*86400,E110),IFERROR(IF(ISNUMBER(FIND(":",SUBSTITUTE(TRIM(E110),",","."))),VALUE(LEFT(SUBSTITUTE(TRIM(E110),",","."),FIND(":",SUBSTITUTE(TRIM(E110),",","."))-1))*60+_xlfn.NUMBERVALUE(MID(SUBSTITUTE(TRIM(E110),",","."),FIND(":",SUBSTITUTE(TRIM(E110),",","."))+1,99),"."),_xlfn.NUMBERVALUE(SUBSTITUTE(TRIM(E110),",","."),".")),0)))</f>
        <v/>
      </c>
    </row>
    <row r="111" customFormat="false" ht="15" hidden="false" customHeight="false" outlineLevel="0" collapsed="false">
      <c r="A111" s="5"/>
      <c r="B111" s="5"/>
      <c r="C111" s="5"/>
      <c r="D111" s="5"/>
      <c r="E111" s="13"/>
      <c r="F111" s="4" t="str">
        <f aca="false">IF(OR(G111="",H111="",N(G111)=0,N(H111)&lt;=0),"",ROUNDDOWN(1000*(G111/H111)^3,0))</f>
        <v/>
      </c>
      <c r="G111" s="11" t="str">
        <f aca="false">IF(D111="","",SUMIFS('Базовые времена'!$D$2:$D$71,'Базовые времена'!$A$2:$A$71,B111,'Базовые времена'!$B$2:$B$71,C111,'Базовые времена'!$C$2:$C$71,D111))</f>
        <v/>
      </c>
      <c r="H111" s="11" t="str">
        <f aca="false">IF(E111="","",IF(ISNUMBER(E111),IF(E111&lt;1,E111*86400,E111),IFERROR(IF(ISNUMBER(FIND(":",SUBSTITUTE(TRIM(E111),",","."))),VALUE(LEFT(SUBSTITUTE(TRIM(E111),",","."),FIND(":",SUBSTITUTE(TRIM(E111),",","."))-1))*60+_xlfn.NUMBERVALUE(MID(SUBSTITUTE(TRIM(E111),",","."),FIND(":",SUBSTITUTE(TRIM(E111),",","."))+1,99),"."),_xlfn.NUMBERVALUE(SUBSTITUTE(TRIM(E111),",","."),".")),0)))</f>
        <v/>
      </c>
    </row>
    <row r="112" customFormat="false" ht="15" hidden="false" customHeight="false" outlineLevel="0" collapsed="false">
      <c r="A112" s="5"/>
      <c r="B112" s="5"/>
      <c r="C112" s="5"/>
      <c r="D112" s="5"/>
      <c r="E112" s="13"/>
      <c r="F112" s="4" t="str">
        <f aca="false">IF(OR(G112="",H112="",N(G112)=0,N(H112)&lt;=0),"",ROUNDDOWN(1000*(G112/H112)^3,0))</f>
        <v/>
      </c>
      <c r="G112" s="11" t="str">
        <f aca="false">IF(D112="","",SUMIFS('Базовые времена'!$D$2:$D$71,'Базовые времена'!$A$2:$A$71,B112,'Базовые времена'!$B$2:$B$71,C112,'Базовые времена'!$C$2:$C$71,D112))</f>
        <v/>
      </c>
      <c r="H112" s="11" t="str">
        <f aca="false">IF(E112="","",IF(ISNUMBER(E112),IF(E112&lt;1,E112*86400,E112),IFERROR(IF(ISNUMBER(FIND(":",SUBSTITUTE(TRIM(E112),",","."))),VALUE(LEFT(SUBSTITUTE(TRIM(E112),",","."),FIND(":",SUBSTITUTE(TRIM(E112),",","."))-1))*60+_xlfn.NUMBERVALUE(MID(SUBSTITUTE(TRIM(E112),",","."),FIND(":",SUBSTITUTE(TRIM(E112),",","."))+1,99),"."),_xlfn.NUMBERVALUE(SUBSTITUTE(TRIM(E112),",","."),".")),0)))</f>
        <v/>
      </c>
    </row>
    <row r="113" customFormat="false" ht="15" hidden="false" customHeight="false" outlineLevel="0" collapsed="false">
      <c r="A113" s="5"/>
      <c r="B113" s="5"/>
      <c r="C113" s="5"/>
      <c r="D113" s="5"/>
      <c r="E113" s="13"/>
      <c r="F113" s="4" t="str">
        <f aca="false">IF(OR(G113="",H113="",N(G113)=0,N(H113)&lt;=0),"",ROUNDDOWN(1000*(G113/H113)^3,0))</f>
        <v/>
      </c>
      <c r="G113" s="11" t="str">
        <f aca="false">IF(D113="","",SUMIFS('Базовые времена'!$D$2:$D$71,'Базовые времена'!$A$2:$A$71,B113,'Базовые времена'!$B$2:$B$71,C113,'Базовые времена'!$C$2:$C$71,D113))</f>
        <v/>
      </c>
      <c r="H113" s="11" t="str">
        <f aca="false">IF(E113="","",IF(ISNUMBER(E113),IF(E113&lt;1,E113*86400,E113),IFERROR(IF(ISNUMBER(FIND(":",SUBSTITUTE(TRIM(E113),",","."))),VALUE(LEFT(SUBSTITUTE(TRIM(E113),",","."),FIND(":",SUBSTITUTE(TRIM(E113),",","."))-1))*60+_xlfn.NUMBERVALUE(MID(SUBSTITUTE(TRIM(E113),",","."),FIND(":",SUBSTITUTE(TRIM(E113),",","."))+1,99),"."),_xlfn.NUMBERVALUE(SUBSTITUTE(TRIM(E113),",","."),".")),0)))</f>
        <v/>
      </c>
    </row>
    <row r="114" customFormat="false" ht="15" hidden="false" customHeight="false" outlineLevel="0" collapsed="false">
      <c r="A114" s="5"/>
      <c r="B114" s="5"/>
      <c r="C114" s="5"/>
      <c r="D114" s="5"/>
      <c r="E114" s="13"/>
      <c r="F114" s="4" t="str">
        <f aca="false">IF(OR(G114="",H114="",N(G114)=0,N(H114)&lt;=0),"",ROUNDDOWN(1000*(G114/H114)^3,0))</f>
        <v/>
      </c>
      <c r="G114" s="11" t="str">
        <f aca="false">IF(D114="","",SUMIFS('Базовые времена'!$D$2:$D$71,'Базовые времена'!$A$2:$A$71,B114,'Базовые времена'!$B$2:$B$71,C114,'Базовые времена'!$C$2:$C$71,D114))</f>
        <v/>
      </c>
      <c r="H114" s="11" t="str">
        <f aca="false">IF(E114="","",IF(ISNUMBER(E114),IF(E114&lt;1,E114*86400,E114),IFERROR(IF(ISNUMBER(FIND(":",SUBSTITUTE(TRIM(E114),",","."))),VALUE(LEFT(SUBSTITUTE(TRIM(E114),",","."),FIND(":",SUBSTITUTE(TRIM(E114),",","."))-1))*60+_xlfn.NUMBERVALUE(MID(SUBSTITUTE(TRIM(E114),",","."),FIND(":",SUBSTITUTE(TRIM(E114),",","."))+1,99),"."),_xlfn.NUMBERVALUE(SUBSTITUTE(TRIM(E114),",","."),".")),0)))</f>
        <v/>
      </c>
    </row>
    <row r="115" customFormat="false" ht="15" hidden="false" customHeight="false" outlineLevel="0" collapsed="false">
      <c r="A115" s="5"/>
      <c r="B115" s="5"/>
      <c r="C115" s="5"/>
      <c r="D115" s="5"/>
      <c r="E115" s="13"/>
      <c r="F115" s="4" t="str">
        <f aca="false">IF(OR(G115="",H115="",N(G115)=0,N(H115)&lt;=0),"",ROUNDDOWN(1000*(G115/H115)^3,0))</f>
        <v/>
      </c>
      <c r="G115" s="11" t="str">
        <f aca="false">IF(D115="","",SUMIFS('Базовые времена'!$D$2:$D$71,'Базовые времена'!$A$2:$A$71,B115,'Базовые времена'!$B$2:$B$71,C115,'Базовые времена'!$C$2:$C$71,D115))</f>
        <v/>
      </c>
      <c r="H115" s="11" t="str">
        <f aca="false">IF(E115="","",IF(ISNUMBER(E115),IF(E115&lt;1,E115*86400,E115),IFERROR(IF(ISNUMBER(FIND(":",SUBSTITUTE(TRIM(E115),",","."))),VALUE(LEFT(SUBSTITUTE(TRIM(E115),",","."),FIND(":",SUBSTITUTE(TRIM(E115),",","."))-1))*60+_xlfn.NUMBERVALUE(MID(SUBSTITUTE(TRIM(E115),",","."),FIND(":",SUBSTITUTE(TRIM(E115),",","."))+1,99),"."),_xlfn.NUMBERVALUE(SUBSTITUTE(TRIM(E115),",","."),".")),0)))</f>
        <v/>
      </c>
    </row>
    <row r="116" customFormat="false" ht="15" hidden="false" customHeight="false" outlineLevel="0" collapsed="false">
      <c r="A116" s="5"/>
      <c r="B116" s="5"/>
      <c r="C116" s="5"/>
      <c r="D116" s="5"/>
      <c r="E116" s="13"/>
      <c r="F116" s="4" t="str">
        <f aca="false">IF(OR(G116="",H116="",N(G116)=0,N(H116)&lt;=0),"",ROUNDDOWN(1000*(G116/H116)^3,0))</f>
        <v/>
      </c>
      <c r="G116" s="11" t="str">
        <f aca="false">IF(D116="","",SUMIFS('Базовые времена'!$D$2:$D$71,'Базовые времена'!$A$2:$A$71,B116,'Базовые времена'!$B$2:$B$71,C116,'Базовые времена'!$C$2:$C$71,D116))</f>
        <v/>
      </c>
      <c r="H116" s="11" t="str">
        <f aca="false">IF(E116="","",IF(ISNUMBER(E116),IF(E116&lt;1,E116*86400,E116),IFERROR(IF(ISNUMBER(FIND(":",SUBSTITUTE(TRIM(E116),",","."))),VALUE(LEFT(SUBSTITUTE(TRIM(E116),",","."),FIND(":",SUBSTITUTE(TRIM(E116),",","."))-1))*60+_xlfn.NUMBERVALUE(MID(SUBSTITUTE(TRIM(E116),",","."),FIND(":",SUBSTITUTE(TRIM(E116),",","."))+1,99),"."),_xlfn.NUMBERVALUE(SUBSTITUTE(TRIM(E116),",","."),".")),0)))</f>
        <v/>
      </c>
    </row>
    <row r="117" customFormat="false" ht="15" hidden="false" customHeight="false" outlineLevel="0" collapsed="false">
      <c r="A117" s="5"/>
      <c r="B117" s="5"/>
      <c r="C117" s="5"/>
      <c r="D117" s="5"/>
      <c r="E117" s="13"/>
      <c r="F117" s="4" t="str">
        <f aca="false">IF(OR(G117="",H117="",N(G117)=0,N(H117)&lt;=0),"",ROUNDDOWN(1000*(G117/H117)^3,0))</f>
        <v/>
      </c>
      <c r="G117" s="11" t="str">
        <f aca="false">IF(D117="","",SUMIFS('Базовые времена'!$D$2:$D$71,'Базовые времена'!$A$2:$A$71,B117,'Базовые времена'!$B$2:$B$71,C117,'Базовые времена'!$C$2:$C$71,D117))</f>
        <v/>
      </c>
      <c r="H117" s="11" t="str">
        <f aca="false">IF(E117="","",IF(ISNUMBER(E117),IF(E117&lt;1,E117*86400,E117),IFERROR(IF(ISNUMBER(FIND(":",SUBSTITUTE(TRIM(E117),",","."))),VALUE(LEFT(SUBSTITUTE(TRIM(E117),",","."),FIND(":",SUBSTITUTE(TRIM(E117),",","."))-1))*60+_xlfn.NUMBERVALUE(MID(SUBSTITUTE(TRIM(E117),",","."),FIND(":",SUBSTITUTE(TRIM(E117),",","."))+1,99),"."),_xlfn.NUMBERVALUE(SUBSTITUTE(TRIM(E117),",","."),".")),0)))</f>
        <v/>
      </c>
    </row>
    <row r="118" customFormat="false" ht="15" hidden="false" customHeight="false" outlineLevel="0" collapsed="false">
      <c r="A118" s="5"/>
      <c r="B118" s="5"/>
      <c r="C118" s="5"/>
      <c r="D118" s="5"/>
      <c r="E118" s="13"/>
      <c r="F118" s="4" t="str">
        <f aca="false">IF(OR(G118="",H118="",N(G118)=0,N(H118)&lt;=0),"",ROUNDDOWN(1000*(G118/H118)^3,0))</f>
        <v/>
      </c>
      <c r="G118" s="11" t="str">
        <f aca="false">IF(D118="","",SUMIFS('Базовые времена'!$D$2:$D$71,'Базовые времена'!$A$2:$A$71,B118,'Базовые времена'!$B$2:$B$71,C118,'Базовые времена'!$C$2:$C$71,D118))</f>
        <v/>
      </c>
      <c r="H118" s="11" t="str">
        <f aca="false">IF(E118="","",IF(ISNUMBER(E118),IF(E118&lt;1,E118*86400,E118),IFERROR(IF(ISNUMBER(FIND(":",SUBSTITUTE(TRIM(E118),",","."))),VALUE(LEFT(SUBSTITUTE(TRIM(E118),",","."),FIND(":",SUBSTITUTE(TRIM(E118),",","."))-1))*60+_xlfn.NUMBERVALUE(MID(SUBSTITUTE(TRIM(E118),",","."),FIND(":",SUBSTITUTE(TRIM(E118),",","."))+1,99),"."),_xlfn.NUMBERVALUE(SUBSTITUTE(TRIM(E118),",","."),".")),0)))</f>
        <v/>
      </c>
    </row>
    <row r="119" customFormat="false" ht="15" hidden="false" customHeight="false" outlineLevel="0" collapsed="false">
      <c r="A119" s="5"/>
      <c r="B119" s="5"/>
      <c r="C119" s="5"/>
      <c r="D119" s="5"/>
      <c r="E119" s="13"/>
      <c r="F119" s="4" t="str">
        <f aca="false">IF(OR(G119="",H119="",N(G119)=0,N(H119)&lt;=0),"",ROUNDDOWN(1000*(G119/H119)^3,0))</f>
        <v/>
      </c>
      <c r="G119" s="11" t="str">
        <f aca="false">IF(D119="","",SUMIFS('Базовые времена'!$D$2:$D$71,'Базовые времена'!$A$2:$A$71,B119,'Базовые времена'!$B$2:$B$71,C119,'Базовые времена'!$C$2:$C$71,D119))</f>
        <v/>
      </c>
      <c r="H119" s="11" t="str">
        <f aca="false">IF(E119="","",IF(ISNUMBER(E119),IF(E119&lt;1,E119*86400,E119),IFERROR(IF(ISNUMBER(FIND(":",SUBSTITUTE(TRIM(E119),",","."))),VALUE(LEFT(SUBSTITUTE(TRIM(E119),",","."),FIND(":",SUBSTITUTE(TRIM(E119),",","."))-1))*60+_xlfn.NUMBERVALUE(MID(SUBSTITUTE(TRIM(E119),",","."),FIND(":",SUBSTITUTE(TRIM(E119),",","."))+1,99),"."),_xlfn.NUMBERVALUE(SUBSTITUTE(TRIM(E119),",","."),".")),0)))</f>
        <v/>
      </c>
    </row>
    <row r="120" customFormat="false" ht="15" hidden="false" customHeight="false" outlineLevel="0" collapsed="false">
      <c r="A120" s="5"/>
      <c r="B120" s="5"/>
      <c r="C120" s="5"/>
      <c r="D120" s="5"/>
      <c r="E120" s="13"/>
      <c r="F120" s="4" t="str">
        <f aca="false">IF(OR(G120="",H120="",N(G120)=0,N(H120)&lt;=0),"",ROUNDDOWN(1000*(G120/H120)^3,0))</f>
        <v/>
      </c>
      <c r="G120" s="11" t="str">
        <f aca="false">IF(D120="","",SUMIFS('Базовые времена'!$D$2:$D$71,'Базовые времена'!$A$2:$A$71,B120,'Базовые времена'!$B$2:$B$71,C120,'Базовые времена'!$C$2:$C$71,D120))</f>
        <v/>
      </c>
      <c r="H120" s="11" t="str">
        <f aca="false">IF(E120="","",IF(ISNUMBER(E120),IF(E120&lt;1,E120*86400,E120),IFERROR(IF(ISNUMBER(FIND(":",SUBSTITUTE(TRIM(E120),",","."))),VALUE(LEFT(SUBSTITUTE(TRIM(E120),",","."),FIND(":",SUBSTITUTE(TRIM(E120),",","."))-1))*60+_xlfn.NUMBERVALUE(MID(SUBSTITUTE(TRIM(E120),",","."),FIND(":",SUBSTITUTE(TRIM(E120),",","."))+1,99),"."),_xlfn.NUMBERVALUE(SUBSTITUTE(TRIM(E120),",","."),".")),0)))</f>
        <v/>
      </c>
    </row>
    <row r="121" customFormat="false" ht="15" hidden="false" customHeight="false" outlineLevel="0" collapsed="false">
      <c r="A121" s="5"/>
      <c r="B121" s="5"/>
      <c r="C121" s="5"/>
      <c r="D121" s="5"/>
      <c r="E121" s="13"/>
      <c r="F121" s="4" t="str">
        <f aca="false">IF(OR(G121="",H121="",N(G121)=0,N(H121)&lt;=0),"",ROUNDDOWN(1000*(G121/H121)^3,0))</f>
        <v/>
      </c>
      <c r="G121" s="11" t="str">
        <f aca="false">IF(D121="","",SUMIFS('Базовые времена'!$D$2:$D$71,'Базовые времена'!$A$2:$A$71,B121,'Базовые времена'!$B$2:$B$71,C121,'Базовые времена'!$C$2:$C$71,D121))</f>
        <v/>
      </c>
      <c r="H121" s="11" t="str">
        <f aca="false">IF(E121="","",IF(ISNUMBER(E121),IF(E121&lt;1,E121*86400,E121),IFERROR(IF(ISNUMBER(FIND(":",SUBSTITUTE(TRIM(E121),",","."))),VALUE(LEFT(SUBSTITUTE(TRIM(E121),",","."),FIND(":",SUBSTITUTE(TRIM(E121),",","."))-1))*60+_xlfn.NUMBERVALUE(MID(SUBSTITUTE(TRIM(E121),",","."),FIND(":",SUBSTITUTE(TRIM(E121),",","."))+1,99),"."),_xlfn.NUMBERVALUE(SUBSTITUTE(TRIM(E121),",","."),".")),0)))</f>
        <v/>
      </c>
    </row>
    <row r="122" customFormat="false" ht="15" hidden="false" customHeight="false" outlineLevel="0" collapsed="false">
      <c r="A122" s="5"/>
      <c r="B122" s="5"/>
      <c r="C122" s="5"/>
      <c r="D122" s="5"/>
      <c r="E122" s="13"/>
      <c r="F122" s="4" t="str">
        <f aca="false">IF(OR(G122="",H122="",N(G122)=0,N(H122)&lt;=0),"",ROUNDDOWN(1000*(G122/H122)^3,0))</f>
        <v/>
      </c>
      <c r="G122" s="11" t="str">
        <f aca="false">IF(D122="","",SUMIFS('Базовые времена'!$D$2:$D$71,'Базовые времена'!$A$2:$A$71,B122,'Базовые времена'!$B$2:$B$71,C122,'Базовые времена'!$C$2:$C$71,D122))</f>
        <v/>
      </c>
      <c r="H122" s="11" t="str">
        <f aca="false">IF(E122="","",IF(ISNUMBER(E122),IF(E122&lt;1,E122*86400,E122),IFERROR(IF(ISNUMBER(FIND(":",SUBSTITUTE(TRIM(E122),",","."))),VALUE(LEFT(SUBSTITUTE(TRIM(E122),",","."),FIND(":",SUBSTITUTE(TRIM(E122),",","."))-1))*60+_xlfn.NUMBERVALUE(MID(SUBSTITUTE(TRIM(E122),",","."),FIND(":",SUBSTITUTE(TRIM(E122),",","."))+1,99),"."),_xlfn.NUMBERVALUE(SUBSTITUTE(TRIM(E122),",","."),".")),0)))</f>
        <v/>
      </c>
    </row>
    <row r="123" customFormat="false" ht="15" hidden="false" customHeight="false" outlineLevel="0" collapsed="false">
      <c r="A123" s="5"/>
      <c r="B123" s="5"/>
      <c r="C123" s="5"/>
      <c r="D123" s="5"/>
      <c r="E123" s="13"/>
      <c r="F123" s="4" t="str">
        <f aca="false">IF(OR(G123="",H123="",N(G123)=0,N(H123)&lt;=0),"",ROUNDDOWN(1000*(G123/H123)^3,0))</f>
        <v/>
      </c>
      <c r="G123" s="11" t="str">
        <f aca="false">IF(D123="","",SUMIFS('Базовые времена'!$D$2:$D$71,'Базовые времена'!$A$2:$A$71,B123,'Базовые времена'!$B$2:$B$71,C123,'Базовые времена'!$C$2:$C$71,D123))</f>
        <v/>
      </c>
      <c r="H123" s="11" t="str">
        <f aca="false">IF(E123="","",IF(ISNUMBER(E123),IF(E123&lt;1,E123*86400,E123),IFERROR(IF(ISNUMBER(FIND(":",SUBSTITUTE(TRIM(E123),",","."))),VALUE(LEFT(SUBSTITUTE(TRIM(E123),",","."),FIND(":",SUBSTITUTE(TRIM(E123),",","."))-1))*60+_xlfn.NUMBERVALUE(MID(SUBSTITUTE(TRIM(E123),",","."),FIND(":",SUBSTITUTE(TRIM(E123),",","."))+1,99),"."),_xlfn.NUMBERVALUE(SUBSTITUTE(TRIM(E123),",","."),".")),0)))</f>
        <v/>
      </c>
    </row>
    <row r="124" customFormat="false" ht="15" hidden="false" customHeight="false" outlineLevel="0" collapsed="false">
      <c r="A124" s="5"/>
      <c r="B124" s="5"/>
      <c r="C124" s="5"/>
      <c r="D124" s="5"/>
      <c r="E124" s="13"/>
      <c r="F124" s="4" t="str">
        <f aca="false">IF(OR(G124="",H124="",N(G124)=0,N(H124)&lt;=0),"",ROUNDDOWN(1000*(G124/H124)^3,0))</f>
        <v/>
      </c>
      <c r="G124" s="11" t="str">
        <f aca="false">IF(D124="","",SUMIFS('Базовые времена'!$D$2:$D$71,'Базовые времена'!$A$2:$A$71,B124,'Базовые времена'!$B$2:$B$71,C124,'Базовые времена'!$C$2:$C$71,D124))</f>
        <v/>
      </c>
      <c r="H124" s="11" t="str">
        <f aca="false">IF(E124="","",IF(ISNUMBER(E124),IF(E124&lt;1,E124*86400,E124),IFERROR(IF(ISNUMBER(FIND(":",SUBSTITUTE(TRIM(E124),",","."))),VALUE(LEFT(SUBSTITUTE(TRIM(E124),",","."),FIND(":",SUBSTITUTE(TRIM(E124),",","."))-1))*60+_xlfn.NUMBERVALUE(MID(SUBSTITUTE(TRIM(E124),",","."),FIND(":",SUBSTITUTE(TRIM(E124),",","."))+1,99),"."),_xlfn.NUMBERVALUE(SUBSTITUTE(TRIM(E124),",","."),".")),0)))</f>
        <v/>
      </c>
    </row>
    <row r="125" customFormat="false" ht="15" hidden="false" customHeight="false" outlineLevel="0" collapsed="false">
      <c r="A125" s="5"/>
      <c r="B125" s="5"/>
      <c r="C125" s="5"/>
      <c r="D125" s="5"/>
      <c r="E125" s="13"/>
      <c r="F125" s="4" t="str">
        <f aca="false">IF(OR(G125="",H125="",N(G125)=0,N(H125)&lt;=0),"",ROUNDDOWN(1000*(G125/H125)^3,0))</f>
        <v/>
      </c>
      <c r="G125" s="11" t="str">
        <f aca="false">IF(D125="","",SUMIFS('Базовые времена'!$D$2:$D$71,'Базовые времена'!$A$2:$A$71,B125,'Базовые времена'!$B$2:$B$71,C125,'Базовые времена'!$C$2:$C$71,D125))</f>
        <v/>
      </c>
      <c r="H125" s="11" t="str">
        <f aca="false">IF(E125="","",IF(ISNUMBER(E125),IF(E125&lt;1,E125*86400,E125),IFERROR(IF(ISNUMBER(FIND(":",SUBSTITUTE(TRIM(E125),",","."))),VALUE(LEFT(SUBSTITUTE(TRIM(E125),",","."),FIND(":",SUBSTITUTE(TRIM(E125),",","."))-1))*60+_xlfn.NUMBERVALUE(MID(SUBSTITUTE(TRIM(E125),",","."),FIND(":",SUBSTITUTE(TRIM(E125),",","."))+1,99),"."),_xlfn.NUMBERVALUE(SUBSTITUTE(TRIM(E125),",","."),".")),0)))</f>
        <v/>
      </c>
    </row>
    <row r="126" customFormat="false" ht="15" hidden="false" customHeight="false" outlineLevel="0" collapsed="false">
      <c r="A126" s="5"/>
      <c r="B126" s="5"/>
      <c r="C126" s="5"/>
      <c r="D126" s="5"/>
      <c r="E126" s="13"/>
      <c r="F126" s="4" t="str">
        <f aca="false">IF(OR(G126="",H126="",N(G126)=0,N(H126)&lt;=0),"",ROUNDDOWN(1000*(G126/H126)^3,0))</f>
        <v/>
      </c>
      <c r="G126" s="11" t="str">
        <f aca="false">IF(D126="","",SUMIFS('Базовые времена'!$D$2:$D$71,'Базовые времена'!$A$2:$A$71,B126,'Базовые времена'!$B$2:$B$71,C126,'Базовые времена'!$C$2:$C$71,D126))</f>
        <v/>
      </c>
      <c r="H126" s="11" t="str">
        <f aca="false">IF(E126="","",IF(ISNUMBER(E126),IF(E126&lt;1,E126*86400,E126),IFERROR(IF(ISNUMBER(FIND(":",SUBSTITUTE(TRIM(E126),",","."))),VALUE(LEFT(SUBSTITUTE(TRIM(E126),",","."),FIND(":",SUBSTITUTE(TRIM(E126),",","."))-1))*60+_xlfn.NUMBERVALUE(MID(SUBSTITUTE(TRIM(E126),",","."),FIND(":",SUBSTITUTE(TRIM(E126),",","."))+1,99),"."),_xlfn.NUMBERVALUE(SUBSTITUTE(TRIM(E126),",","."),".")),0)))</f>
        <v/>
      </c>
    </row>
    <row r="127" customFormat="false" ht="15" hidden="false" customHeight="false" outlineLevel="0" collapsed="false">
      <c r="A127" s="5"/>
      <c r="B127" s="5"/>
      <c r="C127" s="5"/>
      <c r="D127" s="5"/>
      <c r="E127" s="13"/>
      <c r="F127" s="4" t="str">
        <f aca="false">IF(OR(G127="",H127="",N(G127)=0,N(H127)&lt;=0),"",ROUNDDOWN(1000*(G127/H127)^3,0))</f>
        <v/>
      </c>
      <c r="G127" s="11" t="str">
        <f aca="false">IF(D127="","",SUMIFS('Базовые времена'!$D$2:$D$71,'Базовые времена'!$A$2:$A$71,B127,'Базовые времена'!$B$2:$B$71,C127,'Базовые времена'!$C$2:$C$71,D127))</f>
        <v/>
      </c>
      <c r="H127" s="11" t="str">
        <f aca="false">IF(E127="","",IF(ISNUMBER(E127),IF(E127&lt;1,E127*86400,E127),IFERROR(IF(ISNUMBER(FIND(":",SUBSTITUTE(TRIM(E127),",","."))),VALUE(LEFT(SUBSTITUTE(TRIM(E127),",","."),FIND(":",SUBSTITUTE(TRIM(E127),",","."))-1))*60+_xlfn.NUMBERVALUE(MID(SUBSTITUTE(TRIM(E127),",","."),FIND(":",SUBSTITUTE(TRIM(E127),",","."))+1,99),"."),_xlfn.NUMBERVALUE(SUBSTITUTE(TRIM(E127),",","."),".")),0)))</f>
        <v/>
      </c>
    </row>
    <row r="128" customFormat="false" ht="15" hidden="false" customHeight="false" outlineLevel="0" collapsed="false">
      <c r="A128" s="5"/>
      <c r="B128" s="5"/>
      <c r="C128" s="5"/>
      <c r="D128" s="5"/>
      <c r="E128" s="13"/>
      <c r="F128" s="4" t="str">
        <f aca="false">IF(OR(G128="",H128="",N(G128)=0,N(H128)&lt;=0),"",ROUNDDOWN(1000*(G128/H128)^3,0))</f>
        <v/>
      </c>
      <c r="G128" s="11" t="str">
        <f aca="false">IF(D128="","",SUMIFS('Базовые времена'!$D$2:$D$71,'Базовые времена'!$A$2:$A$71,B128,'Базовые времена'!$B$2:$B$71,C128,'Базовые времена'!$C$2:$C$71,D128))</f>
        <v/>
      </c>
      <c r="H128" s="11" t="str">
        <f aca="false">IF(E128="","",IF(ISNUMBER(E128),IF(E128&lt;1,E128*86400,E128),IFERROR(IF(ISNUMBER(FIND(":",SUBSTITUTE(TRIM(E128),",","."))),VALUE(LEFT(SUBSTITUTE(TRIM(E128),",","."),FIND(":",SUBSTITUTE(TRIM(E128),",","."))-1))*60+_xlfn.NUMBERVALUE(MID(SUBSTITUTE(TRIM(E128),",","."),FIND(":",SUBSTITUTE(TRIM(E128),",","."))+1,99),"."),_xlfn.NUMBERVALUE(SUBSTITUTE(TRIM(E128),",","."),".")),0)))</f>
        <v/>
      </c>
    </row>
    <row r="129" customFormat="false" ht="15" hidden="false" customHeight="false" outlineLevel="0" collapsed="false">
      <c r="A129" s="5"/>
      <c r="B129" s="5"/>
      <c r="C129" s="5"/>
      <c r="D129" s="5"/>
      <c r="E129" s="13"/>
      <c r="F129" s="4" t="str">
        <f aca="false">IF(OR(G129="",H129="",N(G129)=0,N(H129)&lt;=0),"",ROUNDDOWN(1000*(G129/H129)^3,0))</f>
        <v/>
      </c>
      <c r="G129" s="11" t="str">
        <f aca="false">IF(D129="","",SUMIFS('Базовые времена'!$D$2:$D$71,'Базовые времена'!$A$2:$A$71,B129,'Базовые времена'!$B$2:$B$71,C129,'Базовые времена'!$C$2:$C$71,D129))</f>
        <v/>
      </c>
      <c r="H129" s="11" t="str">
        <f aca="false">IF(E129="","",IF(ISNUMBER(E129),IF(E129&lt;1,E129*86400,E129),IFERROR(IF(ISNUMBER(FIND(":",SUBSTITUTE(TRIM(E129),",","."))),VALUE(LEFT(SUBSTITUTE(TRIM(E129),",","."),FIND(":",SUBSTITUTE(TRIM(E129),",","."))-1))*60+_xlfn.NUMBERVALUE(MID(SUBSTITUTE(TRIM(E129),",","."),FIND(":",SUBSTITUTE(TRIM(E129),",","."))+1,99),"."),_xlfn.NUMBERVALUE(SUBSTITUTE(TRIM(E129),",","."),".")),0)))</f>
        <v/>
      </c>
    </row>
    <row r="130" customFormat="false" ht="15" hidden="false" customHeight="false" outlineLevel="0" collapsed="false">
      <c r="A130" s="5"/>
      <c r="B130" s="5"/>
      <c r="C130" s="5"/>
      <c r="D130" s="5"/>
      <c r="E130" s="13"/>
      <c r="F130" s="4" t="str">
        <f aca="false">IF(OR(G130="",H130="",N(G130)=0,N(H130)&lt;=0),"",ROUNDDOWN(1000*(G130/H130)^3,0))</f>
        <v/>
      </c>
      <c r="G130" s="11" t="str">
        <f aca="false">IF(D130="","",SUMIFS('Базовые времена'!$D$2:$D$71,'Базовые времена'!$A$2:$A$71,B130,'Базовые времена'!$B$2:$B$71,C130,'Базовые времена'!$C$2:$C$71,D130))</f>
        <v/>
      </c>
      <c r="H130" s="11" t="str">
        <f aca="false">IF(E130="","",IF(ISNUMBER(E130),IF(E130&lt;1,E130*86400,E130),IFERROR(IF(ISNUMBER(FIND(":",SUBSTITUTE(TRIM(E130),",","."))),VALUE(LEFT(SUBSTITUTE(TRIM(E130),",","."),FIND(":",SUBSTITUTE(TRIM(E130),",","."))-1))*60+_xlfn.NUMBERVALUE(MID(SUBSTITUTE(TRIM(E130),",","."),FIND(":",SUBSTITUTE(TRIM(E130),",","."))+1,99),"."),_xlfn.NUMBERVALUE(SUBSTITUTE(TRIM(E130),",","."),".")),0)))</f>
        <v/>
      </c>
    </row>
    <row r="131" customFormat="false" ht="15" hidden="false" customHeight="false" outlineLevel="0" collapsed="false">
      <c r="A131" s="5"/>
      <c r="B131" s="5"/>
      <c r="C131" s="5"/>
      <c r="D131" s="5"/>
      <c r="E131" s="13"/>
      <c r="F131" s="4" t="str">
        <f aca="false">IF(OR(G131="",H131="",N(G131)=0,N(H131)&lt;=0),"",ROUNDDOWN(1000*(G131/H131)^3,0))</f>
        <v/>
      </c>
      <c r="G131" s="11" t="str">
        <f aca="false">IF(D131="","",SUMIFS('Базовые времена'!$D$2:$D$71,'Базовые времена'!$A$2:$A$71,B131,'Базовые времена'!$B$2:$B$71,C131,'Базовые времена'!$C$2:$C$71,D131))</f>
        <v/>
      </c>
      <c r="H131" s="11" t="str">
        <f aca="false">IF(E131="","",IF(ISNUMBER(E131),IF(E131&lt;1,E131*86400,E131),IFERROR(IF(ISNUMBER(FIND(":",SUBSTITUTE(TRIM(E131),",","."))),VALUE(LEFT(SUBSTITUTE(TRIM(E131),",","."),FIND(":",SUBSTITUTE(TRIM(E131),",","."))-1))*60+_xlfn.NUMBERVALUE(MID(SUBSTITUTE(TRIM(E131),",","."),FIND(":",SUBSTITUTE(TRIM(E131),",","."))+1,99),"."),_xlfn.NUMBERVALUE(SUBSTITUTE(TRIM(E131),",","."),".")),0)))</f>
        <v/>
      </c>
    </row>
    <row r="132" customFormat="false" ht="15" hidden="false" customHeight="false" outlineLevel="0" collapsed="false">
      <c r="A132" s="5"/>
      <c r="B132" s="5"/>
      <c r="C132" s="5"/>
      <c r="D132" s="5"/>
      <c r="E132" s="13"/>
      <c r="F132" s="4" t="str">
        <f aca="false">IF(OR(G132="",H132="",N(G132)=0,N(H132)&lt;=0),"",ROUNDDOWN(1000*(G132/H132)^3,0))</f>
        <v/>
      </c>
      <c r="G132" s="11" t="str">
        <f aca="false">IF(D132="","",SUMIFS('Базовые времена'!$D$2:$D$71,'Базовые времена'!$A$2:$A$71,B132,'Базовые времена'!$B$2:$B$71,C132,'Базовые времена'!$C$2:$C$71,D132))</f>
        <v/>
      </c>
      <c r="H132" s="11" t="str">
        <f aca="false">IF(E132="","",IF(ISNUMBER(E132),IF(E132&lt;1,E132*86400,E132),IFERROR(IF(ISNUMBER(FIND(":",SUBSTITUTE(TRIM(E132),",","."))),VALUE(LEFT(SUBSTITUTE(TRIM(E132),",","."),FIND(":",SUBSTITUTE(TRIM(E132),",","."))-1))*60+_xlfn.NUMBERVALUE(MID(SUBSTITUTE(TRIM(E132),",","."),FIND(":",SUBSTITUTE(TRIM(E132),",","."))+1,99),"."),_xlfn.NUMBERVALUE(SUBSTITUTE(TRIM(E132),",","."),".")),0)))</f>
        <v/>
      </c>
    </row>
    <row r="133" customFormat="false" ht="15" hidden="false" customHeight="false" outlineLevel="0" collapsed="false">
      <c r="A133" s="5"/>
      <c r="B133" s="5"/>
      <c r="C133" s="5"/>
      <c r="D133" s="5"/>
      <c r="E133" s="13"/>
      <c r="F133" s="4" t="str">
        <f aca="false">IF(OR(G133="",H133="",N(G133)=0,N(H133)&lt;=0),"",ROUNDDOWN(1000*(G133/H133)^3,0))</f>
        <v/>
      </c>
      <c r="G133" s="11" t="str">
        <f aca="false">IF(D133="","",SUMIFS('Базовые времена'!$D$2:$D$71,'Базовые времена'!$A$2:$A$71,B133,'Базовые времена'!$B$2:$B$71,C133,'Базовые времена'!$C$2:$C$71,D133))</f>
        <v/>
      </c>
      <c r="H133" s="11" t="str">
        <f aca="false">IF(E133="","",IF(ISNUMBER(E133),IF(E133&lt;1,E133*86400,E133),IFERROR(IF(ISNUMBER(FIND(":",SUBSTITUTE(TRIM(E133),",","."))),VALUE(LEFT(SUBSTITUTE(TRIM(E133),",","."),FIND(":",SUBSTITUTE(TRIM(E133),",","."))-1))*60+_xlfn.NUMBERVALUE(MID(SUBSTITUTE(TRIM(E133),",","."),FIND(":",SUBSTITUTE(TRIM(E133),",","."))+1,99),"."),_xlfn.NUMBERVALUE(SUBSTITUTE(TRIM(E133),",","."),".")),0)))</f>
        <v/>
      </c>
    </row>
    <row r="134" customFormat="false" ht="15" hidden="false" customHeight="false" outlineLevel="0" collapsed="false">
      <c r="A134" s="5"/>
      <c r="B134" s="5"/>
      <c r="C134" s="5"/>
      <c r="D134" s="5"/>
      <c r="E134" s="13"/>
      <c r="F134" s="4" t="str">
        <f aca="false">IF(OR(G134="",H134="",N(G134)=0,N(H134)&lt;=0),"",ROUNDDOWN(1000*(G134/H134)^3,0))</f>
        <v/>
      </c>
      <c r="G134" s="11" t="str">
        <f aca="false">IF(D134="","",SUMIFS('Базовые времена'!$D$2:$D$71,'Базовые времена'!$A$2:$A$71,B134,'Базовые времена'!$B$2:$B$71,C134,'Базовые времена'!$C$2:$C$71,D134))</f>
        <v/>
      </c>
      <c r="H134" s="11" t="str">
        <f aca="false">IF(E134="","",IF(ISNUMBER(E134),IF(E134&lt;1,E134*86400,E134),IFERROR(IF(ISNUMBER(FIND(":",SUBSTITUTE(TRIM(E134),",","."))),VALUE(LEFT(SUBSTITUTE(TRIM(E134),",","."),FIND(":",SUBSTITUTE(TRIM(E134),",","."))-1))*60+_xlfn.NUMBERVALUE(MID(SUBSTITUTE(TRIM(E134),",","."),FIND(":",SUBSTITUTE(TRIM(E134),",","."))+1,99),"."),_xlfn.NUMBERVALUE(SUBSTITUTE(TRIM(E134),",","."),".")),0)))</f>
        <v/>
      </c>
    </row>
    <row r="135" customFormat="false" ht="15" hidden="false" customHeight="false" outlineLevel="0" collapsed="false">
      <c r="A135" s="5"/>
      <c r="B135" s="5"/>
      <c r="C135" s="5"/>
      <c r="D135" s="5"/>
      <c r="E135" s="13"/>
      <c r="F135" s="4" t="str">
        <f aca="false">IF(OR(G135="",H135="",N(G135)=0,N(H135)&lt;=0),"",ROUNDDOWN(1000*(G135/H135)^3,0))</f>
        <v/>
      </c>
      <c r="G135" s="11" t="str">
        <f aca="false">IF(D135="","",SUMIFS('Базовые времена'!$D$2:$D$71,'Базовые времена'!$A$2:$A$71,B135,'Базовые времена'!$B$2:$B$71,C135,'Базовые времена'!$C$2:$C$71,D135))</f>
        <v/>
      </c>
      <c r="H135" s="11" t="str">
        <f aca="false">IF(E135="","",IF(ISNUMBER(E135),IF(E135&lt;1,E135*86400,E135),IFERROR(IF(ISNUMBER(FIND(":",SUBSTITUTE(TRIM(E135),",","."))),VALUE(LEFT(SUBSTITUTE(TRIM(E135),",","."),FIND(":",SUBSTITUTE(TRIM(E135),",","."))-1))*60+_xlfn.NUMBERVALUE(MID(SUBSTITUTE(TRIM(E135),",","."),FIND(":",SUBSTITUTE(TRIM(E135),",","."))+1,99),"."),_xlfn.NUMBERVALUE(SUBSTITUTE(TRIM(E135),",","."),".")),0)))</f>
        <v/>
      </c>
    </row>
    <row r="136" customFormat="false" ht="15" hidden="false" customHeight="false" outlineLevel="0" collapsed="false">
      <c r="A136" s="5"/>
      <c r="B136" s="5"/>
      <c r="C136" s="5"/>
      <c r="D136" s="5"/>
      <c r="E136" s="13"/>
      <c r="F136" s="4" t="str">
        <f aca="false">IF(OR(G136="",H136="",N(G136)=0,N(H136)&lt;=0),"",ROUNDDOWN(1000*(G136/H136)^3,0))</f>
        <v/>
      </c>
      <c r="G136" s="11" t="str">
        <f aca="false">IF(D136="","",SUMIFS('Базовые времена'!$D$2:$D$71,'Базовые времена'!$A$2:$A$71,B136,'Базовые времена'!$B$2:$B$71,C136,'Базовые времена'!$C$2:$C$71,D136))</f>
        <v/>
      </c>
      <c r="H136" s="11" t="str">
        <f aca="false">IF(E136="","",IF(ISNUMBER(E136),IF(E136&lt;1,E136*86400,E136),IFERROR(IF(ISNUMBER(FIND(":",SUBSTITUTE(TRIM(E136),",","."))),VALUE(LEFT(SUBSTITUTE(TRIM(E136),",","."),FIND(":",SUBSTITUTE(TRIM(E136),",","."))-1))*60+_xlfn.NUMBERVALUE(MID(SUBSTITUTE(TRIM(E136),",","."),FIND(":",SUBSTITUTE(TRIM(E136),",","."))+1,99),"."),_xlfn.NUMBERVALUE(SUBSTITUTE(TRIM(E136),",","."),".")),0)))</f>
        <v/>
      </c>
    </row>
    <row r="137" customFormat="false" ht="15" hidden="false" customHeight="false" outlineLevel="0" collapsed="false">
      <c r="A137" s="5"/>
      <c r="B137" s="5"/>
      <c r="C137" s="5"/>
      <c r="D137" s="5"/>
      <c r="E137" s="13"/>
      <c r="F137" s="4" t="str">
        <f aca="false">IF(OR(G137="",H137="",N(G137)=0,N(H137)&lt;=0),"",ROUNDDOWN(1000*(G137/H137)^3,0))</f>
        <v/>
      </c>
      <c r="G137" s="11" t="str">
        <f aca="false">IF(D137="","",SUMIFS('Базовые времена'!$D$2:$D$71,'Базовые времена'!$A$2:$A$71,B137,'Базовые времена'!$B$2:$B$71,C137,'Базовые времена'!$C$2:$C$71,D137))</f>
        <v/>
      </c>
      <c r="H137" s="11" t="str">
        <f aca="false">IF(E137="","",IF(ISNUMBER(E137),IF(E137&lt;1,E137*86400,E137),IFERROR(IF(ISNUMBER(FIND(":",SUBSTITUTE(TRIM(E137),",","."))),VALUE(LEFT(SUBSTITUTE(TRIM(E137),",","."),FIND(":",SUBSTITUTE(TRIM(E137),",","."))-1))*60+_xlfn.NUMBERVALUE(MID(SUBSTITUTE(TRIM(E137),",","."),FIND(":",SUBSTITUTE(TRIM(E137),",","."))+1,99),"."),_xlfn.NUMBERVALUE(SUBSTITUTE(TRIM(E137),",","."),".")),0)))</f>
        <v/>
      </c>
    </row>
    <row r="138" customFormat="false" ht="15" hidden="false" customHeight="false" outlineLevel="0" collapsed="false">
      <c r="A138" s="5"/>
      <c r="B138" s="5"/>
      <c r="C138" s="5"/>
      <c r="D138" s="5"/>
      <c r="E138" s="13"/>
      <c r="F138" s="4" t="str">
        <f aca="false">IF(OR(G138="",H138="",N(G138)=0,N(H138)&lt;=0),"",ROUNDDOWN(1000*(G138/H138)^3,0))</f>
        <v/>
      </c>
      <c r="G138" s="11" t="str">
        <f aca="false">IF(D138="","",SUMIFS('Базовые времена'!$D$2:$D$71,'Базовые времена'!$A$2:$A$71,B138,'Базовые времена'!$B$2:$B$71,C138,'Базовые времена'!$C$2:$C$71,D138))</f>
        <v/>
      </c>
      <c r="H138" s="11" t="str">
        <f aca="false">IF(E138="","",IF(ISNUMBER(E138),IF(E138&lt;1,E138*86400,E138),IFERROR(IF(ISNUMBER(FIND(":",SUBSTITUTE(TRIM(E138),",","."))),VALUE(LEFT(SUBSTITUTE(TRIM(E138),",","."),FIND(":",SUBSTITUTE(TRIM(E138),",","."))-1))*60+_xlfn.NUMBERVALUE(MID(SUBSTITUTE(TRIM(E138),",","."),FIND(":",SUBSTITUTE(TRIM(E138),",","."))+1,99),"."),_xlfn.NUMBERVALUE(SUBSTITUTE(TRIM(E138),",","."),".")),0)))</f>
        <v/>
      </c>
    </row>
    <row r="139" customFormat="false" ht="15" hidden="false" customHeight="false" outlineLevel="0" collapsed="false">
      <c r="A139" s="5"/>
      <c r="B139" s="5"/>
      <c r="C139" s="5"/>
      <c r="D139" s="5"/>
      <c r="E139" s="13"/>
      <c r="F139" s="4" t="str">
        <f aca="false">IF(OR(G139="",H139="",N(G139)=0,N(H139)&lt;=0),"",ROUNDDOWN(1000*(G139/H139)^3,0))</f>
        <v/>
      </c>
      <c r="G139" s="11" t="str">
        <f aca="false">IF(D139="","",SUMIFS('Базовые времена'!$D$2:$D$71,'Базовые времена'!$A$2:$A$71,B139,'Базовые времена'!$B$2:$B$71,C139,'Базовые времена'!$C$2:$C$71,D139))</f>
        <v/>
      </c>
      <c r="H139" s="11" t="str">
        <f aca="false">IF(E139="","",IF(ISNUMBER(E139),IF(E139&lt;1,E139*86400,E139),IFERROR(IF(ISNUMBER(FIND(":",SUBSTITUTE(TRIM(E139),",","."))),VALUE(LEFT(SUBSTITUTE(TRIM(E139),",","."),FIND(":",SUBSTITUTE(TRIM(E139),",","."))-1))*60+_xlfn.NUMBERVALUE(MID(SUBSTITUTE(TRIM(E139),",","."),FIND(":",SUBSTITUTE(TRIM(E139),",","."))+1,99),"."),_xlfn.NUMBERVALUE(SUBSTITUTE(TRIM(E139),",","."),".")),0)))</f>
        <v/>
      </c>
    </row>
    <row r="140" customFormat="false" ht="15" hidden="false" customHeight="false" outlineLevel="0" collapsed="false">
      <c r="A140" s="5"/>
      <c r="B140" s="5"/>
      <c r="C140" s="5"/>
      <c r="D140" s="5"/>
      <c r="E140" s="13"/>
      <c r="F140" s="4" t="str">
        <f aca="false">IF(OR(G140="",H140="",N(G140)=0,N(H140)&lt;=0),"",ROUNDDOWN(1000*(G140/H140)^3,0))</f>
        <v/>
      </c>
      <c r="G140" s="11" t="str">
        <f aca="false">IF(D140="","",SUMIFS('Базовые времена'!$D$2:$D$71,'Базовые времена'!$A$2:$A$71,B140,'Базовые времена'!$B$2:$B$71,C140,'Базовые времена'!$C$2:$C$71,D140))</f>
        <v/>
      </c>
      <c r="H140" s="11" t="str">
        <f aca="false">IF(E140="","",IF(ISNUMBER(E140),IF(E140&lt;1,E140*86400,E140),IFERROR(IF(ISNUMBER(FIND(":",SUBSTITUTE(TRIM(E140),",","."))),VALUE(LEFT(SUBSTITUTE(TRIM(E140),",","."),FIND(":",SUBSTITUTE(TRIM(E140),",","."))-1))*60+_xlfn.NUMBERVALUE(MID(SUBSTITUTE(TRIM(E140),",","."),FIND(":",SUBSTITUTE(TRIM(E140),",","."))+1,99),"."),_xlfn.NUMBERVALUE(SUBSTITUTE(TRIM(E140),",","."),".")),0)))</f>
        <v/>
      </c>
    </row>
    <row r="141" customFormat="false" ht="15" hidden="false" customHeight="false" outlineLevel="0" collapsed="false">
      <c r="A141" s="5"/>
      <c r="B141" s="5"/>
      <c r="C141" s="5"/>
      <c r="D141" s="5"/>
      <c r="E141" s="13"/>
      <c r="F141" s="4" t="str">
        <f aca="false">IF(OR(G141="",H141="",N(G141)=0,N(H141)&lt;=0),"",ROUNDDOWN(1000*(G141/H141)^3,0))</f>
        <v/>
      </c>
      <c r="G141" s="11" t="str">
        <f aca="false">IF(D141="","",SUMIFS('Базовые времена'!$D$2:$D$71,'Базовые времена'!$A$2:$A$71,B141,'Базовые времена'!$B$2:$B$71,C141,'Базовые времена'!$C$2:$C$71,D141))</f>
        <v/>
      </c>
      <c r="H141" s="11" t="str">
        <f aca="false">IF(E141="","",IF(ISNUMBER(E141),IF(E141&lt;1,E141*86400,E141),IFERROR(IF(ISNUMBER(FIND(":",SUBSTITUTE(TRIM(E141),",","."))),VALUE(LEFT(SUBSTITUTE(TRIM(E141),",","."),FIND(":",SUBSTITUTE(TRIM(E141),",","."))-1))*60+_xlfn.NUMBERVALUE(MID(SUBSTITUTE(TRIM(E141),",","."),FIND(":",SUBSTITUTE(TRIM(E141),",","."))+1,99),"."),_xlfn.NUMBERVALUE(SUBSTITUTE(TRIM(E141),",","."),".")),0)))</f>
        <v/>
      </c>
    </row>
    <row r="142" customFormat="false" ht="15" hidden="false" customHeight="false" outlineLevel="0" collapsed="false">
      <c r="A142" s="5"/>
      <c r="B142" s="5"/>
      <c r="C142" s="5"/>
      <c r="D142" s="5"/>
      <c r="E142" s="13"/>
      <c r="F142" s="4" t="str">
        <f aca="false">IF(OR(G142="",H142="",N(G142)=0,N(H142)&lt;=0),"",ROUNDDOWN(1000*(G142/H142)^3,0))</f>
        <v/>
      </c>
      <c r="G142" s="11" t="str">
        <f aca="false">IF(D142="","",SUMIFS('Базовые времена'!$D$2:$D$71,'Базовые времена'!$A$2:$A$71,B142,'Базовые времена'!$B$2:$B$71,C142,'Базовые времена'!$C$2:$C$71,D142))</f>
        <v/>
      </c>
      <c r="H142" s="11" t="str">
        <f aca="false">IF(E142="","",IF(ISNUMBER(E142),IF(E142&lt;1,E142*86400,E142),IFERROR(IF(ISNUMBER(FIND(":",SUBSTITUTE(TRIM(E142),",","."))),VALUE(LEFT(SUBSTITUTE(TRIM(E142),",","."),FIND(":",SUBSTITUTE(TRIM(E142),",","."))-1))*60+_xlfn.NUMBERVALUE(MID(SUBSTITUTE(TRIM(E142),",","."),FIND(":",SUBSTITUTE(TRIM(E142),",","."))+1,99),"."),_xlfn.NUMBERVALUE(SUBSTITUTE(TRIM(E142),",","."),".")),0)))</f>
        <v/>
      </c>
    </row>
    <row r="143" customFormat="false" ht="15" hidden="false" customHeight="false" outlineLevel="0" collapsed="false">
      <c r="A143" s="5"/>
      <c r="B143" s="5"/>
      <c r="C143" s="5"/>
      <c r="D143" s="5"/>
      <c r="E143" s="13"/>
      <c r="F143" s="4" t="str">
        <f aca="false">IF(OR(G143="",H143="",N(G143)=0,N(H143)&lt;=0),"",ROUNDDOWN(1000*(G143/H143)^3,0))</f>
        <v/>
      </c>
      <c r="G143" s="11" t="str">
        <f aca="false">IF(D143="","",SUMIFS('Базовые времена'!$D$2:$D$71,'Базовые времена'!$A$2:$A$71,B143,'Базовые времена'!$B$2:$B$71,C143,'Базовые времена'!$C$2:$C$71,D143))</f>
        <v/>
      </c>
      <c r="H143" s="11" t="str">
        <f aca="false">IF(E143="","",IF(ISNUMBER(E143),IF(E143&lt;1,E143*86400,E143),IFERROR(IF(ISNUMBER(FIND(":",SUBSTITUTE(TRIM(E143),",","."))),VALUE(LEFT(SUBSTITUTE(TRIM(E143),",","."),FIND(":",SUBSTITUTE(TRIM(E143),",","."))-1))*60+_xlfn.NUMBERVALUE(MID(SUBSTITUTE(TRIM(E143),",","."),FIND(":",SUBSTITUTE(TRIM(E143),",","."))+1,99),"."),_xlfn.NUMBERVALUE(SUBSTITUTE(TRIM(E143),",","."),".")),0)))</f>
        <v/>
      </c>
    </row>
    <row r="144" customFormat="false" ht="15" hidden="false" customHeight="false" outlineLevel="0" collapsed="false">
      <c r="A144" s="5"/>
      <c r="B144" s="5"/>
      <c r="C144" s="5"/>
      <c r="D144" s="5"/>
      <c r="E144" s="13"/>
      <c r="F144" s="4" t="str">
        <f aca="false">IF(OR(G144="",H144="",N(G144)=0,N(H144)&lt;=0),"",ROUNDDOWN(1000*(G144/H144)^3,0))</f>
        <v/>
      </c>
      <c r="G144" s="11" t="str">
        <f aca="false">IF(D144="","",SUMIFS('Базовые времена'!$D$2:$D$71,'Базовые времена'!$A$2:$A$71,B144,'Базовые времена'!$B$2:$B$71,C144,'Базовые времена'!$C$2:$C$71,D144))</f>
        <v/>
      </c>
      <c r="H144" s="11" t="str">
        <f aca="false">IF(E144="","",IF(ISNUMBER(E144),IF(E144&lt;1,E144*86400,E144),IFERROR(IF(ISNUMBER(FIND(":",SUBSTITUTE(TRIM(E144),",","."))),VALUE(LEFT(SUBSTITUTE(TRIM(E144),",","."),FIND(":",SUBSTITUTE(TRIM(E144),",","."))-1))*60+_xlfn.NUMBERVALUE(MID(SUBSTITUTE(TRIM(E144),",","."),FIND(":",SUBSTITUTE(TRIM(E144),",","."))+1,99),"."),_xlfn.NUMBERVALUE(SUBSTITUTE(TRIM(E144),",","."),".")),0)))</f>
        <v/>
      </c>
    </row>
    <row r="145" customFormat="false" ht="15" hidden="false" customHeight="false" outlineLevel="0" collapsed="false">
      <c r="A145" s="5"/>
      <c r="B145" s="5"/>
      <c r="C145" s="5"/>
      <c r="D145" s="5"/>
      <c r="E145" s="13"/>
      <c r="F145" s="4" t="str">
        <f aca="false">IF(OR(G145="",H145="",N(G145)=0,N(H145)&lt;=0),"",ROUNDDOWN(1000*(G145/H145)^3,0))</f>
        <v/>
      </c>
      <c r="G145" s="11" t="str">
        <f aca="false">IF(D145="","",SUMIFS('Базовые времена'!$D$2:$D$71,'Базовые времена'!$A$2:$A$71,B145,'Базовые времена'!$B$2:$B$71,C145,'Базовые времена'!$C$2:$C$71,D145))</f>
        <v/>
      </c>
      <c r="H145" s="11" t="str">
        <f aca="false">IF(E145="","",IF(ISNUMBER(E145),IF(E145&lt;1,E145*86400,E145),IFERROR(IF(ISNUMBER(FIND(":",SUBSTITUTE(TRIM(E145),",","."))),VALUE(LEFT(SUBSTITUTE(TRIM(E145),",","."),FIND(":",SUBSTITUTE(TRIM(E145),",","."))-1))*60+_xlfn.NUMBERVALUE(MID(SUBSTITUTE(TRIM(E145),",","."),FIND(":",SUBSTITUTE(TRIM(E145),",","."))+1,99),"."),_xlfn.NUMBERVALUE(SUBSTITUTE(TRIM(E145),",","."),".")),0)))</f>
        <v/>
      </c>
    </row>
    <row r="146" customFormat="false" ht="15" hidden="false" customHeight="false" outlineLevel="0" collapsed="false">
      <c r="A146" s="5"/>
      <c r="B146" s="5"/>
      <c r="C146" s="5"/>
      <c r="D146" s="5"/>
      <c r="E146" s="13"/>
      <c r="F146" s="4" t="str">
        <f aca="false">IF(OR(G146="",H146="",N(G146)=0,N(H146)&lt;=0),"",ROUNDDOWN(1000*(G146/H146)^3,0))</f>
        <v/>
      </c>
      <c r="G146" s="11" t="str">
        <f aca="false">IF(D146="","",SUMIFS('Базовые времена'!$D$2:$D$71,'Базовые времена'!$A$2:$A$71,B146,'Базовые времена'!$B$2:$B$71,C146,'Базовые времена'!$C$2:$C$71,D146))</f>
        <v/>
      </c>
      <c r="H146" s="11" t="str">
        <f aca="false">IF(E146="","",IF(ISNUMBER(E146),IF(E146&lt;1,E146*86400,E146),IFERROR(IF(ISNUMBER(FIND(":",SUBSTITUTE(TRIM(E146),",","."))),VALUE(LEFT(SUBSTITUTE(TRIM(E146),",","."),FIND(":",SUBSTITUTE(TRIM(E146),",","."))-1))*60+_xlfn.NUMBERVALUE(MID(SUBSTITUTE(TRIM(E146),",","."),FIND(":",SUBSTITUTE(TRIM(E146),",","."))+1,99),"."),_xlfn.NUMBERVALUE(SUBSTITUTE(TRIM(E146),",","."),".")),0)))</f>
        <v/>
      </c>
    </row>
    <row r="147" customFormat="false" ht="15" hidden="false" customHeight="false" outlineLevel="0" collapsed="false">
      <c r="A147" s="5"/>
      <c r="B147" s="5"/>
      <c r="C147" s="5"/>
      <c r="D147" s="5"/>
      <c r="E147" s="13"/>
      <c r="F147" s="4" t="str">
        <f aca="false">IF(OR(G147="",H147="",N(G147)=0,N(H147)&lt;=0),"",ROUNDDOWN(1000*(G147/H147)^3,0))</f>
        <v/>
      </c>
      <c r="G147" s="11" t="str">
        <f aca="false">IF(D147="","",SUMIFS('Базовые времена'!$D$2:$D$71,'Базовые времена'!$A$2:$A$71,B147,'Базовые времена'!$B$2:$B$71,C147,'Базовые времена'!$C$2:$C$71,D147))</f>
        <v/>
      </c>
      <c r="H147" s="11" t="str">
        <f aca="false">IF(E147="","",IF(ISNUMBER(E147),IF(E147&lt;1,E147*86400,E147),IFERROR(IF(ISNUMBER(FIND(":",SUBSTITUTE(TRIM(E147),",","."))),VALUE(LEFT(SUBSTITUTE(TRIM(E147),",","."),FIND(":",SUBSTITUTE(TRIM(E147),",","."))-1))*60+_xlfn.NUMBERVALUE(MID(SUBSTITUTE(TRIM(E147),",","."),FIND(":",SUBSTITUTE(TRIM(E147),",","."))+1,99),"."),_xlfn.NUMBERVALUE(SUBSTITUTE(TRIM(E147),",","."),".")),0)))</f>
        <v/>
      </c>
    </row>
    <row r="148" customFormat="false" ht="15" hidden="false" customHeight="false" outlineLevel="0" collapsed="false">
      <c r="A148" s="5"/>
      <c r="B148" s="5"/>
      <c r="C148" s="5"/>
      <c r="D148" s="5"/>
      <c r="E148" s="13"/>
      <c r="F148" s="4" t="str">
        <f aca="false">IF(OR(G148="",H148="",N(G148)=0,N(H148)&lt;=0),"",ROUNDDOWN(1000*(G148/H148)^3,0))</f>
        <v/>
      </c>
      <c r="G148" s="11" t="str">
        <f aca="false">IF(D148="","",SUMIFS('Базовые времена'!$D$2:$D$71,'Базовые времена'!$A$2:$A$71,B148,'Базовые времена'!$B$2:$B$71,C148,'Базовые времена'!$C$2:$C$71,D148))</f>
        <v/>
      </c>
      <c r="H148" s="11" t="str">
        <f aca="false">IF(E148="","",IF(ISNUMBER(E148),IF(E148&lt;1,E148*86400,E148),IFERROR(IF(ISNUMBER(FIND(":",SUBSTITUTE(TRIM(E148),",","."))),VALUE(LEFT(SUBSTITUTE(TRIM(E148),",","."),FIND(":",SUBSTITUTE(TRIM(E148),",","."))-1))*60+_xlfn.NUMBERVALUE(MID(SUBSTITUTE(TRIM(E148),",","."),FIND(":",SUBSTITUTE(TRIM(E148),",","."))+1,99),"."),_xlfn.NUMBERVALUE(SUBSTITUTE(TRIM(E148),",","."),".")),0)))</f>
        <v/>
      </c>
    </row>
    <row r="149" customFormat="false" ht="15" hidden="false" customHeight="false" outlineLevel="0" collapsed="false">
      <c r="A149" s="5"/>
      <c r="B149" s="5"/>
      <c r="C149" s="5"/>
      <c r="D149" s="5"/>
      <c r="E149" s="13"/>
      <c r="F149" s="4" t="str">
        <f aca="false">IF(OR(G149="",H149="",N(G149)=0,N(H149)&lt;=0),"",ROUNDDOWN(1000*(G149/H149)^3,0))</f>
        <v/>
      </c>
      <c r="G149" s="11" t="str">
        <f aca="false">IF(D149="","",SUMIFS('Базовые времена'!$D$2:$D$71,'Базовые времена'!$A$2:$A$71,B149,'Базовые времена'!$B$2:$B$71,C149,'Базовые времена'!$C$2:$C$71,D149))</f>
        <v/>
      </c>
      <c r="H149" s="11" t="str">
        <f aca="false">IF(E149="","",IF(ISNUMBER(E149),IF(E149&lt;1,E149*86400,E149),IFERROR(IF(ISNUMBER(FIND(":",SUBSTITUTE(TRIM(E149),",","."))),VALUE(LEFT(SUBSTITUTE(TRIM(E149),",","."),FIND(":",SUBSTITUTE(TRIM(E149),",","."))-1))*60+_xlfn.NUMBERVALUE(MID(SUBSTITUTE(TRIM(E149),",","."),FIND(":",SUBSTITUTE(TRIM(E149),",","."))+1,99),"."),_xlfn.NUMBERVALUE(SUBSTITUTE(TRIM(E149),",","."),".")),0)))</f>
        <v/>
      </c>
    </row>
    <row r="150" customFormat="false" ht="15" hidden="false" customHeight="false" outlineLevel="0" collapsed="false">
      <c r="A150" s="5"/>
      <c r="B150" s="5"/>
      <c r="C150" s="5"/>
      <c r="D150" s="5"/>
      <c r="E150" s="13"/>
      <c r="F150" s="4" t="str">
        <f aca="false">IF(OR(G150="",H150="",N(G150)=0,N(H150)&lt;=0),"",ROUNDDOWN(1000*(G150/H150)^3,0))</f>
        <v/>
      </c>
      <c r="G150" s="11" t="str">
        <f aca="false">IF(D150="","",SUMIFS('Базовые времена'!$D$2:$D$71,'Базовые времена'!$A$2:$A$71,B150,'Базовые времена'!$B$2:$B$71,C150,'Базовые времена'!$C$2:$C$71,D150))</f>
        <v/>
      </c>
      <c r="H150" s="11" t="str">
        <f aca="false">IF(E150="","",IF(ISNUMBER(E150),IF(E150&lt;1,E150*86400,E150),IFERROR(IF(ISNUMBER(FIND(":",SUBSTITUTE(TRIM(E150),",","."))),VALUE(LEFT(SUBSTITUTE(TRIM(E150),",","."),FIND(":",SUBSTITUTE(TRIM(E150),",","."))-1))*60+_xlfn.NUMBERVALUE(MID(SUBSTITUTE(TRIM(E150),",","."),FIND(":",SUBSTITUTE(TRIM(E150),",","."))+1,99),"."),_xlfn.NUMBERVALUE(SUBSTITUTE(TRIM(E150),",","."),".")),0)))</f>
        <v/>
      </c>
    </row>
    <row r="151" customFormat="false" ht="15" hidden="false" customHeight="false" outlineLevel="0" collapsed="false">
      <c r="A151" s="5"/>
      <c r="B151" s="5"/>
      <c r="C151" s="5"/>
      <c r="D151" s="5"/>
      <c r="E151" s="13"/>
      <c r="F151" s="4" t="str">
        <f aca="false">IF(OR(G151="",H151="",N(G151)=0,N(H151)&lt;=0),"",ROUNDDOWN(1000*(G151/H151)^3,0))</f>
        <v/>
      </c>
      <c r="G151" s="11" t="str">
        <f aca="false">IF(D151="","",SUMIFS('Базовые времена'!$D$2:$D$71,'Базовые времена'!$A$2:$A$71,B151,'Базовые времена'!$B$2:$B$71,C151,'Базовые времена'!$C$2:$C$71,D151))</f>
        <v/>
      </c>
      <c r="H151" s="11" t="str">
        <f aca="false">IF(E151="","",IF(ISNUMBER(E151),IF(E151&lt;1,E151*86400,E151),IFERROR(IF(ISNUMBER(FIND(":",SUBSTITUTE(TRIM(E151),",","."))),VALUE(LEFT(SUBSTITUTE(TRIM(E151),",","."),FIND(":",SUBSTITUTE(TRIM(E151),",","."))-1))*60+_xlfn.NUMBERVALUE(MID(SUBSTITUTE(TRIM(E151),",","."),FIND(":",SUBSTITUTE(TRIM(E151),",","."))+1,99),"."),_xlfn.NUMBERVALUE(SUBSTITUTE(TRIM(E151),",","."),".")),0)))</f>
        <v/>
      </c>
    </row>
    <row r="152" customFormat="false" ht="15" hidden="false" customHeight="false" outlineLevel="0" collapsed="false">
      <c r="A152" s="5"/>
      <c r="B152" s="5"/>
      <c r="C152" s="5"/>
      <c r="D152" s="5"/>
      <c r="E152" s="13"/>
      <c r="F152" s="4" t="str">
        <f aca="false">IF(OR(G152="",H152="",N(G152)=0,N(H152)&lt;=0),"",ROUNDDOWN(1000*(G152/H152)^3,0))</f>
        <v/>
      </c>
      <c r="G152" s="11" t="str">
        <f aca="false">IF(D152="","",SUMIFS('Базовые времена'!$D$2:$D$71,'Базовые времена'!$A$2:$A$71,B152,'Базовые времена'!$B$2:$B$71,C152,'Базовые времена'!$C$2:$C$71,D152))</f>
        <v/>
      </c>
      <c r="H152" s="11" t="str">
        <f aca="false">IF(E152="","",IF(ISNUMBER(E152),IF(E152&lt;1,E152*86400,E152),IFERROR(IF(ISNUMBER(FIND(":",SUBSTITUTE(TRIM(E152),",","."))),VALUE(LEFT(SUBSTITUTE(TRIM(E152),",","."),FIND(":",SUBSTITUTE(TRIM(E152),",","."))-1))*60+_xlfn.NUMBERVALUE(MID(SUBSTITUTE(TRIM(E152),",","."),FIND(":",SUBSTITUTE(TRIM(E152),",","."))+1,99),"."),_xlfn.NUMBERVALUE(SUBSTITUTE(TRIM(E152),",","."),".")),0)))</f>
        <v/>
      </c>
    </row>
    <row r="153" customFormat="false" ht="15" hidden="false" customHeight="false" outlineLevel="0" collapsed="false">
      <c r="A153" s="5"/>
      <c r="B153" s="5"/>
      <c r="C153" s="5"/>
      <c r="D153" s="5"/>
      <c r="E153" s="13"/>
      <c r="F153" s="4" t="str">
        <f aca="false">IF(OR(G153="",H153="",N(G153)=0,N(H153)&lt;=0),"",ROUNDDOWN(1000*(G153/H153)^3,0))</f>
        <v/>
      </c>
      <c r="G153" s="11" t="str">
        <f aca="false">IF(D153="","",SUMIFS('Базовые времена'!$D$2:$D$71,'Базовые времена'!$A$2:$A$71,B153,'Базовые времена'!$B$2:$B$71,C153,'Базовые времена'!$C$2:$C$71,D153))</f>
        <v/>
      </c>
      <c r="H153" s="11" t="str">
        <f aca="false">IF(E153="","",IF(ISNUMBER(E153),IF(E153&lt;1,E153*86400,E153),IFERROR(IF(ISNUMBER(FIND(":",SUBSTITUTE(TRIM(E153),",","."))),VALUE(LEFT(SUBSTITUTE(TRIM(E153),",","."),FIND(":",SUBSTITUTE(TRIM(E153),",","."))-1))*60+_xlfn.NUMBERVALUE(MID(SUBSTITUTE(TRIM(E153),",","."),FIND(":",SUBSTITUTE(TRIM(E153),",","."))+1,99),"."),_xlfn.NUMBERVALUE(SUBSTITUTE(TRIM(E153),",","."),".")),0)))</f>
        <v/>
      </c>
    </row>
    <row r="154" customFormat="false" ht="15" hidden="false" customHeight="false" outlineLevel="0" collapsed="false">
      <c r="A154" s="5"/>
      <c r="B154" s="5"/>
      <c r="C154" s="5"/>
      <c r="D154" s="5"/>
      <c r="E154" s="13"/>
      <c r="F154" s="4" t="str">
        <f aca="false">IF(OR(G154="",H154="",N(G154)=0,N(H154)&lt;=0),"",ROUNDDOWN(1000*(G154/H154)^3,0))</f>
        <v/>
      </c>
      <c r="G154" s="11" t="str">
        <f aca="false">IF(D154="","",SUMIFS('Базовые времена'!$D$2:$D$71,'Базовые времена'!$A$2:$A$71,B154,'Базовые времена'!$B$2:$B$71,C154,'Базовые времена'!$C$2:$C$71,D154))</f>
        <v/>
      </c>
      <c r="H154" s="11" t="str">
        <f aca="false">IF(E154="","",IF(ISNUMBER(E154),IF(E154&lt;1,E154*86400,E154),IFERROR(IF(ISNUMBER(FIND(":",SUBSTITUTE(TRIM(E154),",","."))),VALUE(LEFT(SUBSTITUTE(TRIM(E154),",","."),FIND(":",SUBSTITUTE(TRIM(E154),",","."))-1))*60+_xlfn.NUMBERVALUE(MID(SUBSTITUTE(TRIM(E154),",","."),FIND(":",SUBSTITUTE(TRIM(E154),",","."))+1,99),"."),_xlfn.NUMBERVALUE(SUBSTITUTE(TRIM(E154),",","."),".")),0)))</f>
        <v/>
      </c>
    </row>
    <row r="155" customFormat="false" ht="15" hidden="false" customHeight="false" outlineLevel="0" collapsed="false">
      <c r="A155" s="5"/>
      <c r="B155" s="5"/>
      <c r="C155" s="5"/>
      <c r="D155" s="5"/>
      <c r="E155" s="13"/>
      <c r="F155" s="4" t="str">
        <f aca="false">IF(OR(G155="",H155="",N(G155)=0,N(H155)&lt;=0),"",ROUNDDOWN(1000*(G155/H155)^3,0))</f>
        <v/>
      </c>
      <c r="G155" s="11" t="str">
        <f aca="false">IF(D155="","",SUMIFS('Базовые времена'!$D$2:$D$71,'Базовые времена'!$A$2:$A$71,B155,'Базовые времена'!$B$2:$B$71,C155,'Базовые времена'!$C$2:$C$71,D155))</f>
        <v/>
      </c>
      <c r="H155" s="11" t="str">
        <f aca="false">IF(E155="","",IF(ISNUMBER(E155),IF(E155&lt;1,E155*86400,E155),IFERROR(IF(ISNUMBER(FIND(":",SUBSTITUTE(TRIM(E155),",","."))),VALUE(LEFT(SUBSTITUTE(TRIM(E155),",","."),FIND(":",SUBSTITUTE(TRIM(E155),",","."))-1))*60+_xlfn.NUMBERVALUE(MID(SUBSTITUTE(TRIM(E155),",","."),FIND(":",SUBSTITUTE(TRIM(E155),",","."))+1,99),"."),_xlfn.NUMBERVALUE(SUBSTITUTE(TRIM(E155),",","."),".")),0)))</f>
        <v/>
      </c>
    </row>
    <row r="156" customFormat="false" ht="15" hidden="false" customHeight="false" outlineLevel="0" collapsed="false">
      <c r="A156" s="5"/>
      <c r="B156" s="5"/>
      <c r="C156" s="5"/>
      <c r="D156" s="5"/>
      <c r="E156" s="13"/>
      <c r="F156" s="4" t="str">
        <f aca="false">IF(OR(G156="",H156="",N(G156)=0,N(H156)&lt;=0),"",ROUNDDOWN(1000*(G156/H156)^3,0))</f>
        <v/>
      </c>
      <c r="G156" s="11" t="str">
        <f aca="false">IF(D156="","",SUMIFS('Базовые времена'!$D$2:$D$71,'Базовые времена'!$A$2:$A$71,B156,'Базовые времена'!$B$2:$B$71,C156,'Базовые времена'!$C$2:$C$71,D156))</f>
        <v/>
      </c>
      <c r="H156" s="11" t="str">
        <f aca="false">IF(E156="","",IF(ISNUMBER(E156),IF(E156&lt;1,E156*86400,E156),IFERROR(IF(ISNUMBER(FIND(":",SUBSTITUTE(TRIM(E156),",","."))),VALUE(LEFT(SUBSTITUTE(TRIM(E156),",","."),FIND(":",SUBSTITUTE(TRIM(E156),",","."))-1))*60+_xlfn.NUMBERVALUE(MID(SUBSTITUTE(TRIM(E156),",","."),FIND(":",SUBSTITUTE(TRIM(E156),",","."))+1,99),"."),_xlfn.NUMBERVALUE(SUBSTITUTE(TRIM(E156),",","."),".")),0)))</f>
        <v/>
      </c>
    </row>
    <row r="157" customFormat="false" ht="15" hidden="false" customHeight="false" outlineLevel="0" collapsed="false">
      <c r="A157" s="5"/>
      <c r="B157" s="5"/>
      <c r="C157" s="5"/>
      <c r="D157" s="5"/>
      <c r="E157" s="13"/>
      <c r="F157" s="4" t="str">
        <f aca="false">IF(OR(G157="",H157="",N(G157)=0,N(H157)&lt;=0),"",ROUNDDOWN(1000*(G157/H157)^3,0))</f>
        <v/>
      </c>
      <c r="G157" s="11" t="str">
        <f aca="false">IF(D157="","",SUMIFS('Базовые времена'!$D$2:$D$71,'Базовые времена'!$A$2:$A$71,B157,'Базовые времена'!$B$2:$B$71,C157,'Базовые времена'!$C$2:$C$71,D157))</f>
        <v/>
      </c>
      <c r="H157" s="11" t="str">
        <f aca="false">IF(E157="","",IF(ISNUMBER(E157),IF(E157&lt;1,E157*86400,E157),IFERROR(IF(ISNUMBER(FIND(":",SUBSTITUTE(TRIM(E157),",","."))),VALUE(LEFT(SUBSTITUTE(TRIM(E157),",","."),FIND(":",SUBSTITUTE(TRIM(E157),",","."))-1))*60+_xlfn.NUMBERVALUE(MID(SUBSTITUTE(TRIM(E157),",","."),FIND(":",SUBSTITUTE(TRIM(E157),",","."))+1,99),"."),_xlfn.NUMBERVALUE(SUBSTITUTE(TRIM(E157),",","."),".")),0)))</f>
        <v/>
      </c>
    </row>
    <row r="158" customFormat="false" ht="15" hidden="false" customHeight="false" outlineLevel="0" collapsed="false">
      <c r="A158" s="5"/>
      <c r="B158" s="5"/>
      <c r="C158" s="5"/>
      <c r="D158" s="5"/>
      <c r="E158" s="13"/>
      <c r="F158" s="4" t="str">
        <f aca="false">IF(OR(G158="",H158="",N(G158)=0,N(H158)&lt;=0),"",ROUNDDOWN(1000*(G158/H158)^3,0))</f>
        <v/>
      </c>
      <c r="G158" s="11" t="str">
        <f aca="false">IF(D158="","",SUMIFS('Базовые времена'!$D$2:$D$71,'Базовые времена'!$A$2:$A$71,B158,'Базовые времена'!$B$2:$B$71,C158,'Базовые времена'!$C$2:$C$71,D158))</f>
        <v/>
      </c>
      <c r="H158" s="11" t="str">
        <f aca="false">IF(E158="","",IF(ISNUMBER(E158),IF(E158&lt;1,E158*86400,E158),IFERROR(IF(ISNUMBER(FIND(":",SUBSTITUTE(TRIM(E158),",","."))),VALUE(LEFT(SUBSTITUTE(TRIM(E158),",","."),FIND(":",SUBSTITUTE(TRIM(E158),",","."))-1))*60+_xlfn.NUMBERVALUE(MID(SUBSTITUTE(TRIM(E158),",","."),FIND(":",SUBSTITUTE(TRIM(E158),",","."))+1,99),"."),_xlfn.NUMBERVALUE(SUBSTITUTE(TRIM(E158),",","."),".")),0)))</f>
        <v/>
      </c>
    </row>
    <row r="159" customFormat="false" ht="15" hidden="false" customHeight="false" outlineLevel="0" collapsed="false">
      <c r="A159" s="5"/>
      <c r="B159" s="5"/>
      <c r="C159" s="5"/>
      <c r="D159" s="5"/>
      <c r="E159" s="13"/>
      <c r="F159" s="4" t="str">
        <f aca="false">IF(OR(G159="",H159="",N(G159)=0,N(H159)&lt;=0),"",ROUNDDOWN(1000*(G159/H159)^3,0))</f>
        <v/>
      </c>
      <c r="G159" s="11" t="str">
        <f aca="false">IF(D159="","",SUMIFS('Базовые времена'!$D$2:$D$71,'Базовые времена'!$A$2:$A$71,B159,'Базовые времена'!$B$2:$B$71,C159,'Базовые времена'!$C$2:$C$71,D159))</f>
        <v/>
      </c>
      <c r="H159" s="11" t="str">
        <f aca="false">IF(E159="","",IF(ISNUMBER(E159),IF(E159&lt;1,E159*86400,E159),IFERROR(IF(ISNUMBER(FIND(":",SUBSTITUTE(TRIM(E159),",","."))),VALUE(LEFT(SUBSTITUTE(TRIM(E159),",","."),FIND(":",SUBSTITUTE(TRIM(E159),",","."))-1))*60+_xlfn.NUMBERVALUE(MID(SUBSTITUTE(TRIM(E159),",","."),FIND(":",SUBSTITUTE(TRIM(E159),",","."))+1,99),"."),_xlfn.NUMBERVALUE(SUBSTITUTE(TRIM(E159),",","."),".")),0)))</f>
        <v/>
      </c>
    </row>
    <row r="160" customFormat="false" ht="15" hidden="false" customHeight="false" outlineLevel="0" collapsed="false">
      <c r="A160" s="5"/>
      <c r="B160" s="5"/>
      <c r="C160" s="5"/>
      <c r="D160" s="5"/>
      <c r="E160" s="13"/>
      <c r="F160" s="4" t="str">
        <f aca="false">IF(OR(G160="",H160="",N(G160)=0,N(H160)&lt;=0),"",ROUNDDOWN(1000*(G160/H160)^3,0))</f>
        <v/>
      </c>
      <c r="G160" s="11" t="str">
        <f aca="false">IF(D160="","",SUMIFS('Базовые времена'!$D$2:$D$71,'Базовые времена'!$A$2:$A$71,B160,'Базовые времена'!$B$2:$B$71,C160,'Базовые времена'!$C$2:$C$71,D160))</f>
        <v/>
      </c>
      <c r="H160" s="11" t="str">
        <f aca="false">IF(E160="","",IF(ISNUMBER(E160),IF(E160&lt;1,E160*86400,E160),IFERROR(IF(ISNUMBER(FIND(":",SUBSTITUTE(TRIM(E160),",","."))),VALUE(LEFT(SUBSTITUTE(TRIM(E160),",","."),FIND(":",SUBSTITUTE(TRIM(E160),",","."))-1))*60+_xlfn.NUMBERVALUE(MID(SUBSTITUTE(TRIM(E160),",","."),FIND(":",SUBSTITUTE(TRIM(E160),",","."))+1,99),"."),_xlfn.NUMBERVALUE(SUBSTITUTE(TRIM(E160),",","."),".")),0)))</f>
        <v/>
      </c>
    </row>
    <row r="161" customFormat="false" ht="15" hidden="false" customHeight="false" outlineLevel="0" collapsed="false">
      <c r="A161" s="5"/>
      <c r="B161" s="5"/>
      <c r="C161" s="5"/>
      <c r="D161" s="5"/>
      <c r="E161" s="13"/>
      <c r="F161" s="4" t="str">
        <f aca="false">IF(OR(G161="",H161="",N(G161)=0,N(H161)&lt;=0),"",ROUNDDOWN(1000*(G161/H161)^3,0))</f>
        <v/>
      </c>
      <c r="G161" s="11" t="str">
        <f aca="false">IF(D161="","",SUMIFS('Базовые времена'!$D$2:$D$71,'Базовые времена'!$A$2:$A$71,B161,'Базовые времена'!$B$2:$B$71,C161,'Базовые времена'!$C$2:$C$71,D161))</f>
        <v/>
      </c>
      <c r="H161" s="11" t="str">
        <f aca="false">IF(E161="","",IF(ISNUMBER(E161),IF(E161&lt;1,E161*86400,E161),IFERROR(IF(ISNUMBER(FIND(":",SUBSTITUTE(TRIM(E161),",","."))),VALUE(LEFT(SUBSTITUTE(TRIM(E161),",","."),FIND(":",SUBSTITUTE(TRIM(E161),",","."))-1))*60+_xlfn.NUMBERVALUE(MID(SUBSTITUTE(TRIM(E161),",","."),FIND(":",SUBSTITUTE(TRIM(E161),",","."))+1,99),"."),_xlfn.NUMBERVALUE(SUBSTITUTE(TRIM(E161),",","."),".")),0)))</f>
        <v/>
      </c>
    </row>
    <row r="162" customFormat="false" ht="15" hidden="false" customHeight="false" outlineLevel="0" collapsed="false">
      <c r="A162" s="5"/>
      <c r="B162" s="5"/>
      <c r="C162" s="5"/>
      <c r="D162" s="5"/>
      <c r="E162" s="13"/>
      <c r="F162" s="4" t="str">
        <f aca="false">IF(OR(G162="",H162="",N(G162)=0,N(H162)&lt;=0),"",ROUNDDOWN(1000*(G162/H162)^3,0))</f>
        <v/>
      </c>
      <c r="G162" s="11" t="str">
        <f aca="false">IF(D162="","",SUMIFS('Базовые времена'!$D$2:$D$71,'Базовые времена'!$A$2:$A$71,B162,'Базовые времена'!$B$2:$B$71,C162,'Базовые времена'!$C$2:$C$71,D162))</f>
        <v/>
      </c>
      <c r="H162" s="11" t="str">
        <f aca="false">IF(E162="","",IF(ISNUMBER(E162),IF(E162&lt;1,E162*86400,E162),IFERROR(IF(ISNUMBER(FIND(":",SUBSTITUTE(TRIM(E162),",","."))),VALUE(LEFT(SUBSTITUTE(TRIM(E162),",","."),FIND(":",SUBSTITUTE(TRIM(E162),",","."))-1))*60+_xlfn.NUMBERVALUE(MID(SUBSTITUTE(TRIM(E162),",","."),FIND(":",SUBSTITUTE(TRIM(E162),",","."))+1,99),"."),_xlfn.NUMBERVALUE(SUBSTITUTE(TRIM(E162),",","."),".")),0)))</f>
        <v/>
      </c>
    </row>
    <row r="163" customFormat="false" ht="15" hidden="false" customHeight="false" outlineLevel="0" collapsed="false">
      <c r="A163" s="5"/>
      <c r="B163" s="5"/>
      <c r="C163" s="5"/>
      <c r="D163" s="5"/>
      <c r="E163" s="13"/>
      <c r="F163" s="4" t="str">
        <f aca="false">IF(OR(G163="",H163="",N(G163)=0,N(H163)&lt;=0),"",ROUNDDOWN(1000*(G163/H163)^3,0))</f>
        <v/>
      </c>
      <c r="G163" s="11" t="str">
        <f aca="false">IF(D163="","",SUMIFS('Базовые времена'!$D$2:$D$71,'Базовые времена'!$A$2:$A$71,B163,'Базовые времена'!$B$2:$B$71,C163,'Базовые времена'!$C$2:$C$71,D163))</f>
        <v/>
      </c>
      <c r="H163" s="11" t="str">
        <f aca="false">IF(E163="","",IF(ISNUMBER(E163),IF(E163&lt;1,E163*86400,E163),IFERROR(IF(ISNUMBER(FIND(":",SUBSTITUTE(TRIM(E163),",","."))),VALUE(LEFT(SUBSTITUTE(TRIM(E163),",","."),FIND(":",SUBSTITUTE(TRIM(E163),",","."))-1))*60+_xlfn.NUMBERVALUE(MID(SUBSTITUTE(TRIM(E163),",","."),FIND(":",SUBSTITUTE(TRIM(E163),",","."))+1,99),"."),_xlfn.NUMBERVALUE(SUBSTITUTE(TRIM(E163),",","."),".")),0)))</f>
        <v/>
      </c>
    </row>
    <row r="164" customFormat="false" ht="15" hidden="false" customHeight="false" outlineLevel="0" collapsed="false">
      <c r="A164" s="5"/>
      <c r="B164" s="5"/>
      <c r="C164" s="5"/>
      <c r="D164" s="5"/>
      <c r="E164" s="13"/>
      <c r="F164" s="4" t="str">
        <f aca="false">IF(OR(G164="",H164="",N(G164)=0,N(H164)&lt;=0),"",ROUNDDOWN(1000*(G164/H164)^3,0))</f>
        <v/>
      </c>
      <c r="G164" s="11" t="str">
        <f aca="false">IF(D164="","",SUMIFS('Базовые времена'!$D$2:$D$71,'Базовые времена'!$A$2:$A$71,B164,'Базовые времена'!$B$2:$B$71,C164,'Базовые времена'!$C$2:$C$71,D164))</f>
        <v/>
      </c>
      <c r="H164" s="11" t="str">
        <f aca="false">IF(E164="","",IF(ISNUMBER(E164),IF(E164&lt;1,E164*86400,E164),IFERROR(IF(ISNUMBER(FIND(":",SUBSTITUTE(TRIM(E164),",","."))),VALUE(LEFT(SUBSTITUTE(TRIM(E164),",","."),FIND(":",SUBSTITUTE(TRIM(E164),",","."))-1))*60+_xlfn.NUMBERVALUE(MID(SUBSTITUTE(TRIM(E164),",","."),FIND(":",SUBSTITUTE(TRIM(E164),",","."))+1,99),"."),_xlfn.NUMBERVALUE(SUBSTITUTE(TRIM(E164),",","."),".")),0)))</f>
        <v/>
      </c>
    </row>
    <row r="165" customFormat="false" ht="15" hidden="false" customHeight="false" outlineLevel="0" collapsed="false">
      <c r="A165" s="5"/>
      <c r="B165" s="5"/>
      <c r="C165" s="5"/>
      <c r="D165" s="5"/>
      <c r="E165" s="13"/>
      <c r="F165" s="4" t="str">
        <f aca="false">IF(OR(G165="",H165="",N(G165)=0,N(H165)&lt;=0),"",ROUNDDOWN(1000*(G165/H165)^3,0))</f>
        <v/>
      </c>
      <c r="G165" s="11" t="str">
        <f aca="false">IF(D165="","",SUMIFS('Базовые времена'!$D$2:$D$71,'Базовые времена'!$A$2:$A$71,B165,'Базовые времена'!$B$2:$B$71,C165,'Базовые времена'!$C$2:$C$71,D165))</f>
        <v/>
      </c>
      <c r="H165" s="11" t="str">
        <f aca="false">IF(E165="","",IF(ISNUMBER(E165),IF(E165&lt;1,E165*86400,E165),IFERROR(IF(ISNUMBER(FIND(":",SUBSTITUTE(TRIM(E165),",","."))),VALUE(LEFT(SUBSTITUTE(TRIM(E165),",","."),FIND(":",SUBSTITUTE(TRIM(E165),",","."))-1))*60+_xlfn.NUMBERVALUE(MID(SUBSTITUTE(TRIM(E165),",","."),FIND(":",SUBSTITUTE(TRIM(E165),",","."))+1,99),"."),_xlfn.NUMBERVALUE(SUBSTITUTE(TRIM(E165),",","."),".")),0)))</f>
        <v/>
      </c>
    </row>
    <row r="166" customFormat="false" ht="15" hidden="false" customHeight="false" outlineLevel="0" collapsed="false">
      <c r="A166" s="5"/>
      <c r="B166" s="5"/>
      <c r="C166" s="5"/>
      <c r="D166" s="5"/>
      <c r="E166" s="13"/>
      <c r="F166" s="4" t="str">
        <f aca="false">IF(OR(G166="",H166="",N(G166)=0,N(H166)&lt;=0),"",ROUNDDOWN(1000*(G166/H166)^3,0))</f>
        <v/>
      </c>
      <c r="G166" s="11" t="str">
        <f aca="false">IF(D166="","",SUMIFS('Базовые времена'!$D$2:$D$71,'Базовые времена'!$A$2:$A$71,B166,'Базовые времена'!$B$2:$B$71,C166,'Базовые времена'!$C$2:$C$71,D166))</f>
        <v/>
      </c>
      <c r="H166" s="11" t="str">
        <f aca="false">IF(E166="","",IF(ISNUMBER(E166),IF(E166&lt;1,E166*86400,E166),IFERROR(IF(ISNUMBER(FIND(":",SUBSTITUTE(TRIM(E166),",","."))),VALUE(LEFT(SUBSTITUTE(TRIM(E166),",","."),FIND(":",SUBSTITUTE(TRIM(E166),",","."))-1))*60+_xlfn.NUMBERVALUE(MID(SUBSTITUTE(TRIM(E166),",","."),FIND(":",SUBSTITUTE(TRIM(E166),",","."))+1,99),"."),_xlfn.NUMBERVALUE(SUBSTITUTE(TRIM(E166),",","."),".")),0)))</f>
        <v/>
      </c>
    </row>
    <row r="167" customFormat="false" ht="15" hidden="false" customHeight="false" outlineLevel="0" collapsed="false">
      <c r="A167" s="5"/>
      <c r="B167" s="5"/>
      <c r="C167" s="5"/>
      <c r="D167" s="5"/>
      <c r="E167" s="13"/>
      <c r="F167" s="4" t="str">
        <f aca="false">IF(OR(G167="",H167="",N(G167)=0,N(H167)&lt;=0),"",ROUNDDOWN(1000*(G167/H167)^3,0))</f>
        <v/>
      </c>
      <c r="G167" s="11" t="str">
        <f aca="false">IF(D167="","",SUMIFS('Базовые времена'!$D$2:$D$71,'Базовые времена'!$A$2:$A$71,B167,'Базовые времена'!$B$2:$B$71,C167,'Базовые времена'!$C$2:$C$71,D167))</f>
        <v/>
      </c>
      <c r="H167" s="11" t="str">
        <f aca="false">IF(E167="","",IF(ISNUMBER(E167),IF(E167&lt;1,E167*86400,E167),IFERROR(IF(ISNUMBER(FIND(":",SUBSTITUTE(TRIM(E167),",","."))),VALUE(LEFT(SUBSTITUTE(TRIM(E167),",","."),FIND(":",SUBSTITUTE(TRIM(E167),",","."))-1))*60+_xlfn.NUMBERVALUE(MID(SUBSTITUTE(TRIM(E167),",","."),FIND(":",SUBSTITUTE(TRIM(E167),",","."))+1,99),"."),_xlfn.NUMBERVALUE(SUBSTITUTE(TRIM(E167),",","."),".")),0)))</f>
        <v/>
      </c>
    </row>
    <row r="168" customFormat="false" ht="15" hidden="false" customHeight="false" outlineLevel="0" collapsed="false">
      <c r="A168" s="5"/>
      <c r="B168" s="5"/>
      <c r="C168" s="5"/>
      <c r="D168" s="5"/>
      <c r="E168" s="13"/>
      <c r="F168" s="4" t="str">
        <f aca="false">IF(OR(G168="",H168="",N(G168)=0,N(H168)&lt;=0),"",ROUNDDOWN(1000*(G168/H168)^3,0))</f>
        <v/>
      </c>
      <c r="G168" s="11" t="str">
        <f aca="false">IF(D168="","",SUMIFS('Базовые времена'!$D$2:$D$71,'Базовые времена'!$A$2:$A$71,B168,'Базовые времена'!$B$2:$B$71,C168,'Базовые времена'!$C$2:$C$71,D168))</f>
        <v/>
      </c>
      <c r="H168" s="11" t="str">
        <f aca="false">IF(E168="","",IF(ISNUMBER(E168),IF(E168&lt;1,E168*86400,E168),IFERROR(IF(ISNUMBER(FIND(":",SUBSTITUTE(TRIM(E168),",","."))),VALUE(LEFT(SUBSTITUTE(TRIM(E168),",","."),FIND(":",SUBSTITUTE(TRIM(E168),",","."))-1))*60+_xlfn.NUMBERVALUE(MID(SUBSTITUTE(TRIM(E168),",","."),FIND(":",SUBSTITUTE(TRIM(E168),",","."))+1,99),"."),_xlfn.NUMBERVALUE(SUBSTITUTE(TRIM(E168),",","."),".")),0)))</f>
        <v/>
      </c>
    </row>
    <row r="169" customFormat="false" ht="15" hidden="false" customHeight="false" outlineLevel="0" collapsed="false">
      <c r="A169" s="5"/>
      <c r="B169" s="5"/>
      <c r="C169" s="5"/>
      <c r="D169" s="5"/>
      <c r="E169" s="13"/>
      <c r="F169" s="4" t="str">
        <f aca="false">IF(OR(G169="",H169="",N(G169)=0,N(H169)&lt;=0),"",ROUNDDOWN(1000*(G169/H169)^3,0))</f>
        <v/>
      </c>
      <c r="G169" s="11" t="str">
        <f aca="false">IF(D169="","",SUMIFS('Базовые времена'!$D$2:$D$71,'Базовые времена'!$A$2:$A$71,B169,'Базовые времена'!$B$2:$B$71,C169,'Базовые времена'!$C$2:$C$71,D169))</f>
        <v/>
      </c>
      <c r="H169" s="11" t="str">
        <f aca="false">IF(E169="","",IF(ISNUMBER(E169),IF(E169&lt;1,E169*86400,E169),IFERROR(IF(ISNUMBER(FIND(":",SUBSTITUTE(TRIM(E169),",","."))),VALUE(LEFT(SUBSTITUTE(TRIM(E169),",","."),FIND(":",SUBSTITUTE(TRIM(E169),",","."))-1))*60+_xlfn.NUMBERVALUE(MID(SUBSTITUTE(TRIM(E169),",","."),FIND(":",SUBSTITUTE(TRIM(E169),",","."))+1,99),"."),_xlfn.NUMBERVALUE(SUBSTITUTE(TRIM(E169),",","."),".")),0)))</f>
        <v/>
      </c>
    </row>
    <row r="170" customFormat="false" ht="15" hidden="false" customHeight="false" outlineLevel="0" collapsed="false">
      <c r="A170" s="5"/>
      <c r="B170" s="5"/>
      <c r="C170" s="5"/>
      <c r="D170" s="5"/>
      <c r="E170" s="13"/>
      <c r="F170" s="4" t="str">
        <f aca="false">IF(OR(G170="",H170="",N(G170)=0,N(H170)&lt;=0),"",ROUNDDOWN(1000*(G170/H170)^3,0))</f>
        <v/>
      </c>
      <c r="G170" s="11" t="str">
        <f aca="false">IF(D170="","",SUMIFS('Базовые времена'!$D$2:$D$71,'Базовые времена'!$A$2:$A$71,B170,'Базовые времена'!$B$2:$B$71,C170,'Базовые времена'!$C$2:$C$71,D170))</f>
        <v/>
      </c>
      <c r="H170" s="11" t="str">
        <f aca="false">IF(E170="","",IF(ISNUMBER(E170),IF(E170&lt;1,E170*86400,E170),IFERROR(IF(ISNUMBER(FIND(":",SUBSTITUTE(TRIM(E170),",","."))),VALUE(LEFT(SUBSTITUTE(TRIM(E170),",","."),FIND(":",SUBSTITUTE(TRIM(E170),",","."))-1))*60+_xlfn.NUMBERVALUE(MID(SUBSTITUTE(TRIM(E170),",","."),FIND(":",SUBSTITUTE(TRIM(E170),",","."))+1,99),"."),_xlfn.NUMBERVALUE(SUBSTITUTE(TRIM(E170),",","."),".")),0)))</f>
        <v/>
      </c>
    </row>
    <row r="171" customFormat="false" ht="15" hidden="false" customHeight="false" outlineLevel="0" collapsed="false">
      <c r="A171" s="5"/>
      <c r="B171" s="5"/>
      <c r="C171" s="5"/>
      <c r="D171" s="5"/>
      <c r="E171" s="13"/>
      <c r="F171" s="4" t="str">
        <f aca="false">IF(OR(G171="",H171="",N(G171)=0,N(H171)&lt;=0),"",ROUNDDOWN(1000*(G171/H171)^3,0))</f>
        <v/>
      </c>
      <c r="G171" s="11" t="str">
        <f aca="false">IF(D171="","",SUMIFS('Базовые времена'!$D$2:$D$71,'Базовые времена'!$A$2:$A$71,B171,'Базовые времена'!$B$2:$B$71,C171,'Базовые времена'!$C$2:$C$71,D171))</f>
        <v/>
      </c>
      <c r="H171" s="11" t="str">
        <f aca="false">IF(E171="","",IF(ISNUMBER(E171),IF(E171&lt;1,E171*86400,E171),IFERROR(IF(ISNUMBER(FIND(":",SUBSTITUTE(TRIM(E171),",","."))),VALUE(LEFT(SUBSTITUTE(TRIM(E171),",","."),FIND(":",SUBSTITUTE(TRIM(E171),",","."))-1))*60+_xlfn.NUMBERVALUE(MID(SUBSTITUTE(TRIM(E171),",","."),FIND(":",SUBSTITUTE(TRIM(E171),",","."))+1,99),"."),_xlfn.NUMBERVALUE(SUBSTITUTE(TRIM(E171),",","."),".")),0)))</f>
        <v/>
      </c>
    </row>
    <row r="172" customFormat="false" ht="15" hidden="false" customHeight="false" outlineLevel="0" collapsed="false">
      <c r="A172" s="5"/>
      <c r="B172" s="5"/>
      <c r="C172" s="5"/>
      <c r="D172" s="5"/>
      <c r="E172" s="13"/>
      <c r="F172" s="4" t="str">
        <f aca="false">IF(OR(G172="",H172="",N(G172)=0,N(H172)&lt;=0),"",ROUNDDOWN(1000*(G172/H172)^3,0))</f>
        <v/>
      </c>
      <c r="G172" s="11" t="str">
        <f aca="false">IF(D172="","",SUMIFS('Базовые времена'!$D$2:$D$71,'Базовые времена'!$A$2:$A$71,B172,'Базовые времена'!$B$2:$B$71,C172,'Базовые времена'!$C$2:$C$71,D172))</f>
        <v/>
      </c>
      <c r="H172" s="11" t="str">
        <f aca="false">IF(E172="","",IF(ISNUMBER(E172),IF(E172&lt;1,E172*86400,E172),IFERROR(IF(ISNUMBER(FIND(":",SUBSTITUTE(TRIM(E172),",","."))),VALUE(LEFT(SUBSTITUTE(TRIM(E172),",","."),FIND(":",SUBSTITUTE(TRIM(E172),",","."))-1))*60+_xlfn.NUMBERVALUE(MID(SUBSTITUTE(TRIM(E172),",","."),FIND(":",SUBSTITUTE(TRIM(E172),",","."))+1,99),"."),_xlfn.NUMBERVALUE(SUBSTITUTE(TRIM(E172),",","."),".")),0)))</f>
        <v/>
      </c>
    </row>
    <row r="173" customFormat="false" ht="15" hidden="false" customHeight="false" outlineLevel="0" collapsed="false">
      <c r="A173" s="5"/>
      <c r="B173" s="5"/>
      <c r="C173" s="5"/>
      <c r="D173" s="5"/>
      <c r="E173" s="13"/>
      <c r="F173" s="4" t="str">
        <f aca="false">IF(OR(G173="",H173="",N(G173)=0,N(H173)&lt;=0),"",ROUNDDOWN(1000*(G173/H173)^3,0))</f>
        <v/>
      </c>
      <c r="G173" s="11" t="str">
        <f aca="false">IF(D173="","",SUMIFS('Базовые времена'!$D$2:$D$71,'Базовые времена'!$A$2:$A$71,B173,'Базовые времена'!$B$2:$B$71,C173,'Базовые времена'!$C$2:$C$71,D173))</f>
        <v/>
      </c>
      <c r="H173" s="11" t="str">
        <f aca="false">IF(E173="","",IF(ISNUMBER(E173),IF(E173&lt;1,E173*86400,E173),IFERROR(IF(ISNUMBER(FIND(":",SUBSTITUTE(TRIM(E173),",","."))),VALUE(LEFT(SUBSTITUTE(TRIM(E173),",","."),FIND(":",SUBSTITUTE(TRIM(E173),",","."))-1))*60+_xlfn.NUMBERVALUE(MID(SUBSTITUTE(TRIM(E173),",","."),FIND(":",SUBSTITUTE(TRIM(E173),",","."))+1,99),"."),_xlfn.NUMBERVALUE(SUBSTITUTE(TRIM(E173),",","."),".")),0)))</f>
        <v/>
      </c>
    </row>
    <row r="174" customFormat="false" ht="15" hidden="false" customHeight="false" outlineLevel="0" collapsed="false">
      <c r="A174" s="5"/>
      <c r="B174" s="5"/>
      <c r="C174" s="5"/>
      <c r="D174" s="5"/>
      <c r="E174" s="13"/>
      <c r="F174" s="4" t="str">
        <f aca="false">IF(OR(G174="",H174="",N(G174)=0,N(H174)&lt;=0),"",ROUNDDOWN(1000*(G174/H174)^3,0))</f>
        <v/>
      </c>
      <c r="G174" s="11" t="str">
        <f aca="false">IF(D174="","",SUMIFS('Базовые времена'!$D$2:$D$71,'Базовые времена'!$A$2:$A$71,B174,'Базовые времена'!$B$2:$B$71,C174,'Базовые времена'!$C$2:$C$71,D174))</f>
        <v/>
      </c>
      <c r="H174" s="11" t="str">
        <f aca="false">IF(E174="","",IF(ISNUMBER(E174),IF(E174&lt;1,E174*86400,E174),IFERROR(IF(ISNUMBER(FIND(":",SUBSTITUTE(TRIM(E174),",","."))),VALUE(LEFT(SUBSTITUTE(TRIM(E174),",","."),FIND(":",SUBSTITUTE(TRIM(E174),",","."))-1))*60+_xlfn.NUMBERVALUE(MID(SUBSTITUTE(TRIM(E174),",","."),FIND(":",SUBSTITUTE(TRIM(E174),",","."))+1,99),"."),_xlfn.NUMBERVALUE(SUBSTITUTE(TRIM(E174),",","."),".")),0)))</f>
        <v/>
      </c>
    </row>
    <row r="175" customFormat="false" ht="15" hidden="false" customHeight="false" outlineLevel="0" collapsed="false">
      <c r="A175" s="5"/>
      <c r="B175" s="5"/>
      <c r="C175" s="5"/>
      <c r="D175" s="5"/>
      <c r="E175" s="13"/>
      <c r="F175" s="4" t="str">
        <f aca="false">IF(OR(G175="",H175="",N(G175)=0,N(H175)&lt;=0),"",ROUNDDOWN(1000*(G175/H175)^3,0))</f>
        <v/>
      </c>
      <c r="G175" s="11" t="str">
        <f aca="false">IF(D175="","",SUMIFS('Базовые времена'!$D$2:$D$71,'Базовые времена'!$A$2:$A$71,B175,'Базовые времена'!$B$2:$B$71,C175,'Базовые времена'!$C$2:$C$71,D175))</f>
        <v/>
      </c>
      <c r="H175" s="11" t="str">
        <f aca="false">IF(E175="","",IF(ISNUMBER(E175),IF(E175&lt;1,E175*86400,E175),IFERROR(IF(ISNUMBER(FIND(":",SUBSTITUTE(TRIM(E175),",","."))),VALUE(LEFT(SUBSTITUTE(TRIM(E175),",","."),FIND(":",SUBSTITUTE(TRIM(E175),",","."))-1))*60+_xlfn.NUMBERVALUE(MID(SUBSTITUTE(TRIM(E175),",","."),FIND(":",SUBSTITUTE(TRIM(E175),",","."))+1,99),"."),_xlfn.NUMBERVALUE(SUBSTITUTE(TRIM(E175),",","."),".")),0)))</f>
        <v/>
      </c>
    </row>
    <row r="176" customFormat="false" ht="15" hidden="false" customHeight="false" outlineLevel="0" collapsed="false">
      <c r="A176" s="5"/>
      <c r="B176" s="5"/>
      <c r="C176" s="5"/>
      <c r="D176" s="5"/>
      <c r="E176" s="13"/>
      <c r="F176" s="4" t="str">
        <f aca="false">IF(OR(G176="",H176="",N(G176)=0,N(H176)&lt;=0),"",ROUNDDOWN(1000*(G176/H176)^3,0))</f>
        <v/>
      </c>
      <c r="G176" s="11" t="str">
        <f aca="false">IF(D176="","",SUMIFS('Базовые времена'!$D$2:$D$71,'Базовые времена'!$A$2:$A$71,B176,'Базовые времена'!$B$2:$B$71,C176,'Базовые времена'!$C$2:$C$71,D176))</f>
        <v/>
      </c>
      <c r="H176" s="11" t="str">
        <f aca="false">IF(E176="","",IF(ISNUMBER(E176),IF(E176&lt;1,E176*86400,E176),IFERROR(IF(ISNUMBER(FIND(":",SUBSTITUTE(TRIM(E176),",","."))),VALUE(LEFT(SUBSTITUTE(TRIM(E176),",","."),FIND(":",SUBSTITUTE(TRIM(E176),",","."))-1))*60+_xlfn.NUMBERVALUE(MID(SUBSTITUTE(TRIM(E176),",","."),FIND(":",SUBSTITUTE(TRIM(E176),",","."))+1,99),"."),_xlfn.NUMBERVALUE(SUBSTITUTE(TRIM(E176),",","."),".")),0)))</f>
        <v/>
      </c>
    </row>
    <row r="177" customFormat="false" ht="15" hidden="false" customHeight="false" outlineLevel="0" collapsed="false">
      <c r="A177" s="5"/>
      <c r="B177" s="5"/>
      <c r="C177" s="5"/>
      <c r="D177" s="5"/>
      <c r="E177" s="13"/>
      <c r="F177" s="4" t="str">
        <f aca="false">IF(OR(G177="",H177="",N(G177)=0,N(H177)&lt;=0),"",ROUNDDOWN(1000*(G177/H177)^3,0))</f>
        <v/>
      </c>
      <c r="G177" s="11" t="str">
        <f aca="false">IF(D177="","",SUMIFS('Базовые времена'!$D$2:$D$71,'Базовые времена'!$A$2:$A$71,B177,'Базовые времена'!$B$2:$B$71,C177,'Базовые времена'!$C$2:$C$71,D177))</f>
        <v/>
      </c>
      <c r="H177" s="11" t="str">
        <f aca="false">IF(E177="","",IF(ISNUMBER(E177),IF(E177&lt;1,E177*86400,E177),IFERROR(IF(ISNUMBER(FIND(":",SUBSTITUTE(TRIM(E177),",","."))),VALUE(LEFT(SUBSTITUTE(TRIM(E177),",","."),FIND(":",SUBSTITUTE(TRIM(E177),",","."))-1))*60+_xlfn.NUMBERVALUE(MID(SUBSTITUTE(TRIM(E177),",","."),FIND(":",SUBSTITUTE(TRIM(E177),",","."))+1,99),"."),_xlfn.NUMBERVALUE(SUBSTITUTE(TRIM(E177),",","."),".")),0)))</f>
        <v/>
      </c>
    </row>
    <row r="178" customFormat="false" ht="15" hidden="false" customHeight="false" outlineLevel="0" collapsed="false">
      <c r="A178" s="5"/>
      <c r="B178" s="5"/>
      <c r="C178" s="5"/>
      <c r="D178" s="5"/>
      <c r="E178" s="13"/>
      <c r="F178" s="4" t="str">
        <f aca="false">IF(OR(G178="",H178="",N(G178)=0,N(H178)&lt;=0),"",ROUNDDOWN(1000*(G178/H178)^3,0))</f>
        <v/>
      </c>
      <c r="G178" s="11" t="str">
        <f aca="false">IF(D178="","",SUMIFS('Базовые времена'!$D$2:$D$71,'Базовые времена'!$A$2:$A$71,B178,'Базовые времена'!$B$2:$B$71,C178,'Базовые времена'!$C$2:$C$71,D178))</f>
        <v/>
      </c>
      <c r="H178" s="11" t="str">
        <f aca="false">IF(E178="","",IF(ISNUMBER(E178),IF(E178&lt;1,E178*86400,E178),IFERROR(IF(ISNUMBER(FIND(":",SUBSTITUTE(TRIM(E178),",","."))),VALUE(LEFT(SUBSTITUTE(TRIM(E178),",","."),FIND(":",SUBSTITUTE(TRIM(E178),",","."))-1))*60+_xlfn.NUMBERVALUE(MID(SUBSTITUTE(TRIM(E178),",","."),FIND(":",SUBSTITUTE(TRIM(E178),",","."))+1,99),"."),_xlfn.NUMBERVALUE(SUBSTITUTE(TRIM(E178),",","."),".")),0)))</f>
        <v/>
      </c>
    </row>
    <row r="179" customFormat="false" ht="15" hidden="false" customHeight="false" outlineLevel="0" collapsed="false">
      <c r="A179" s="5"/>
      <c r="B179" s="5"/>
      <c r="C179" s="5"/>
      <c r="D179" s="5"/>
      <c r="E179" s="13"/>
      <c r="F179" s="4" t="str">
        <f aca="false">IF(OR(G179="",H179="",N(G179)=0,N(H179)&lt;=0),"",ROUNDDOWN(1000*(G179/H179)^3,0))</f>
        <v/>
      </c>
      <c r="G179" s="11" t="str">
        <f aca="false">IF(D179="","",SUMIFS('Базовые времена'!$D$2:$D$71,'Базовые времена'!$A$2:$A$71,B179,'Базовые времена'!$B$2:$B$71,C179,'Базовые времена'!$C$2:$C$71,D179))</f>
        <v/>
      </c>
      <c r="H179" s="11" t="str">
        <f aca="false">IF(E179="","",IF(ISNUMBER(E179),IF(E179&lt;1,E179*86400,E179),IFERROR(IF(ISNUMBER(FIND(":",SUBSTITUTE(TRIM(E179),",","."))),VALUE(LEFT(SUBSTITUTE(TRIM(E179),",","."),FIND(":",SUBSTITUTE(TRIM(E179),",","."))-1))*60+_xlfn.NUMBERVALUE(MID(SUBSTITUTE(TRIM(E179),",","."),FIND(":",SUBSTITUTE(TRIM(E179),",","."))+1,99),"."),_xlfn.NUMBERVALUE(SUBSTITUTE(TRIM(E179),",","."),".")),0)))</f>
        <v/>
      </c>
    </row>
    <row r="180" customFormat="false" ht="15" hidden="false" customHeight="false" outlineLevel="0" collapsed="false">
      <c r="A180" s="5"/>
      <c r="B180" s="5"/>
      <c r="C180" s="5"/>
      <c r="D180" s="5"/>
      <c r="E180" s="13"/>
      <c r="F180" s="4" t="str">
        <f aca="false">IF(OR(G180="",H180="",N(G180)=0,N(H180)&lt;=0),"",ROUNDDOWN(1000*(G180/H180)^3,0))</f>
        <v/>
      </c>
      <c r="G180" s="11" t="str">
        <f aca="false">IF(D180="","",SUMIFS('Базовые времена'!$D$2:$D$71,'Базовые времена'!$A$2:$A$71,B180,'Базовые времена'!$B$2:$B$71,C180,'Базовые времена'!$C$2:$C$71,D180))</f>
        <v/>
      </c>
      <c r="H180" s="11" t="str">
        <f aca="false">IF(E180="","",IF(ISNUMBER(E180),IF(E180&lt;1,E180*86400,E180),IFERROR(IF(ISNUMBER(FIND(":",SUBSTITUTE(TRIM(E180),",","."))),VALUE(LEFT(SUBSTITUTE(TRIM(E180),",","."),FIND(":",SUBSTITUTE(TRIM(E180),",","."))-1))*60+_xlfn.NUMBERVALUE(MID(SUBSTITUTE(TRIM(E180),",","."),FIND(":",SUBSTITUTE(TRIM(E180),",","."))+1,99),"."),_xlfn.NUMBERVALUE(SUBSTITUTE(TRIM(E180),",","."),".")),0)))</f>
        <v/>
      </c>
    </row>
    <row r="181" customFormat="false" ht="15" hidden="false" customHeight="false" outlineLevel="0" collapsed="false">
      <c r="A181" s="5"/>
      <c r="B181" s="5"/>
      <c r="C181" s="5"/>
      <c r="D181" s="5"/>
      <c r="E181" s="13"/>
      <c r="F181" s="4" t="str">
        <f aca="false">IF(OR(G181="",H181="",N(G181)=0,N(H181)&lt;=0),"",ROUNDDOWN(1000*(G181/H181)^3,0))</f>
        <v/>
      </c>
      <c r="G181" s="11" t="str">
        <f aca="false">IF(D181="","",SUMIFS('Базовые времена'!$D$2:$D$71,'Базовые времена'!$A$2:$A$71,B181,'Базовые времена'!$B$2:$B$71,C181,'Базовые времена'!$C$2:$C$71,D181))</f>
        <v/>
      </c>
      <c r="H181" s="11" t="str">
        <f aca="false">IF(E181="","",IF(ISNUMBER(E181),IF(E181&lt;1,E181*86400,E181),IFERROR(IF(ISNUMBER(FIND(":",SUBSTITUTE(TRIM(E181),",","."))),VALUE(LEFT(SUBSTITUTE(TRIM(E181),",","."),FIND(":",SUBSTITUTE(TRIM(E181),",","."))-1))*60+_xlfn.NUMBERVALUE(MID(SUBSTITUTE(TRIM(E181),",","."),FIND(":",SUBSTITUTE(TRIM(E181),",","."))+1,99),"."),_xlfn.NUMBERVALUE(SUBSTITUTE(TRIM(E181),",","."),".")),0)))</f>
        <v/>
      </c>
    </row>
    <row r="182" customFormat="false" ht="15" hidden="false" customHeight="false" outlineLevel="0" collapsed="false">
      <c r="A182" s="5"/>
      <c r="B182" s="5"/>
      <c r="C182" s="5"/>
      <c r="D182" s="5"/>
      <c r="E182" s="13"/>
      <c r="F182" s="4" t="str">
        <f aca="false">IF(OR(G182="",H182="",N(G182)=0,N(H182)&lt;=0),"",ROUNDDOWN(1000*(G182/H182)^3,0))</f>
        <v/>
      </c>
      <c r="G182" s="11" t="str">
        <f aca="false">IF(D182="","",SUMIFS('Базовые времена'!$D$2:$D$71,'Базовые времена'!$A$2:$A$71,B182,'Базовые времена'!$B$2:$B$71,C182,'Базовые времена'!$C$2:$C$71,D182))</f>
        <v/>
      </c>
      <c r="H182" s="11" t="str">
        <f aca="false">IF(E182="","",IF(ISNUMBER(E182),IF(E182&lt;1,E182*86400,E182),IFERROR(IF(ISNUMBER(FIND(":",SUBSTITUTE(TRIM(E182),",","."))),VALUE(LEFT(SUBSTITUTE(TRIM(E182),",","."),FIND(":",SUBSTITUTE(TRIM(E182),",","."))-1))*60+_xlfn.NUMBERVALUE(MID(SUBSTITUTE(TRIM(E182),",","."),FIND(":",SUBSTITUTE(TRIM(E182),",","."))+1,99),"."),_xlfn.NUMBERVALUE(SUBSTITUTE(TRIM(E182),",","."),".")),0)))</f>
        <v/>
      </c>
    </row>
    <row r="183" customFormat="false" ht="15" hidden="false" customHeight="false" outlineLevel="0" collapsed="false">
      <c r="A183" s="5"/>
      <c r="B183" s="5"/>
      <c r="C183" s="5"/>
      <c r="D183" s="5"/>
      <c r="E183" s="13"/>
      <c r="F183" s="4" t="str">
        <f aca="false">IF(OR(G183="",H183="",N(G183)=0,N(H183)&lt;=0),"",ROUNDDOWN(1000*(G183/H183)^3,0))</f>
        <v/>
      </c>
      <c r="G183" s="11" t="str">
        <f aca="false">IF(D183="","",SUMIFS('Базовые времена'!$D$2:$D$71,'Базовые времена'!$A$2:$A$71,B183,'Базовые времена'!$B$2:$B$71,C183,'Базовые времена'!$C$2:$C$71,D183))</f>
        <v/>
      </c>
      <c r="H183" s="11" t="str">
        <f aca="false">IF(E183="","",IF(ISNUMBER(E183),IF(E183&lt;1,E183*86400,E183),IFERROR(IF(ISNUMBER(FIND(":",SUBSTITUTE(TRIM(E183),",","."))),VALUE(LEFT(SUBSTITUTE(TRIM(E183),",","."),FIND(":",SUBSTITUTE(TRIM(E183),",","."))-1))*60+_xlfn.NUMBERVALUE(MID(SUBSTITUTE(TRIM(E183),",","."),FIND(":",SUBSTITUTE(TRIM(E183),",","."))+1,99),"."),_xlfn.NUMBERVALUE(SUBSTITUTE(TRIM(E183),",","."),".")),0)))</f>
        <v/>
      </c>
    </row>
    <row r="184" customFormat="false" ht="15" hidden="false" customHeight="false" outlineLevel="0" collapsed="false">
      <c r="A184" s="5"/>
      <c r="B184" s="5"/>
      <c r="C184" s="5"/>
      <c r="D184" s="5"/>
      <c r="E184" s="13"/>
      <c r="F184" s="4" t="str">
        <f aca="false">IF(OR(G184="",H184="",N(G184)=0,N(H184)&lt;=0),"",ROUNDDOWN(1000*(G184/H184)^3,0))</f>
        <v/>
      </c>
      <c r="G184" s="11" t="str">
        <f aca="false">IF(D184="","",SUMIFS('Базовые времена'!$D$2:$D$71,'Базовые времена'!$A$2:$A$71,B184,'Базовые времена'!$B$2:$B$71,C184,'Базовые времена'!$C$2:$C$71,D184))</f>
        <v/>
      </c>
      <c r="H184" s="11" t="str">
        <f aca="false">IF(E184="","",IF(ISNUMBER(E184),IF(E184&lt;1,E184*86400,E184),IFERROR(IF(ISNUMBER(FIND(":",SUBSTITUTE(TRIM(E184),",","."))),VALUE(LEFT(SUBSTITUTE(TRIM(E184),",","."),FIND(":",SUBSTITUTE(TRIM(E184),",","."))-1))*60+_xlfn.NUMBERVALUE(MID(SUBSTITUTE(TRIM(E184),",","."),FIND(":",SUBSTITUTE(TRIM(E184),",","."))+1,99),"."),_xlfn.NUMBERVALUE(SUBSTITUTE(TRIM(E184),",","."),".")),0)))</f>
        <v/>
      </c>
    </row>
    <row r="185" customFormat="false" ht="15" hidden="false" customHeight="false" outlineLevel="0" collapsed="false">
      <c r="A185" s="5"/>
      <c r="B185" s="5"/>
      <c r="C185" s="5"/>
      <c r="D185" s="5"/>
      <c r="E185" s="13"/>
      <c r="F185" s="4" t="str">
        <f aca="false">IF(OR(G185="",H185="",N(G185)=0,N(H185)&lt;=0),"",ROUNDDOWN(1000*(G185/H185)^3,0))</f>
        <v/>
      </c>
      <c r="G185" s="11" t="str">
        <f aca="false">IF(D185="","",SUMIFS('Базовые времена'!$D$2:$D$71,'Базовые времена'!$A$2:$A$71,B185,'Базовые времена'!$B$2:$B$71,C185,'Базовые времена'!$C$2:$C$71,D185))</f>
        <v/>
      </c>
      <c r="H185" s="11" t="str">
        <f aca="false">IF(E185="","",IF(ISNUMBER(E185),IF(E185&lt;1,E185*86400,E185),IFERROR(IF(ISNUMBER(FIND(":",SUBSTITUTE(TRIM(E185),",","."))),VALUE(LEFT(SUBSTITUTE(TRIM(E185),",","."),FIND(":",SUBSTITUTE(TRIM(E185),",","."))-1))*60+_xlfn.NUMBERVALUE(MID(SUBSTITUTE(TRIM(E185),",","."),FIND(":",SUBSTITUTE(TRIM(E185),",","."))+1,99),"."),_xlfn.NUMBERVALUE(SUBSTITUTE(TRIM(E185),",","."),".")),0)))</f>
        <v/>
      </c>
    </row>
    <row r="186" customFormat="false" ht="15" hidden="false" customHeight="false" outlineLevel="0" collapsed="false">
      <c r="A186" s="5"/>
      <c r="B186" s="5"/>
      <c r="C186" s="5"/>
      <c r="D186" s="5"/>
      <c r="E186" s="13"/>
      <c r="F186" s="4" t="str">
        <f aca="false">IF(OR(G186="",H186="",N(G186)=0,N(H186)&lt;=0),"",ROUNDDOWN(1000*(G186/H186)^3,0))</f>
        <v/>
      </c>
      <c r="G186" s="11" t="str">
        <f aca="false">IF(D186="","",SUMIFS('Базовые времена'!$D$2:$D$71,'Базовые времена'!$A$2:$A$71,B186,'Базовые времена'!$B$2:$B$71,C186,'Базовые времена'!$C$2:$C$71,D186))</f>
        <v/>
      </c>
      <c r="H186" s="11" t="str">
        <f aca="false">IF(E186="","",IF(ISNUMBER(E186),IF(E186&lt;1,E186*86400,E186),IFERROR(IF(ISNUMBER(FIND(":",SUBSTITUTE(TRIM(E186),",","."))),VALUE(LEFT(SUBSTITUTE(TRIM(E186),",","."),FIND(":",SUBSTITUTE(TRIM(E186),",","."))-1))*60+_xlfn.NUMBERVALUE(MID(SUBSTITUTE(TRIM(E186),",","."),FIND(":",SUBSTITUTE(TRIM(E186),",","."))+1,99),"."),_xlfn.NUMBERVALUE(SUBSTITUTE(TRIM(E186),",","."),".")),0)))</f>
        <v/>
      </c>
    </row>
    <row r="187" customFormat="false" ht="15" hidden="false" customHeight="false" outlineLevel="0" collapsed="false">
      <c r="A187" s="5"/>
      <c r="B187" s="5"/>
      <c r="C187" s="5"/>
      <c r="D187" s="5"/>
      <c r="E187" s="13"/>
      <c r="F187" s="4" t="str">
        <f aca="false">IF(OR(G187="",H187="",N(G187)=0,N(H187)&lt;=0),"",ROUNDDOWN(1000*(G187/H187)^3,0))</f>
        <v/>
      </c>
      <c r="G187" s="11" t="str">
        <f aca="false">IF(D187="","",SUMIFS('Базовые времена'!$D$2:$D$71,'Базовые времена'!$A$2:$A$71,B187,'Базовые времена'!$B$2:$B$71,C187,'Базовые времена'!$C$2:$C$71,D187))</f>
        <v/>
      </c>
      <c r="H187" s="11" t="str">
        <f aca="false">IF(E187="","",IF(ISNUMBER(E187),IF(E187&lt;1,E187*86400,E187),IFERROR(IF(ISNUMBER(FIND(":",SUBSTITUTE(TRIM(E187),",","."))),VALUE(LEFT(SUBSTITUTE(TRIM(E187),",","."),FIND(":",SUBSTITUTE(TRIM(E187),",","."))-1))*60+_xlfn.NUMBERVALUE(MID(SUBSTITUTE(TRIM(E187),",","."),FIND(":",SUBSTITUTE(TRIM(E187),",","."))+1,99),"."),_xlfn.NUMBERVALUE(SUBSTITUTE(TRIM(E187),",","."),".")),0)))</f>
        <v/>
      </c>
    </row>
    <row r="188" customFormat="false" ht="15" hidden="false" customHeight="false" outlineLevel="0" collapsed="false">
      <c r="A188" s="5"/>
      <c r="B188" s="5"/>
      <c r="C188" s="5"/>
      <c r="D188" s="5"/>
      <c r="E188" s="13"/>
      <c r="F188" s="4" t="str">
        <f aca="false">IF(OR(G188="",H188="",N(G188)=0,N(H188)&lt;=0),"",ROUNDDOWN(1000*(G188/H188)^3,0))</f>
        <v/>
      </c>
      <c r="G188" s="11" t="str">
        <f aca="false">IF(D188="","",SUMIFS('Базовые времена'!$D$2:$D$71,'Базовые времена'!$A$2:$A$71,B188,'Базовые времена'!$B$2:$B$71,C188,'Базовые времена'!$C$2:$C$71,D188))</f>
        <v/>
      </c>
      <c r="H188" s="11" t="str">
        <f aca="false">IF(E188="","",IF(ISNUMBER(E188),IF(E188&lt;1,E188*86400,E188),IFERROR(IF(ISNUMBER(FIND(":",SUBSTITUTE(TRIM(E188),",","."))),VALUE(LEFT(SUBSTITUTE(TRIM(E188),",","."),FIND(":",SUBSTITUTE(TRIM(E188),",","."))-1))*60+_xlfn.NUMBERVALUE(MID(SUBSTITUTE(TRIM(E188),",","."),FIND(":",SUBSTITUTE(TRIM(E188),",","."))+1,99),"."),_xlfn.NUMBERVALUE(SUBSTITUTE(TRIM(E188),",","."),".")),0)))</f>
        <v/>
      </c>
    </row>
    <row r="189" customFormat="false" ht="15" hidden="false" customHeight="false" outlineLevel="0" collapsed="false">
      <c r="A189" s="5"/>
      <c r="B189" s="5"/>
      <c r="C189" s="5"/>
      <c r="D189" s="5"/>
      <c r="E189" s="13"/>
      <c r="F189" s="4" t="str">
        <f aca="false">IF(OR(G189="",H189="",N(G189)=0,N(H189)&lt;=0),"",ROUNDDOWN(1000*(G189/H189)^3,0))</f>
        <v/>
      </c>
      <c r="G189" s="11" t="str">
        <f aca="false">IF(D189="","",SUMIFS('Базовые времена'!$D$2:$D$71,'Базовые времена'!$A$2:$A$71,B189,'Базовые времена'!$B$2:$B$71,C189,'Базовые времена'!$C$2:$C$71,D189))</f>
        <v/>
      </c>
      <c r="H189" s="11" t="str">
        <f aca="false">IF(E189="","",IF(ISNUMBER(E189),IF(E189&lt;1,E189*86400,E189),IFERROR(IF(ISNUMBER(FIND(":",SUBSTITUTE(TRIM(E189),",","."))),VALUE(LEFT(SUBSTITUTE(TRIM(E189),",","."),FIND(":",SUBSTITUTE(TRIM(E189),",","."))-1))*60+_xlfn.NUMBERVALUE(MID(SUBSTITUTE(TRIM(E189),",","."),FIND(":",SUBSTITUTE(TRIM(E189),",","."))+1,99),"."),_xlfn.NUMBERVALUE(SUBSTITUTE(TRIM(E189),",","."),".")),0)))</f>
        <v/>
      </c>
    </row>
    <row r="190" customFormat="false" ht="15" hidden="false" customHeight="false" outlineLevel="0" collapsed="false">
      <c r="A190" s="5"/>
      <c r="B190" s="5"/>
      <c r="C190" s="5"/>
      <c r="D190" s="5"/>
      <c r="E190" s="13"/>
      <c r="F190" s="4" t="str">
        <f aca="false">IF(OR(G190="",H190="",N(G190)=0,N(H190)&lt;=0),"",ROUNDDOWN(1000*(G190/H190)^3,0))</f>
        <v/>
      </c>
      <c r="G190" s="11" t="str">
        <f aca="false">IF(D190="","",SUMIFS('Базовые времена'!$D$2:$D$71,'Базовые времена'!$A$2:$A$71,B190,'Базовые времена'!$B$2:$B$71,C190,'Базовые времена'!$C$2:$C$71,D190))</f>
        <v/>
      </c>
      <c r="H190" s="11" t="str">
        <f aca="false">IF(E190="","",IF(ISNUMBER(E190),IF(E190&lt;1,E190*86400,E190),IFERROR(IF(ISNUMBER(FIND(":",SUBSTITUTE(TRIM(E190),",","."))),VALUE(LEFT(SUBSTITUTE(TRIM(E190),",","."),FIND(":",SUBSTITUTE(TRIM(E190),",","."))-1))*60+_xlfn.NUMBERVALUE(MID(SUBSTITUTE(TRIM(E190),",","."),FIND(":",SUBSTITUTE(TRIM(E190),",","."))+1,99),"."),_xlfn.NUMBERVALUE(SUBSTITUTE(TRIM(E190),",","."),".")),0)))</f>
        <v/>
      </c>
    </row>
    <row r="191" customFormat="false" ht="15" hidden="false" customHeight="false" outlineLevel="0" collapsed="false">
      <c r="A191" s="5"/>
      <c r="B191" s="5"/>
      <c r="C191" s="5"/>
      <c r="D191" s="5"/>
      <c r="E191" s="13"/>
      <c r="F191" s="4" t="str">
        <f aca="false">IF(OR(G191="",H191="",N(G191)=0,N(H191)&lt;=0),"",ROUNDDOWN(1000*(G191/H191)^3,0))</f>
        <v/>
      </c>
      <c r="G191" s="11" t="str">
        <f aca="false">IF(D191="","",SUMIFS('Базовые времена'!$D$2:$D$71,'Базовые времена'!$A$2:$A$71,B191,'Базовые времена'!$B$2:$B$71,C191,'Базовые времена'!$C$2:$C$71,D191))</f>
        <v/>
      </c>
      <c r="H191" s="11" t="str">
        <f aca="false">IF(E191="","",IF(ISNUMBER(E191),IF(E191&lt;1,E191*86400,E191),IFERROR(IF(ISNUMBER(FIND(":",SUBSTITUTE(TRIM(E191),",","."))),VALUE(LEFT(SUBSTITUTE(TRIM(E191),",","."),FIND(":",SUBSTITUTE(TRIM(E191),",","."))-1))*60+_xlfn.NUMBERVALUE(MID(SUBSTITUTE(TRIM(E191),",","."),FIND(":",SUBSTITUTE(TRIM(E191),",","."))+1,99),"."),_xlfn.NUMBERVALUE(SUBSTITUTE(TRIM(E191),",","."),".")),0)))</f>
        <v/>
      </c>
    </row>
    <row r="192" customFormat="false" ht="15" hidden="false" customHeight="false" outlineLevel="0" collapsed="false">
      <c r="A192" s="5"/>
      <c r="B192" s="5"/>
      <c r="C192" s="5"/>
      <c r="D192" s="5"/>
      <c r="E192" s="13"/>
      <c r="F192" s="4" t="str">
        <f aca="false">IF(OR(G192="",H192="",N(G192)=0,N(H192)&lt;=0),"",ROUNDDOWN(1000*(G192/H192)^3,0))</f>
        <v/>
      </c>
      <c r="G192" s="11" t="str">
        <f aca="false">IF(D192="","",SUMIFS('Базовые времена'!$D$2:$D$71,'Базовые времена'!$A$2:$A$71,B192,'Базовые времена'!$B$2:$B$71,C192,'Базовые времена'!$C$2:$C$71,D192))</f>
        <v/>
      </c>
      <c r="H192" s="11" t="str">
        <f aca="false">IF(E192="","",IF(ISNUMBER(E192),IF(E192&lt;1,E192*86400,E192),IFERROR(IF(ISNUMBER(FIND(":",SUBSTITUTE(TRIM(E192),",","."))),VALUE(LEFT(SUBSTITUTE(TRIM(E192),",","."),FIND(":",SUBSTITUTE(TRIM(E192),",","."))-1))*60+_xlfn.NUMBERVALUE(MID(SUBSTITUTE(TRIM(E192),",","."),FIND(":",SUBSTITUTE(TRIM(E192),",","."))+1,99),"."),_xlfn.NUMBERVALUE(SUBSTITUTE(TRIM(E192),",","."),".")),0)))</f>
        <v/>
      </c>
    </row>
    <row r="193" customFormat="false" ht="15" hidden="false" customHeight="false" outlineLevel="0" collapsed="false">
      <c r="A193" s="5"/>
      <c r="B193" s="5"/>
      <c r="C193" s="5"/>
      <c r="D193" s="5"/>
      <c r="E193" s="13"/>
      <c r="F193" s="4" t="str">
        <f aca="false">IF(OR(G193="",H193="",N(G193)=0,N(H193)&lt;=0),"",ROUNDDOWN(1000*(G193/H193)^3,0))</f>
        <v/>
      </c>
      <c r="G193" s="11" t="str">
        <f aca="false">IF(D193="","",SUMIFS('Базовые времена'!$D$2:$D$71,'Базовые времена'!$A$2:$A$71,B193,'Базовые времена'!$B$2:$B$71,C193,'Базовые времена'!$C$2:$C$71,D193))</f>
        <v/>
      </c>
      <c r="H193" s="11" t="str">
        <f aca="false">IF(E193="","",IF(ISNUMBER(E193),IF(E193&lt;1,E193*86400,E193),IFERROR(IF(ISNUMBER(FIND(":",SUBSTITUTE(TRIM(E193),",","."))),VALUE(LEFT(SUBSTITUTE(TRIM(E193),",","."),FIND(":",SUBSTITUTE(TRIM(E193),",","."))-1))*60+_xlfn.NUMBERVALUE(MID(SUBSTITUTE(TRIM(E193),",","."),FIND(":",SUBSTITUTE(TRIM(E193),",","."))+1,99),"."),_xlfn.NUMBERVALUE(SUBSTITUTE(TRIM(E193),",","."),".")),0)))</f>
        <v/>
      </c>
    </row>
    <row r="194" customFormat="false" ht="15" hidden="false" customHeight="false" outlineLevel="0" collapsed="false">
      <c r="A194" s="5"/>
      <c r="B194" s="5"/>
      <c r="C194" s="5"/>
      <c r="D194" s="5"/>
      <c r="E194" s="13"/>
      <c r="F194" s="4" t="str">
        <f aca="false">IF(OR(G194="",H194="",N(G194)=0,N(H194)&lt;=0),"",ROUNDDOWN(1000*(G194/H194)^3,0))</f>
        <v/>
      </c>
      <c r="G194" s="11" t="str">
        <f aca="false">IF(D194="","",SUMIFS('Базовые времена'!$D$2:$D$71,'Базовые времена'!$A$2:$A$71,B194,'Базовые времена'!$B$2:$B$71,C194,'Базовые времена'!$C$2:$C$71,D194))</f>
        <v/>
      </c>
      <c r="H194" s="11" t="str">
        <f aca="false">IF(E194="","",IF(ISNUMBER(E194),IF(E194&lt;1,E194*86400,E194),IFERROR(IF(ISNUMBER(FIND(":",SUBSTITUTE(TRIM(E194),",","."))),VALUE(LEFT(SUBSTITUTE(TRIM(E194),",","."),FIND(":",SUBSTITUTE(TRIM(E194),",","."))-1))*60+_xlfn.NUMBERVALUE(MID(SUBSTITUTE(TRIM(E194),",","."),FIND(":",SUBSTITUTE(TRIM(E194),",","."))+1,99),"."),_xlfn.NUMBERVALUE(SUBSTITUTE(TRIM(E194),",","."),".")),0)))</f>
        <v/>
      </c>
    </row>
    <row r="195" customFormat="false" ht="15" hidden="false" customHeight="false" outlineLevel="0" collapsed="false">
      <c r="A195" s="5"/>
      <c r="B195" s="5"/>
      <c r="C195" s="5"/>
      <c r="D195" s="5"/>
      <c r="E195" s="13"/>
      <c r="F195" s="4" t="str">
        <f aca="false">IF(OR(G195="",H195="",N(G195)=0,N(H195)&lt;=0),"",ROUNDDOWN(1000*(G195/H195)^3,0))</f>
        <v/>
      </c>
      <c r="G195" s="11" t="str">
        <f aca="false">IF(D195="","",SUMIFS('Базовые времена'!$D$2:$D$71,'Базовые времена'!$A$2:$A$71,B195,'Базовые времена'!$B$2:$B$71,C195,'Базовые времена'!$C$2:$C$71,D195))</f>
        <v/>
      </c>
      <c r="H195" s="11" t="str">
        <f aca="false">IF(E195="","",IF(ISNUMBER(E195),IF(E195&lt;1,E195*86400,E195),IFERROR(IF(ISNUMBER(FIND(":",SUBSTITUTE(TRIM(E195),",","."))),VALUE(LEFT(SUBSTITUTE(TRIM(E195),",","."),FIND(":",SUBSTITUTE(TRIM(E195),",","."))-1))*60+_xlfn.NUMBERVALUE(MID(SUBSTITUTE(TRIM(E195),",","."),FIND(":",SUBSTITUTE(TRIM(E195),",","."))+1,99),"."),_xlfn.NUMBERVALUE(SUBSTITUTE(TRIM(E195),",","."),".")),0)))</f>
        <v/>
      </c>
    </row>
    <row r="196" customFormat="false" ht="15" hidden="false" customHeight="false" outlineLevel="0" collapsed="false">
      <c r="A196" s="5"/>
      <c r="B196" s="5"/>
      <c r="C196" s="5"/>
      <c r="D196" s="5"/>
      <c r="E196" s="13"/>
      <c r="F196" s="4" t="str">
        <f aca="false">IF(OR(G196="",H196="",N(G196)=0,N(H196)&lt;=0),"",ROUNDDOWN(1000*(G196/H196)^3,0))</f>
        <v/>
      </c>
      <c r="G196" s="11" t="str">
        <f aca="false">IF(D196="","",SUMIFS('Базовые времена'!$D$2:$D$71,'Базовые времена'!$A$2:$A$71,B196,'Базовые времена'!$B$2:$B$71,C196,'Базовые времена'!$C$2:$C$71,D196))</f>
        <v/>
      </c>
      <c r="H196" s="11" t="str">
        <f aca="false">IF(E196="","",IF(ISNUMBER(E196),IF(E196&lt;1,E196*86400,E196),IFERROR(IF(ISNUMBER(FIND(":",SUBSTITUTE(TRIM(E196),",","."))),VALUE(LEFT(SUBSTITUTE(TRIM(E196),",","."),FIND(":",SUBSTITUTE(TRIM(E196),",","."))-1))*60+_xlfn.NUMBERVALUE(MID(SUBSTITUTE(TRIM(E196),",","."),FIND(":",SUBSTITUTE(TRIM(E196),",","."))+1,99),"."),_xlfn.NUMBERVALUE(SUBSTITUTE(TRIM(E196),",","."),".")),0)))</f>
        <v/>
      </c>
    </row>
    <row r="197" customFormat="false" ht="15" hidden="false" customHeight="false" outlineLevel="0" collapsed="false">
      <c r="A197" s="5"/>
      <c r="B197" s="5"/>
      <c r="C197" s="5"/>
      <c r="D197" s="5"/>
      <c r="E197" s="13"/>
      <c r="F197" s="4" t="str">
        <f aca="false">IF(OR(G197="",H197="",N(G197)=0,N(H197)&lt;=0),"",ROUNDDOWN(1000*(G197/H197)^3,0))</f>
        <v/>
      </c>
      <c r="G197" s="11" t="str">
        <f aca="false">IF(D197="","",SUMIFS('Базовые времена'!$D$2:$D$71,'Базовые времена'!$A$2:$A$71,B197,'Базовые времена'!$B$2:$B$71,C197,'Базовые времена'!$C$2:$C$71,D197))</f>
        <v/>
      </c>
      <c r="H197" s="11" t="str">
        <f aca="false">IF(E197="","",IF(ISNUMBER(E197),IF(E197&lt;1,E197*86400,E197),IFERROR(IF(ISNUMBER(FIND(":",SUBSTITUTE(TRIM(E197),",","."))),VALUE(LEFT(SUBSTITUTE(TRIM(E197),",","."),FIND(":",SUBSTITUTE(TRIM(E197),",","."))-1))*60+_xlfn.NUMBERVALUE(MID(SUBSTITUTE(TRIM(E197),",","."),FIND(":",SUBSTITUTE(TRIM(E197),",","."))+1,99),"."),_xlfn.NUMBERVALUE(SUBSTITUTE(TRIM(E197),",","."),".")),0)))</f>
        <v/>
      </c>
    </row>
    <row r="198" customFormat="false" ht="15" hidden="false" customHeight="false" outlineLevel="0" collapsed="false">
      <c r="A198" s="5"/>
      <c r="B198" s="5"/>
      <c r="C198" s="5"/>
      <c r="D198" s="5"/>
      <c r="E198" s="13"/>
      <c r="F198" s="4" t="str">
        <f aca="false">IF(OR(G198="",H198="",N(G198)=0,N(H198)&lt;=0),"",ROUNDDOWN(1000*(G198/H198)^3,0))</f>
        <v/>
      </c>
      <c r="G198" s="11" t="str">
        <f aca="false">IF(D198="","",SUMIFS('Базовые времена'!$D$2:$D$71,'Базовые времена'!$A$2:$A$71,B198,'Базовые времена'!$B$2:$B$71,C198,'Базовые времена'!$C$2:$C$71,D198))</f>
        <v/>
      </c>
      <c r="H198" s="11" t="str">
        <f aca="false">IF(E198="","",IF(ISNUMBER(E198),IF(E198&lt;1,E198*86400,E198),IFERROR(IF(ISNUMBER(FIND(":",SUBSTITUTE(TRIM(E198),",","."))),VALUE(LEFT(SUBSTITUTE(TRIM(E198),",","."),FIND(":",SUBSTITUTE(TRIM(E198),",","."))-1))*60+_xlfn.NUMBERVALUE(MID(SUBSTITUTE(TRIM(E198),",","."),FIND(":",SUBSTITUTE(TRIM(E198),",","."))+1,99),"."),_xlfn.NUMBERVALUE(SUBSTITUTE(TRIM(E198),",","."),".")),0)))</f>
        <v/>
      </c>
    </row>
    <row r="199" customFormat="false" ht="15" hidden="false" customHeight="false" outlineLevel="0" collapsed="false">
      <c r="A199" s="5"/>
      <c r="B199" s="5"/>
      <c r="C199" s="5"/>
      <c r="D199" s="5"/>
      <c r="E199" s="13"/>
      <c r="F199" s="4" t="str">
        <f aca="false">IF(OR(G199="",H199="",N(G199)=0,N(H199)&lt;=0),"",ROUNDDOWN(1000*(G199/H199)^3,0))</f>
        <v/>
      </c>
      <c r="G199" s="11" t="str">
        <f aca="false">IF(D199="","",SUMIFS('Базовые времена'!$D$2:$D$71,'Базовые времена'!$A$2:$A$71,B199,'Базовые времена'!$B$2:$B$71,C199,'Базовые времена'!$C$2:$C$71,D199))</f>
        <v/>
      </c>
      <c r="H199" s="11" t="str">
        <f aca="false">IF(E199="","",IF(ISNUMBER(E199),IF(E199&lt;1,E199*86400,E199),IFERROR(IF(ISNUMBER(FIND(":",SUBSTITUTE(TRIM(E199),",","."))),VALUE(LEFT(SUBSTITUTE(TRIM(E199),",","."),FIND(":",SUBSTITUTE(TRIM(E199),",","."))-1))*60+_xlfn.NUMBERVALUE(MID(SUBSTITUTE(TRIM(E199),",","."),FIND(":",SUBSTITUTE(TRIM(E199),",","."))+1,99),"."),_xlfn.NUMBERVALUE(SUBSTITUTE(TRIM(E199),",","."),".")),0)))</f>
        <v/>
      </c>
    </row>
    <row r="200" customFormat="false" ht="15" hidden="false" customHeight="false" outlineLevel="0" collapsed="false">
      <c r="A200" s="5"/>
      <c r="B200" s="5"/>
      <c r="C200" s="5"/>
      <c r="D200" s="5"/>
      <c r="E200" s="13"/>
      <c r="F200" s="4" t="str">
        <f aca="false">IF(OR(G200="",H200="",N(G200)=0,N(H200)&lt;=0),"",ROUNDDOWN(1000*(G200/H200)^3,0))</f>
        <v/>
      </c>
      <c r="G200" s="11" t="str">
        <f aca="false">IF(D200="","",SUMIFS('Базовые времена'!$D$2:$D$71,'Базовые времена'!$A$2:$A$71,B200,'Базовые времена'!$B$2:$B$71,C200,'Базовые времена'!$C$2:$C$71,D200))</f>
        <v/>
      </c>
      <c r="H200" s="11" t="str">
        <f aca="false">IF(E200="","",IF(ISNUMBER(E200),IF(E200&lt;1,E200*86400,E200),IFERROR(IF(ISNUMBER(FIND(":",SUBSTITUTE(TRIM(E200),",","."))),VALUE(LEFT(SUBSTITUTE(TRIM(E200),",","."),FIND(":",SUBSTITUTE(TRIM(E200),",","."))-1))*60+_xlfn.NUMBERVALUE(MID(SUBSTITUTE(TRIM(E200),",","."),FIND(":",SUBSTITUTE(TRIM(E200),",","."))+1,99),"."),_xlfn.NUMBERVALUE(SUBSTITUTE(TRIM(E200),",","."),".")),0)))</f>
        <v/>
      </c>
    </row>
    <row r="201" customFormat="false" ht="15" hidden="false" customHeight="false" outlineLevel="0" collapsed="false">
      <c r="A201" s="5"/>
      <c r="B201" s="5"/>
      <c r="C201" s="5"/>
      <c r="D201" s="5"/>
      <c r="E201" s="13"/>
      <c r="F201" s="4" t="str">
        <f aca="false">IF(OR(G201="",H201="",N(G201)=0,N(H201)&lt;=0),"",ROUNDDOWN(1000*(G201/H201)^3,0))</f>
        <v/>
      </c>
      <c r="G201" s="11" t="str">
        <f aca="false">IF(D201="","",SUMIFS('Базовые времена'!$D$2:$D$71,'Базовые времена'!$A$2:$A$71,B201,'Базовые времена'!$B$2:$B$71,C201,'Базовые времена'!$C$2:$C$71,D201))</f>
        <v/>
      </c>
      <c r="H201" s="11" t="str">
        <f aca="false">IF(E201="","",IF(ISNUMBER(E201),IF(E201&lt;1,E201*86400,E201),IFERROR(IF(ISNUMBER(FIND(":",SUBSTITUTE(TRIM(E201),",","."))),VALUE(LEFT(SUBSTITUTE(TRIM(E201),",","."),FIND(":",SUBSTITUTE(TRIM(E201),",","."))-1))*60+_xlfn.NUMBERVALUE(MID(SUBSTITUTE(TRIM(E201),",","."),FIND(":",SUBSTITUTE(TRIM(E201),",","."))+1,99),"."),_xlfn.NUMBERVALUE(SUBSTITUTE(TRIM(E201),",","."),".")),0)))</f>
        <v/>
      </c>
    </row>
    <row r="202" customFormat="false" ht="15" hidden="false" customHeight="false" outlineLevel="0" collapsed="false">
      <c r="A202" s="5"/>
      <c r="B202" s="5"/>
      <c r="C202" s="5"/>
      <c r="D202" s="5"/>
      <c r="E202" s="13"/>
      <c r="F202" s="4" t="str">
        <f aca="false">IF(OR(G202="",H202="",N(G202)=0,N(H202)&lt;=0),"",ROUNDDOWN(1000*(G202/H202)^3,0))</f>
        <v/>
      </c>
      <c r="G202" s="11" t="str">
        <f aca="false">IF(D202="","",SUMIFS('Базовые времена'!$D$2:$D$71,'Базовые времена'!$A$2:$A$71,B202,'Базовые времена'!$B$2:$B$71,C202,'Базовые времена'!$C$2:$C$71,D202))</f>
        <v/>
      </c>
      <c r="H202" s="11" t="str">
        <f aca="false">IF(E202="","",IF(ISNUMBER(E202),IF(E202&lt;1,E202*86400,E202),IFERROR(IF(ISNUMBER(FIND(":",SUBSTITUTE(TRIM(E202),",","."))),VALUE(LEFT(SUBSTITUTE(TRIM(E202),",","."),FIND(":",SUBSTITUTE(TRIM(E202),",","."))-1))*60+_xlfn.NUMBERVALUE(MID(SUBSTITUTE(TRIM(E202),",","."),FIND(":",SUBSTITUTE(TRIM(E202),",","."))+1,99),"."),_xlfn.NUMBERVALUE(SUBSTITUTE(TRIM(E202),",","."),".")),0)))</f>
        <v/>
      </c>
    </row>
    <row r="203" customFormat="false" ht="15" hidden="false" customHeight="false" outlineLevel="0" collapsed="false">
      <c r="A203" s="5"/>
      <c r="B203" s="5"/>
      <c r="C203" s="5"/>
      <c r="D203" s="5"/>
      <c r="E203" s="13"/>
      <c r="F203" s="4" t="str">
        <f aca="false">IF(OR(G203="",H203="",N(G203)=0,N(H203)&lt;=0),"",ROUNDDOWN(1000*(G203/H203)^3,0))</f>
        <v/>
      </c>
      <c r="G203" s="11" t="str">
        <f aca="false">IF(D203="","",SUMIFS('Базовые времена'!$D$2:$D$71,'Базовые времена'!$A$2:$A$71,B203,'Базовые времена'!$B$2:$B$71,C203,'Базовые времена'!$C$2:$C$71,D203))</f>
        <v/>
      </c>
      <c r="H203" s="11" t="str">
        <f aca="false">IF(E203="","",IF(ISNUMBER(E203),IF(E203&lt;1,E203*86400,E203),IFERROR(IF(ISNUMBER(FIND(":",SUBSTITUTE(TRIM(E203),",","."))),VALUE(LEFT(SUBSTITUTE(TRIM(E203),",","."),FIND(":",SUBSTITUTE(TRIM(E203),",","."))-1))*60+_xlfn.NUMBERVALUE(MID(SUBSTITUTE(TRIM(E203),",","."),FIND(":",SUBSTITUTE(TRIM(E203),",","."))+1,99),"."),_xlfn.NUMBERVALUE(SUBSTITUTE(TRIM(E203),",","."),".")),0)))</f>
        <v/>
      </c>
    </row>
    <row r="204" customFormat="false" ht="15" hidden="false" customHeight="false" outlineLevel="0" collapsed="false">
      <c r="A204" s="5"/>
      <c r="B204" s="5"/>
      <c r="C204" s="5"/>
      <c r="D204" s="5"/>
      <c r="E204" s="13"/>
      <c r="F204" s="4" t="str">
        <f aca="false">IF(OR(G204="",H204="",N(G204)=0,N(H204)&lt;=0),"",ROUNDDOWN(1000*(G204/H204)^3,0))</f>
        <v/>
      </c>
      <c r="G204" s="11" t="str">
        <f aca="false">IF(D204="","",SUMIFS('Базовые времена'!$D$2:$D$71,'Базовые времена'!$A$2:$A$71,B204,'Базовые времена'!$B$2:$B$71,C204,'Базовые времена'!$C$2:$C$71,D204))</f>
        <v/>
      </c>
      <c r="H204" s="11" t="str">
        <f aca="false">IF(E204="","",IF(ISNUMBER(E204),IF(E204&lt;1,E204*86400,E204),IFERROR(IF(ISNUMBER(FIND(":",SUBSTITUTE(TRIM(E204),",","."))),VALUE(LEFT(SUBSTITUTE(TRIM(E204),",","."),FIND(":",SUBSTITUTE(TRIM(E204),",","."))-1))*60+_xlfn.NUMBERVALUE(MID(SUBSTITUTE(TRIM(E204),",","."),FIND(":",SUBSTITUTE(TRIM(E204),",","."))+1,99),"."),_xlfn.NUMBERVALUE(SUBSTITUTE(TRIM(E204),",","."),".")),0)))</f>
        <v/>
      </c>
    </row>
    <row r="205" customFormat="false" ht="15" hidden="false" customHeight="false" outlineLevel="0" collapsed="false">
      <c r="A205" s="5"/>
      <c r="B205" s="5"/>
      <c r="C205" s="5"/>
      <c r="D205" s="5"/>
      <c r="E205" s="13"/>
      <c r="F205" s="4" t="str">
        <f aca="false">IF(OR(G205="",H205="",N(G205)=0,N(H205)&lt;=0),"",ROUNDDOWN(1000*(G205/H205)^3,0))</f>
        <v/>
      </c>
      <c r="G205" s="11" t="str">
        <f aca="false">IF(D205="","",SUMIFS('Базовые времена'!$D$2:$D$71,'Базовые времена'!$A$2:$A$71,B205,'Базовые времена'!$B$2:$B$71,C205,'Базовые времена'!$C$2:$C$71,D205))</f>
        <v/>
      </c>
      <c r="H205" s="11" t="str">
        <f aca="false">IF(E205="","",IF(ISNUMBER(E205),IF(E205&lt;1,E205*86400,E205),IFERROR(IF(ISNUMBER(FIND(":",SUBSTITUTE(TRIM(E205),",","."))),VALUE(LEFT(SUBSTITUTE(TRIM(E205),",","."),FIND(":",SUBSTITUTE(TRIM(E205),",","."))-1))*60+_xlfn.NUMBERVALUE(MID(SUBSTITUTE(TRIM(E205),",","."),FIND(":",SUBSTITUTE(TRIM(E205),",","."))+1,99),"."),_xlfn.NUMBERVALUE(SUBSTITUTE(TRIM(E205),",","."),".")),0)))</f>
        <v/>
      </c>
    </row>
    <row r="206" customFormat="false" ht="15" hidden="false" customHeight="false" outlineLevel="0" collapsed="false">
      <c r="A206" s="5"/>
      <c r="B206" s="5"/>
      <c r="C206" s="5"/>
      <c r="D206" s="5"/>
      <c r="E206" s="13"/>
      <c r="F206" s="4" t="str">
        <f aca="false">IF(OR(G206="",H206="",N(G206)=0,N(H206)&lt;=0),"",ROUNDDOWN(1000*(G206/H206)^3,0))</f>
        <v/>
      </c>
      <c r="G206" s="11" t="str">
        <f aca="false">IF(D206="","",SUMIFS('Базовые времена'!$D$2:$D$71,'Базовые времена'!$A$2:$A$71,B206,'Базовые времена'!$B$2:$B$71,C206,'Базовые времена'!$C$2:$C$71,D206))</f>
        <v/>
      </c>
      <c r="H206" s="11" t="str">
        <f aca="false">IF(E206="","",IF(ISNUMBER(E206),IF(E206&lt;1,E206*86400,E206),IFERROR(IF(ISNUMBER(FIND(":",SUBSTITUTE(TRIM(E206),",","."))),VALUE(LEFT(SUBSTITUTE(TRIM(E206),",","."),FIND(":",SUBSTITUTE(TRIM(E206),",","."))-1))*60+_xlfn.NUMBERVALUE(MID(SUBSTITUTE(TRIM(E206),",","."),FIND(":",SUBSTITUTE(TRIM(E206),",","."))+1,99),"."),_xlfn.NUMBERVALUE(SUBSTITUTE(TRIM(E206),",","."),".")),0)))</f>
        <v/>
      </c>
    </row>
    <row r="207" customFormat="false" ht="15" hidden="false" customHeight="false" outlineLevel="0" collapsed="false">
      <c r="A207" s="5"/>
      <c r="B207" s="5"/>
      <c r="C207" s="5"/>
      <c r="D207" s="5"/>
      <c r="E207" s="13"/>
      <c r="F207" s="4" t="str">
        <f aca="false">IF(OR(G207="",H207="",N(G207)=0,N(H207)&lt;=0),"",ROUNDDOWN(1000*(G207/H207)^3,0))</f>
        <v/>
      </c>
      <c r="G207" s="11" t="str">
        <f aca="false">IF(D207="","",SUMIFS('Базовые времена'!$D$2:$D$71,'Базовые времена'!$A$2:$A$71,B207,'Базовые времена'!$B$2:$B$71,C207,'Базовые времена'!$C$2:$C$71,D207))</f>
        <v/>
      </c>
      <c r="H207" s="11" t="str">
        <f aca="false">IF(E207="","",IF(ISNUMBER(E207),IF(E207&lt;1,E207*86400,E207),IFERROR(IF(ISNUMBER(FIND(":",SUBSTITUTE(TRIM(E207),",","."))),VALUE(LEFT(SUBSTITUTE(TRIM(E207),",","."),FIND(":",SUBSTITUTE(TRIM(E207),",","."))-1))*60+_xlfn.NUMBERVALUE(MID(SUBSTITUTE(TRIM(E207),",","."),FIND(":",SUBSTITUTE(TRIM(E207),",","."))+1,99),"."),_xlfn.NUMBERVALUE(SUBSTITUTE(TRIM(E207),",","."),".")),0)))</f>
        <v/>
      </c>
    </row>
    <row r="208" customFormat="false" ht="15" hidden="false" customHeight="false" outlineLevel="0" collapsed="false">
      <c r="A208" s="5"/>
      <c r="B208" s="5"/>
      <c r="C208" s="5"/>
      <c r="D208" s="5"/>
      <c r="E208" s="13"/>
      <c r="F208" s="4" t="str">
        <f aca="false">IF(OR(G208="",H208="",N(G208)=0,N(H208)&lt;=0),"",ROUNDDOWN(1000*(G208/H208)^3,0))</f>
        <v/>
      </c>
      <c r="G208" s="11" t="str">
        <f aca="false">IF(D208="","",SUMIFS('Базовые времена'!$D$2:$D$71,'Базовые времена'!$A$2:$A$71,B208,'Базовые времена'!$B$2:$B$71,C208,'Базовые времена'!$C$2:$C$71,D208))</f>
        <v/>
      </c>
      <c r="H208" s="11" t="str">
        <f aca="false">IF(E208="","",IF(ISNUMBER(E208),IF(E208&lt;1,E208*86400,E208),IFERROR(IF(ISNUMBER(FIND(":",SUBSTITUTE(TRIM(E208),",","."))),VALUE(LEFT(SUBSTITUTE(TRIM(E208),",","."),FIND(":",SUBSTITUTE(TRIM(E208),",","."))-1))*60+_xlfn.NUMBERVALUE(MID(SUBSTITUTE(TRIM(E208),",","."),FIND(":",SUBSTITUTE(TRIM(E208),",","."))+1,99),"."),_xlfn.NUMBERVALUE(SUBSTITUTE(TRIM(E208),",","."),".")),0)))</f>
        <v/>
      </c>
    </row>
    <row r="209" customFormat="false" ht="15" hidden="false" customHeight="false" outlineLevel="0" collapsed="false">
      <c r="A209" s="5"/>
      <c r="B209" s="5"/>
      <c r="C209" s="5"/>
      <c r="D209" s="5"/>
      <c r="E209" s="13"/>
      <c r="F209" s="4" t="str">
        <f aca="false">IF(OR(G209="",H209="",N(G209)=0,N(H209)&lt;=0),"",ROUNDDOWN(1000*(G209/H209)^3,0))</f>
        <v/>
      </c>
      <c r="G209" s="11" t="str">
        <f aca="false">IF(D209="","",SUMIFS('Базовые времена'!$D$2:$D$71,'Базовые времена'!$A$2:$A$71,B209,'Базовые времена'!$B$2:$B$71,C209,'Базовые времена'!$C$2:$C$71,D209))</f>
        <v/>
      </c>
      <c r="H209" s="11" t="str">
        <f aca="false">IF(E209="","",IF(ISNUMBER(E209),IF(E209&lt;1,E209*86400,E209),IFERROR(IF(ISNUMBER(FIND(":",SUBSTITUTE(TRIM(E209),",","."))),VALUE(LEFT(SUBSTITUTE(TRIM(E209),",","."),FIND(":",SUBSTITUTE(TRIM(E209),",","."))-1))*60+_xlfn.NUMBERVALUE(MID(SUBSTITUTE(TRIM(E209),",","."),FIND(":",SUBSTITUTE(TRIM(E209),",","."))+1,99),"."),_xlfn.NUMBERVALUE(SUBSTITUTE(TRIM(E209),",","."),".")),0)))</f>
        <v/>
      </c>
    </row>
    <row r="210" customFormat="false" ht="15" hidden="false" customHeight="false" outlineLevel="0" collapsed="false">
      <c r="A210" s="5"/>
      <c r="B210" s="5"/>
      <c r="C210" s="5"/>
      <c r="D210" s="5"/>
      <c r="E210" s="13"/>
      <c r="F210" s="4" t="str">
        <f aca="false">IF(OR(G210="",H210="",N(G210)=0,N(H210)&lt;=0),"",ROUNDDOWN(1000*(G210/H210)^3,0))</f>
        <v/>
      </c>
      <c r="G210" s="11" t="str">
        <f aca="false">IF(D210="","",SUMIFS('Базовые времена'!$D$2:$D$71,'Базовые времена'!$A$2:$A$71,B210,'Базовые времена'!$B$2:$B$71,C210,'Базовые времена'!$C$2:$C$71,D210))</f>
        <v/>
      </c>
      <c r="H210" s="11" t="str">
        <f aca="false">IF(E210="","",IF(ISNUMBER(E210),IF(E210&lt;1,E210*86400,E210),IFERROR(IF(ISNUMBER(FIND(":",SUBSTITUTE(TRIM(E210),",","."))),VALUE(LEFT(SUBSTITUTE(TRIM(E210),",","."),FIND(":",SUBSTITUTE(TRIM(E210),",","."))-1))*60+_xlfn.NUMBERVALUE(MID(SUBSTITUTE(TRIM(E210),",","."),FIND(":",SUBSTITUTE(TRIM(E210),",","."))+1,99),"."),_xlfn.NUMBERVALUE(SUBSTITUTE(TRIM(E210),",","."),".")),0)))</f>
        <v/>
      </c>
    </row>
    <row r="211" customFormat="false" ht="15" hidden="false" customHeight="false" outlineLevel="0" collapsed="false">
      <c r="A211" s="5"/>
      <c r="B211" s="5"/>
      <c r="C211" s="5"/>
      <c r="D211" s="5"/>
      <c r="E211" s="13"/>
      <c r="F211" s="4" t="str">
        <f aca="false">IF(OR(G211="",H211="",N(G211)=0,N(H211)&lt;=0),"",ROUNDDOWN(1000*(G211/H211)^3,0))</f>
        <v/>
      </c>
      <c r="G211" s="11" t="str">
        <f aca="false">IF(D211="","",SUMIFS('Базовые времена'!$D$2:$D$71,'Базовые времена'!$A$2:$A$71,B211,'Базовые времена'!$B$2:$B$71,C211,'Базовые времена'!$C$2:$C$71,D211))</f>
        <v/>
      </c>
      <c r="H211" s="11" t="str">
        <f aca="false">IF(E211="","",IF(ISNUMBER(E211),IF(E211&lt;1,E211*86400,E211),IFERROR(IF(ISNUMBER(FIND(":",SUBSTITUTE(TRIM(E211),",","."))),VALUE(LEFT(SUBSTITUTE(TRIM(E211),",","."),FIND(":",SUBSTITUTE(TRIM(E211),",","."))-1))*60+_xlfn.NUMBERVALUE(MID(SUBSTITUTE(TRIM(E211),",","."),FIND(":",SUBSTITUTE(TRIM(E211),",","."))+1,99),"."),_xlfn.NUMBERVALUE(SUBSTITUTE(TRIM(E211),",","."),".")),0)))</f>
        <v/>
      </c>
    </row>
    <row r="212" customFormat="false" ht="15" hidden="false" customHeight="false" outlineLevel="0" collapsed="false">
      <c r="A212" s="5"/>
      <c r="B212" s="5"/>
      <c r="C212" s="5"/>
      <c r="D212" s="5"/>
      <c r="E212" s="13"/>
      <c r="F212" s="4" t="str">
        <f aca="false">IF(OR(G212="",H212="",N(G212)=0,N(H212)&lt;=0),"",ROUNDDOWN(1000*(G212/H212)^3,0))</f>
        <v/>
      </c>
      <c r="G212" s="11" t="str">
        <f aca="false">IF(D212="","",SUMIFS('Базовые времена'!$D$2:$D$71,'Базовые времена'!$A$2:$A$71,B212,'Базовые времена'!$B$2:$B$71,C212,'Базовые времена'!$C$2:$C$71,D212))</f>
        <v/>
      </c>
      <c r="H212" s="11" t="str">
        <f aca="false">IF(E212="","",IF(ISNUMBER(E212),IF(E212&lt;1,E212*86400,E212),IFERROR(IF(ISNUMBER(FIND(":",SUBSTITUTE(TRIM(E212),",","."))),VALUE(LEFT(SUBSTITUTE(TRIM(E212),",","."),FIND(":",SUBSTITUTE(TRIM(E212),",","."))-1))*60+_xlfn.NUMBERVALUE(MID(SUBSTITUTE(TRIM(E212),",","."),FIND(":",SUBSTITUTE(TRIM(E212),",","."))+1,99),"."),_xlfn.NUMBERVALUE(SUBSTITUTE(TRIM(E212),",","."),".")),0)))</f>
        <v/>
      </c>
    </row>
    <row r="213" customFormat="false" ht="15" hidden="false" customHeight="false" outlineLevel="0" collapsed="false">
      <c r="A213" s="5"/>
      <c r="B213" s="5"/>
      <c r="C213" s="5"/>
      <c r="D213" s="5"/>
      <c r="E213" s="13"/>
      <c r="F213" s="4" t="str">
        <f aca="false">IF(OR(G213="",H213="",N(G213)=0,N(H213)&lt;=0),"",ROUNDDOWN(1000*(G213/H213)^3,0))</f>
        <v/>
      </c>
      <c r="G213" s="11" t="str">
        <f aca="false">IF(D213="","",SUMIFS('Базовые времена'!$D$2:$D$71,'Базовые времена'!$A$2:$A$71,B213,'Базовые времена'!$B$2:$B$71,C213,'Базовые времена'!$C$2:$C$71,D213))</f>
        <v/>
      </c>
      <c r="H213" s="11" t="str">
        <f aca="false">IF(E213="","",IF(ISNUMBER(E213),IF(E213&lt;1,E213*86400,E213),IFERROR(IF(ISNUMBER(FIND(":",SUBSTITUTE(TRIM(E213),",","."))),VALUE(LEFT(SUBSTITUTE(TRIM(E213),",","."),FIND(":",SUBSTITUTE(TRIM(E213),",","."))-1))*60+_xlfn.NUMBERVALUE(MID(SUBSTITUTE(TRIM(E213),",","."),FIND(":",SUBSTITUTE(TRIM(E213),",","."))+1,99),"."),_xlfn.NUMBERVALUE(SUBSTITUTE(TRIM(E213),",","."),".")),0)))</f>
        <v/>
      </c>
    </row>
    <row r="214" customFormat="false" ht="15" hidden="false" customHeight="false" outlineLevel="0" collapsed="false">
      <c r="A214" s="5"/>
      <c r="B214" s="5"/>
      <c r="C214" s="5"/>
      <c r="D214" s="5"/>
      <c r="E214" s="13"/>
      <c r="F214" s="4" t="str">
        <f aca="false">IF(OR(G214="",H214="",N(G214)=0,N(H214)&lt;=0),"",ROUNDDOWN(1000*(G214/H214)^3,0))</f>
        <v/>
      </c>
      <c r="G214" s="11" t="str">
        <f aca="false">IF(D214="","",SUMIFS('Базовые времена'!$D$2:$D$71,'Базовые времена'!$A$2:$A$71,B214,'Базовые времена'!$B$2:$B$71,C214,'Базовые времена'!$C$2:$C$71,D214))</f>
        <v/>
      </c>
      <c r="H214" s="11" t="str">
        <f aca="false">IF(E214="","",IF(ISNUMBER(E214),IF(E214&lt;1,E214*86400,E214),IFERROR(IF(ISNUMBER(FIND(":",SUBSTITUTE(TRIM(E214),",","."))),VALUE(LEFT(SUBSTITUTE(TRIM(E214),",","."),FIND(":",SUBSTITUTE(TRIM(E214),",","."))-1))*60+_xlfn.NUMBERVALUE(MID(SUBSTITUTE(TRIM(E214),",","."),FIND(":",SUBSTITUTE(TRIM(E214),",","."))+1,99),"."),_xlfn.NUMBERVALUE(SUBSTITUTE(TRIM(E214),",","."),".")),0)))</f>
        <v/>
      </c>
    </row>
    <row r="215" customFormat="false" ht="15" hidden="false" customHeight="false" outlineLevel="0" collapsed="false">
      <c r="A215" s="5"/>
      <c r="B215" s="5"/>
      <c r="C215" s="5"/>
      <c r="D215" s="5"/>
      <c r="E215" s="13"/>
      <c r="F215" s="4" t="str">
        <f aca="false">IF(OR(G215="",H215="",N(G215)=0,N(H215)&lt;=0),"",ROUNDDOWN(1000*(G215/H215)^3,0))</f>
        <v/>
      </c>
      <c r="G215" s="11" t="str">
        <f aca="false">IF(D215="","",SUMIFS('Базовые времена'!$D$2:$D$71,'Базовые времена'!$A$2:$A$71,B215,'Базовые времена'!$B$2:$B$71,C215,'Базовые времена'!$C$2:$C$71,D215))</f>
        <v/>
      </c>
      <c r="H215" s="11" t="str">
        <f aca="false">IF(E215="","",IF(ISNUMBER(E215),IF(E215&lt;1,E215*86400,E215),IFERROR(IF(ISNUMBER(FIND(":",SUBSTITUTE(TRIM(E215),",","."))),VALUE(LEFT(SUBSTITUTE(TRIM(E215),",","."),FIND(":",SUBSTITUTE(TRIM(E215),",","."))-1))*60+_xlfn.NUMBERVALUE(MID(SUBSTITUTE(TRIM(E215),",","."),FIND(":",SUBSTITUTE(TRIM(E215),",","."))+1,99),"."),_xlfn.NUMBERVALUE(SUBSTITUTE(TRIM(E215),",","."),".")),0)))</f>
        <v/>
      </c>
    </row>
    <row r="216" customFormat="false" ht="15" hidden="false" customHeight="false" outlineLevel="0" collapsed="false">
      <c r="A216" s="5"/>
      <c r="B216" s="5"/>
      <c r="C216" s="5"/>
      <c r="D216" s="5"/>
      <c r="E216" s="13"/>
      <c r="F216" s="4" t="str">
        <f aca="false">IF(OR(G216="",H216="",N(G216)=0,N(H216)&lt;=0),"",ROUNDDOWN(1000*(G216/H216)^3,0))</f>
        <v/>
      </c>
      <c r="G216" s="11" t="str">
        <f aca="false">IF(D216="","",SUMIFS('Базовые времена'!$D$2:$D$71,'Базовые времена'!$A$2:$A$71,B216,'Базовые времена'!$B$2:$B$71,C216,'Базовые времена'!$C$2:$C$71,D216))</f>
        <v/>
      </c>
      <c r="H216" s="11" t="str">
        <f aca="false">IF(E216="","",IF(ISNUMBER(E216),IF(E216&lt;1,E216*86400,E216),IFERROR(IF(ISNUMBER(FIND(":",SUBSTITUTE(TRIM(E216),",","."))),VALUE(LEFT(SUBSTITUTE(TRIM(E216),",","."),FIND(":",SUBSTITUTE(TRIM(E216),",","."))-1))*60+_xlfn.NUMBERVALUE(MID(SUBSTITUTE(TRIM(E216),",","."),FIND(":",SUBSTITUTE(TRIM(E216),",","."))+1,99),"."),_xlfn.NUMBERVALUE(SUBSTITUTE(TRIM(E216),",","."),".")),0)))</f>
        <v/>
      </c>
    </row>
    <row r="217" customFormat="false" ht="15" hidden="false" customHeight="false" outlineLevel="0" collapsed="false">
      <c r="A217" s="5"/>
      <c r="B217" s="5"/>
      <c r="C217" s="5"/>
      <c r="D217" s="5"/>
      <c r="E217" s="13"/>
      <c r="F217" s="4" t="str">
        <f aca="false">IF(OR(G217="",H217="",N(G217)=0,N(H217)&lt;=0),"",ROUNDDOWN(1000*(G217/H217)^3,0))</f>
        <v/>
      </c>
      <c r="G217" s="11" t="str">
        <f aca="false">IF(D217="","",SUMIFS('Базовые времена'!$D$2:$D$71,'Базовые времена'!$A$2:$A$71,B217,'Базовые времена'!$B$2:$B$71,C217,'Базовые времена'!$C$2:$C$71,D217))</f>
        <v/>
      </c>
      <c r="H217" s="11" t="str">
        <f aca="false">IF(E217="","",IF(ISNUMBER(E217),IF(E217&lt;1,E217*86400,E217),IFERROR(IF(ISNUMBER(FIND(":",SUBSTITUTE(TRIM(E217),",","."))),VALUE(LEFT(SUBSTITUTE(TRIM(E217),",","."),FIND(":",SUBSTITUTE(TRIM(E217),",","."))-1))*60+_xlfn.NUMBERVALUE(MID(SUBSTITUTE(TRIM(E217),",","."),FIND(":",SUBSTITUTE(TRIM(E217),",","."))+1,99),"."),_xlfn.NUMBERVALUE(SUBSTITUTE(TRIM(E217),",","."),".")),0)))</f>
        <v/>
      </c>
    </row>
    <row r="218" customFormat="false" ht="15" hidden="false" customHeight="false" outlineLevel="0" collapsed="false">
      <c r="A218" s="5"/>
      <c r="B218" s="5"/>
      <c r="C218" s="5"/>
      <c r="D218" s="5"/>
      <c r="E218" s="13"/>
      <c r="F218" s="4" t="str">
        <f aca="false">IF(OR(G218="",H218="",N(G218)=0,N(H218)&lt;=0),"",ROUNDDOWN(1000*(G218/H218)^3,0))</f>
        <v/>
      </c>
      <c r="G218" s="11" t="str">
        <f aca="false">IF(D218="","",SUMIFS('Базовые времена'!$D$2:$D$71,'Базовые времена'!$A$2:$A$71,B218,'Базовые времена'!$B$2:$B$71,C218,'Базовые времена'!$C$2:$C$71,D218))</f>
        <v/>
      </c>
      <c r="H218" s="11" t="str">
        <f aca="false">IF(E218="","",IF(ISNUMBER(E218),IF(E218&lt;1,E218*86400,E218),IFERROR(IF(ISNUMBER(FIND(":",SUBSTITUTE(TRIM(E218),",","."))),VALUE(LEFT(SUBSTITUTE(TRIM(E218),",","."),FIND(":",SUBSTITUTE(TRIM(E218),",","."))-1))*60+_xlfn.NUMBERVALUE(MID(SUBSTITUTE(TRIM(E218),",","."),FIND(":",SUBSTITUTE(TRIM(E218),",","."))+1,99),"."),_xlfn.NUMBERVALUE(SUBSTITUTE(TRIM(E218),",","."),".")),0)))</f>
        <v/>
      </c>
    </row>
    <row r="219" customFormat="false" ht="15" hidden="false" customHeight="false" outlineLevel="0" collapsed="false">
      <c r="A219" s="5"/>
      <c r="B219" s="5"/>
      <c r="C219" s="5"/>
      <c r="D219" s="5"/>
      <c r="E219" s="13"/>
      <c r="F219" s="4" t="str">
        <f aca="false">IF(OR(G219="",H219="",N(G219)=0,N(H219)&lt;=0),"",ROUNDDOWN(1000*(G219/H219)^3,0))</f>
        <v/>
      </c>
      <c r="G219" s="11" t="str">
        <f aca="false">IF(D219="","",SUMIFS('Базовые времена'!$D$2:$D$71,'Базовые времена'!$A$2:$A$71,B219,'Базовые времена'!$B$2:$B$71,C219,'Базовые времена'!$C$2:$C$71,D219))</f>
        <v/>
      </c>
      <c r="H219" s="11" t="str">
        <f aca="false">IF(E219="","",IF(ISNUMBER(E219),IF(E219&lt;1,E219*86400,E219),IFERROR(IF(ISNUMBER(FIND(":",SUBSTITUTE(TRIM(E219),",","."))),VALUE(LEFT(SUBSTITUTE(TRIM(E219),",","."),FIND(":",SUBSTITUTE(TRIM(E219),",","."))-1))*60+_xlfn.NUMBERVALUE(MID(SUBSTITUTE(TRIM(E219),",","."),FIND(":",SUBSTITUTE(TRIM(E219),",","."))+1,99),"."),_xlfn.NUMBERVALUE(SUBSTITUTE(TRIM(E219),",","."),".")),0)))</f>
        <v/>
      </c>
    </row>
    <row r="220" customFormat="false" ht="15" hidden="false" customHeight="false" outlineLevel="0" collapsed="false">
      <c r="A220" s="5"/>
      <c r="B220" s="5"/>
      <c r="C220" s="5"/>
      <c r="D220" s="5"/>
      <c r="E220" s="13"/>
      <c r="F220" s="4" t="str">
        <f aca="false">IF(OR(G220="",H220="",N(G220)=0,N(H220)&lt;=0),"",ROUNDDOWN(1000*(G220/H220)^3,0))</f>
        <v/>
      </c>
      <c r="G220" s="11" t="str">
        <f aca="false">IF(D220="","",SUMIFS('Базовые времена'!$D$2:$D$71,'Базовые времена'!$A$2:$A$71,B220,'Базовые времена'!$B$2:$B$71,C220,'Базовые времена'!$C$2:$C$71,D220))</f>
        <v/>
      </c>
      <c r="H220" s="11" t="str">
        <f aca="false">IF(E220="","",IF(ISNUMBER(E220),IF(E220&lt;1,E220*86400,E220),IFERROR(IF(ISNUMBER(FIND(":",SUBSTITUTE(TRIM(E220),",","."))),VALUE(LEFT(SUBSTITUTE(TRIM(E220),",","."),FIND(":",SUBSTITUTE(TRIM(E220),",","."))-1))*60+_xlfn.NUMBERVALUE(MID(SUBSTITUTE(TRIM(E220),",","."),FIND(":",SUBSTITUTE(TRIM(E220),",","."))+1,99),"."),_xlfn.NUMBERVALUE(SUBSTITUTE(TRIM(E220),",","."),".")),0)))</f>
        <v/>
      </c>
    </row>
    <row r="221" customFormat="false" ht="15" hidden="false" customHeight="false" outlineLevel="0" collapsed="false">
      <c r="A221" s="5"/>
      <c r="B221" s="5"/>
      <c r="C221" s="5"/>
      <c r="D221" s="5"/>
      <c r="E221" s="13"/>
      <c r="F221" s="4" t="str">
        <f aca="false">IF(OR(G221="",H221="",N(G221)=0,N(H221)&lt;=0),"",ROUNDDOWN(1000*(G221/H221)^3,0))</f>
        <v/>
      </c>
      <c r="G221" s="11" t="str">
        <f aca="false">IF(D221="","",SUMIFS('Базовые времена'!$D$2:$D$71,'Базовые времена'!$A$2:$A$71,B221,'Базовые времена'!$B$2:$B$71,C221,'Базовые времена'!$C$2:$C$71,D221))</f>
        <v/>
      </c>
      <c r="H221" s="11" t="str">
        <f aca="false">IF(E221="","",IF(ISNUMBER(E221),IF(E221&lt;1,E221*86400,E221),IFERROR(IF(ISNUMBER(FIND(":",SUBSTITUTE(TRIM(E221),",","."))),VALUE(LEFT(SUBSTITUTE(TRIM(E221),",","."),FIND(":",SUBSTITUTE(TRIM(E221),",","."))-1))*60+_xlfn.NUMBERVALUE(MID(SUBSTITUTE(TRIM(E221),",","."),FIND(":",SUBSTITUTE(TRIM(E221),",","."))+1,99),"."),_xlfn.NUMBERVALUE(SUBSTITUTE(TRIM(E221),",","."),".")),0)))</f>
        <v/>
      </c>
    </row>
    <row r="222" customFormat="false" ht="15" hidden="false" customHeight="false" outlineLevel="0" collapsed="false">
      <c r="A222" s="5"/>
      <c r="B222" s="5"/>
      <c r="C222" s="5"/>
      <c r="D222" s="5"/>
      <c r="E222" s="13"/>
      <c r="F222" s="4" t="str">
        <f aca="false">IF(OR(G222="",H222="",N(G222)=0,N(H222)&lt;=0),"",ROUNDDOWN(1000*(G222/H222)^3,0))</f>
        <v/>
      </c>
      <c r="G222" s="11" t="str">
        <f aca="false">IF(D222="","",SUMIFS('Базовые времена'!$D$2:$D$71,'Базовые времена'!$A$2:$A$71,B222,'Базовые времена'!$B$2:$B$71,C222,'Базовые времена'!$C$2:$C$71,D222))</f>
        <v/>
      </c>
      <c r="H222" s="11" t="str">
        <f aca="false">IF(E222="","",IF(ISNUMBER(E222),IF(E222&lt;1,E222*86400,E222),IFERROR(IF(ISNUMBER(FIND(":",SUBSTITUTE(TRIM(E222),",","."))),VALUE(LEFT(SUBSTITUTE(TRIM(E222),",","."),FIND(":",SUBSTITUTE(TRIM(E222),",","."))-1))*60+_xlfn.NUMBERVALUE(MID(SUBSTITUTE(TRIM(E222),",","."),FIND(":",SUBSTITUTE(TRIM(E222),",","."))+1,99),"."),_xlfn.NUMBERVALUE(SUBSTITUTE(TRIM(E222),",","."),".")),0)))</f>
        <v/>
      </c>
    </row>
    <row r="223" customFormat="false" ht="15" hidden="false" customHeight="false" outlineLevel="0" collapsed="false">
      <c r="A223" s="5"/>
      <c r="B223" s="5"/>
      <c r="C223" s="5"/>
      <c r="D223" s="5"/>
      <c r="E223" s="13"/>
      <c r="F223" s="4" t="str">
        <f aca="false">IF(OR(G223="",H223="",N(G223)=0,N(H223)&lt;=0),"",ROUNDDOWN(1000*(G223/H223)^3,0))</f>
        <v/>
      </c>
      <c r="G223" s="11" t="str">
        <f aca="false">IF(D223="","",SUMIFS('Базовые времена'!$D$2:$D$71,'Базовые времена'!$A$2:$A$71,B223,'Базовые времена'!$B$2:$B$71,C223,'Базовые времена'!$C$2:$C$71,D223))</f>
        <v/>
      </c>
      <c r="H223" s="11" t="str">
        <f aca="false">IF(E223="","",IF(ISNUMBER(E223),IF(E223&lt;1,E223*86400,E223),IFERROR(IF(ISNUMBER(FIND(":",SUBSTITUTE(TRIM(E223),",","."))),VALUE(LEFT(SUBSTITUTE(TRIM(E223),",","."),FIND(":",SUBSTITUTE(TRIM(E223),",","."))-1))*60+_xlfn.NUMBERVALUE(MID(SUBSTITUTE(TRIM(E223),",","."),FIND(":",SUBSTITUTE(TRIM(E223),",","."))+1,99),"."),_xlfn.NUMBERVALUE(SUBSTITUTE(TRIM(E223),",","."),".")),0)))</f>
        <v/>
      </c>
    </row>
    <row r="224" customFormat="false" ht="15" hidden="false" customHeight="false" outlineLevel="0" collapsed="false">
      <c r="A224" s="5"/>
      <c r="B224" s="5"/>
      <c r="C224" s="5"/>
      <c r="D224" s="5"/>
      <c r="E224" s="13"/>
      <c r="F224" s="4" t="str">
        <f aca="false">IF(OR(G224="",H224="",N(G224)=0,N(H224)&lt;=0),"",ROUNDDOWN(1000*(G224/H224)^3,0))</f>
        <v/>
      </c>
      <c r="G224" s="11" t="str">
        <f aca="false">IF(D224="","",SUMIFS('Базовые времена'!$D$2:$D$71,'Базовые времена'!$A$2:$A$71,B224,'Базовые времена'!$B$2:$B$71,C224,'Базовые времена'!$C$2:$C$71,D224))</f>
        <v/>
      </c>
      <c r="H224" s="11" t="str">
        <f aca="false">IF(E224="","",IF(ISNUMBER(E224),IF(E224&lt;1,E224*86400,E224),IFERROR(IF(ISNUMBER(FIND(":",SUBSTITUTE(TRIM(E224),",","."))),VALUE(LEFT(SUBSTITUTE(TRIM(E224),",","."),FIND(":",SUBSTITUTE(TRIM(E224),",","."))-1))*60+_xlfn.NUMBERVALUE(MID(SUBSTITUTE(TRIM(E224),",","."),FIND(":",SUBSTITUTE(TRIM(E224),",","."))+1,99),"."),_xlfn.NUMBERVALUE(SUBSTITUTE(TRIM(E224),",","."),".")),0)))</f>
        <v/>
      </c>
    </row>
    <row r="225" customFormat="false" ht="15" hidden="false" customHeight="false" outlineLevel="0" collapsed="false">
      <c r="A225" s="5"/>
      <c r="B225" s="5"/>
      <c r="C225" s="5"/>
      <c r="D225" s="5"/>
      <c r="E225" s="13"/>
      <c r="F225" s="4" t="str">
        <f aca="false">IF(OR(G225="",H225="",N(G225)=0,N(H225)&lt;=0),"",ROUNDDOWN(1000*(G225/H225)^3,0))</f>
        <v/>
      </c>
      <c r="G225" s="11" t="str">
        <f aca="false">IF(D225="","",SUMIFS('Базовые времена'!$D$2:$D$71,'Базовые времена'!$A$2:$A$71,B225,'Базовые времена'!$B$2:$B$71,C225,'Базовые времена'!$C$2:$C$71,D225))</f>
        <v/>
      </c>
      <c r="H225" s="11" t="str">
        <f aca="false">IF(E225="","",IF(ISNUMBER(E225),IF(E225&lt;1,E225*86400,E225),IFERROR(IF(ISNUMBER(FIND(":",SUBSTITUTE(TRIM(E225),",","."))),VALUE(LEFT(SUBSTITUTE(TRIM(E225),",","."),FIND(":",SUBSTITUTE(TRIM(E225),",","."))-1))*60+_xlfn.NUMBERVALUE(MID(SUBSTITUTE(TRIM(E225),",","."),FIND(":",SUBSTITUTE(TRIM(E225),",","."))+1,99),"."),_xlfn.NUMBERVALUE(SUBSTITUTE(TRIM(E225),",","."),".")),0)))</f>
        <v/>
      </c>
    </row>
    <row r="226" customFormat="false" ht="15" hidden="false" customHeight="false" outlineLevel="0" collapsed="false">
      <c r="A226" s="5"/>
      <c r="B226" s="5"/>
      <c r="C226" s="5"/>
      <c r="D226" s="5"/>
      <c r="E226" s="13"/>
      <c r="F226" s="4" t="str">
        <f aca="false">IF(OR(G226="",H226="",N(G226)=0,N(H226)&lt;=0),"",ROUNDDOWN(1000*(G226/H226)^3,0))</f>
        <v/>
      </c>
      <c r="G226" s="11" t="str">
        <f aca="false">IF(D226="","",SUMIFS('Базовые времена'!$D$2:$D$71,'Базовые времена'!$A$2:$A$71,B226,'Базовые времена'!$B$2:$B$71,C226,'Базовые времена'!$C$2:$C$71,D226))</f>
        <v/>
      </c>
      <c r="H226" s="11" t="str">
        <f aca="false">IF(E226="","",IF(ISNUMBER(E226),IF(E226&lt;1,E226*86400,E226),IFERROR(IF(ISNUMBER(FIND(":",SUBSTITUTE(TRIM(E226),",","."))),VALUE(LEFT(SUBSTITUTE(TRIM(E226),",","."),FIND(":",SUBSTITUTE(TRIM(E226),",","."))-1))*60+_xlfn.NUMBERVALUE(MID(SUBSTITUTE(TRIM(E226),",","."),FIND(":",SUBSTITUTE(TRIM(E226),",","."))+1,99),"."),_xlfn.NUMBERVALUE(SUBSTITUTE(TRIM(E226),",","."),".")),0)))</f>
        <v/>
      </c>
    </row>
    <row r="227" customFormat="false" ht="15" hidden="false" customHeight="false" outlineLevel="0" collapsed="false">
      <c r="A227" s="5"/>
      <c r="B227" s="5"/>
      <c r="C227" s="5"/>
      <c r="D227" s="5"/>
      <c r="E227" s="13"/>
      <c r="F227" s="4" t="str">
        <f aca="false">IF(OR(G227="",H227="",N(G227)=0,N(H227)&lt;=0),"",ROUNDDOWN(1000*(G227/H227)^3,0))</f>
        <v/>
      </c>
      <c r="G227" s="11" t="str">
        <f aca="false">IF(D227="","",SUMIFS('Базовые времена'!$D$2:$D$71,'Базовые времена'!$A$2:$A$71,B227,'Базовые времена'!$B$2:$B$71,C227,'Базовые времена'!$C$2:$C$71,D227))</f>
        <v/>
      </c>
      <c r="H227" s="11" t="str">
        <f aca="false">IF(E227="","",IF(ISNUMBER(E227),IF(E227&lt;1,E227*86400,E227),IFERROR(IF(ISNUMBER(FIND(":",SUBSTITUTE(TRIM(E227),",","."))),VALUE(LEFT(SUBSTITUTE(TRIM(E227),",","."),FIND(":",SUBSTITUTE(TRIM(E227),",","."))-1))*60+_xlfn.NUMBERVALUE(MID(SUBSTITUTE(TRIM(E227),",","."),FIND(":",SUBSTITUTE(TRIM(E227),",","."))+1,99),"."),_xlfn.NUMBERVALUE(SUBSTITUTE(TRIM(E227),",","."),".")),0)))</f>
        <v/>
      </c>
    </row>
    <row r="228" customFormat="false" ht="15" hidden="false" customHeight="false" outlineLevel="0" collapsed="false">
      <c r="A228" s="5"/>
      <c r="B228" s="5"/>
      <c r="C228" s="5"/>
      <c r="D228" s="5"/>
      <c r="E228" s="13"/>
      <c r="F228" s="4" t="str">
        <f aca="false">IF(OR(G228="",H228="",N(G228)=0,N(H228)&lt;=0),"",ROUNDDOWN(1000*(G228/H228)^3,0))</f>
        <v/>
      </c>
      <c r="G228" s="11" t="str">
        <f aca="false">IF(D228="","",SUMIFS('Базовые времена'!$D$2:$D$71,'Базовые времена'!$A$2:$A$71,B228,'Базовые времена'!$B$2:$B$71,C228,'Базовые времена'!$C$2:$C$71,D228))</f>
        <v/>
      </c>
      <c r="H228" s="11" t="str">
        <f aca="false">IF(E228="","",IF(ISNUMBER(E228),IF(E228&lt;1,E228*86400,E228),IFERROR(IF(ISNUMBER(FIND(":",SUBSTITUTE(TRIM(E228),",","."))),VALUE(LEFT(SUBSTITUTE(TRIM(E228),",","."),FIND(":",SUBSTITUTE(TRIM(E228),",","."))-1))*60+_xlfn.NUMBERVALUE(MID(SUBSTITUTE(TRIM(E228),",","."),FIND(":",SUBSTITUTE(TRIM(E228),",","."))+1,99),"."),_xlfn.NUMBERVALUE(SUBSTITUTE(TRIM(E228),",","."),".")),0)))</f>
        <v/>
      </c>
    </row>
    <row r="229" customFormat="false" ht="15" hidden="false" customHeight="false" outlineLevel="0" collapsed="false">
      <c r="A229" s="5"/>
      <c r="B229" s="5"/>
      <c r="C229" s="5"/>
      <c r="D229" s="5"/>
      <c r="E229" s="13"/>
      <c r="F229" s="4" t="str">
        <f aca="false">IF(OR(G229="",H229="",N(G229)=0,N(H229)&lt;=0),"",ROUNDDOWN(1000*(G229/H229)^3,0))</f>
        <v/>
      </c>
      <c r="G229" s="11" t="str">
        <f aca="false">IF(D229="","",SUMIFS('Базовые времена'!$D$2:$D$71,'Базовые времена'!$A$2:$A$71,B229,'Базовые времена'!$B$2:$B$71,C229,'Базовые времена'!$C$2:$C$71,D229))</f>
        <v/>
      </c>
      <c r="H229" s="11" t="str">
        <f aca="false">IF(E229="","",IF(ISNUMBER(E229),IF(E229&lt;1,E229*86400,E229),IFERROR(IF(ISNUMBER(FIND(":",SUBSTITUTE(TRIM(E229),",","."))),VALUE(LEFT(SUBSTITUTE(TRIM(E229),",","."),FIND(":",SUBSTITUTE(TRIM(E229),",","."))-1))*60+_xlfn.NUMBERVALUE(MID(SUBSTITUTE(TRIM(E229),",","."),FIND(":",SUBSTITUTE(TRIM(E229),",","."))+1,99),"."),_xlfn.NUMBERVALUE(SUBSTITUTE(TRIM(E229),",","."),".")),0)))</f>
        <v/>
      </c>
    </row>
    <row r="230" customFormat="false" ht="15" hidden="false" customHeight="false" outlineLevel="0" collapsed="false">
      <c r="A230" s="5"/>
      <c r="B230" s="5"/>
      <c r="C230" s="5"/>
      <c r="D230" s="5"/>
      <c r="E230" s="13"/>
      <c r="F230" s="4" t="str">
        <f aca="false">IF(OR(G230="",H230="",N(G230)=0,N(H230)&lt;=0),"",ROUNDDOWN(1000*(G230/H230)^3,0))</f>
        <v/>
      </c>
      <c r="G230" s="11" t="str">
        <f aca="false">IF(D230="","",SUMIFS('Базовые времена'!$D$2:$D$71,'Базовые времена'!$A$2:$A$71,B230,'Базовые времена'!$B$2:$B$71,C230,'Базовые времена'!$C$2:$C$71,D230))</f>
        <v/>
      </c>
      <c r="H230" s="11" t="str">
        <f aca="false">IF(E230="","",IF(ISNUMBER(E230),IF(E230&lt;1,E230*86400,E230),IFERROR(IF(ISNUMBER(FIND(":",SUBSTITUTE(TRIM(E230),",","."))),VALUE(LEFT(SUBSTITUTE(TRIM(E230),",","."),FIND(":",SUBSTITUTE(TRIM(E230),",","."))-1))*60+_xlfn.NUMBERVALUE(MID(SUBSTITUTE(TRIM(E230),",","."),FIND(":",SUBSTITUTE(TRIM(E230),",","."))+1,99),"."),_xlfn.NUMBERVALUE(SUBSTITUTE(TRIM(E230),",","."),".")),0)))</f>
        <v/>
      </c>
    </row>
    <row r="231" customFormat="false" ht="15" hidden="false" customHeight="false" outlineLevel="0" collapsed="false">
      <c r="A231" s="5"/>
      <c r="B231" s="5"/>
      <c r="C231" s="5"/>
      <c r="D231" s="5"/>
      <c r="E231" s="13"/>
      <c r="F231" s="4" t="str">
        <f aca="false">IF(OR(G231="",H231="",N(G231)=0,N(H231)&lt;=0),"",ROUNDDOWN(1000*(G231/H231)^3,0))</f>
        <v/>
      </c>
      <c r="G231" s="11" t="str">
        <f aca="false">IF(D231="","",SUMIFS('Базовые времена'!$D$2:$D$71,'Базовые времена'!$A$2:$A$71,B231,'Базовые времена'!$B$2:$B$71,C231,'Базовые времена'!$C$2:$C$71,D231))</f>
        <v/>
      </c>
      <c r="H231" s="11" t="str">
        <f aca="false">IF(E231="","",IF(ISNUMBER(E231),IF(E231&lt;1,E231*86400,E231),IFERROR(IF(ISNUMBER(FIND(":",SUBSTITUTE(TRIM(E231),",","."))),VALUE(LEFT(SUBSTITUTE(TRIM(E231),",","."),FIND(":",SUBSTITUTE(TRIM(E231),",","."))-1))*60+_xlfn.NUMBERVALUE(MID(SUBSTITUTE(TRIM(E231),",","."),FIND(":",SUBSTITUTE(TRIM(E231),",","."))+1,99),"."),_xlfn.NUMBERVALUE(SUBSTITUTE(TRIM(E231),",","."),".")),0)))</f>
        <v/>
      </c>
    </row>
    <row r="232" customFormat="false" ht="15" hidden="false" customHeight="false" outlineLevel="0" collapsed="false">
      <c r="A232" s="5"/>
      <c r="B232" s="5"/>
      <c r="C232" s="5"/>
      <c r="D232" s="5"/>
      <c r="E232" s="13"/>
      <c r="F232" s="4" t="str">
        <f aca="false">IF(OR(G232="",H232="",N(G232)=0,N(H232)&lt;=0),"",ROUNDDOWN(1000*(G232/H232)^3,0))</f>
        <v/>
      </c>
      <c r="G232" s="11" t="str">
        <f aca="false">IF(D232="","",SUMIFS('Базовые времена'!$D$2:$D$71,'Базовые времена'!$A$2:$A$71,B232,'Базовые времена'!$B$2:$B$71,C232,'Базовые времена'!$C$2:$C$71,D232))</f>
        <v/>
      </c>
      <c r="H232" s="11" t="str">
        <f aca="false">IF(E232="","",IF(ISNUMBER(E232),IF(E232&lt;1,E232*86400,E232),IFERROR(IF(ISNUMBER(FIND(":",SUBSTITUTE(TRIM(E232),",","."))),VALUE(LEFT(SUBSTITUTE(TRIM(E232),",","."),FIND(":",SUBSTITUTE(TRIM(E232),",","."))-1))*60+_xlfn.NUMBERVALUE(MID(SUBSTITUTE(TRIM(E232),",","."),FIND(":",SUBSTITUTE(TRIM(E232),",","."))+1,99),"."),_xlfn.NUMBERVALUE(SUBSTITUTE(TRIM(E232),",","."),".")),0)))</f>
        <v/>
      </c>
    </row>
    <row r="233" customFormat="false" ht="15" hidden="false" customHeight="false" outlineLevel="0" collapsed="false">
      <c r="A233" s="5"/>
      <c r="B233" s="5"/>
      <c r="C233" s="5"/>
      <c r="D233" s="5"/>
      <c r="E233" s="13"/>
      <c r="F233" s="4" t="str">
        <f aca="false">IF(OR(G233="",H233="",N(G233)=0,N(H233)&lt;=0),"",ROUNDDOWN(1000*(G233/H233)^3,0))</f>
        <v/>
      </c>
      <c r="G233" s="11" t="str">
        <f aca="false">IF(D233="","",SUMIFS('Базовые времена'!$D$2:$D$71,'Базовые времена'!$A$2:$A$71,B233,'Базовые времена'!$B$2:$B$71,C233,'Базовые времена'!$C$2:$C$71,D233))</f>
        <v/>
      </c>
      <c r="H233" s="11" t="str">
        <f aca="false">IF(E233="","",IF(ISNUMBER(E233),IF(E233&lt;1,E233*86400,E233),IFERROR(IF(ISNUMBER(FIND(":",SUBSTITUTE(TRIM(E233),",","."))),VALUE(LEFT(SUBSTITUTE(TRIM(E233),",","."),FIND(":",SUBSTITUTE(TRIM(E233),",","."))-1))*60+_xlfn.NUMBERVALUE(MID(SUBSTITUTE(TRIM(E233),",","."),FIND(":",SUBSTITUTE(TRIM(E233),",","."))+1,99),"."),_xlfn.NUMBERVALUE(SUBSTITUTE(TRIM(E233),",","."),".")),0)))</f>
        <v/>
      </c>
    </row>
    <row r="234" customFormat="false" ht="15" hidden="false" customHeight="false" outlineLevel="0" collapsed="false">
      <c r="A234" s="5"/>
      <c r="B234" s="5"/>
      <c r="C234" s="5"/>
      <c r="D234" s="5"/>
      <c r="E234" s="13"/>
      <c r="F234" s="4" t="str">
        <f aca="false">IF(OR(G234="",H234="",N(G234)=0,N(H234)&lt;=0),"",ROUNDDOWN(1000*(G234/H234)^3,0))</f>
        <v/>
      </c>
      <c r="G234" s="11" t="str">
        <f aca="false">IF(D234="","",SUMIFS('Базовые времена'!$D$2:$D$71,'Базовые времена'!$A$2:$A$71,B234,'Базовые времена'!$B$2:$B$71,C234,'Базовые времена'!$C$2:$C$71,D234))</f>
        <v/>
      </c>
      <c r="H234" s="11" t="str">
        <f aca="false">IF(E234="","",IF(ISNUMBER(E234),IF(E234&lt;1,E234*86400,E234),IFERROR(IF(ISNUMBER(FIND(":",SUBSTITUTE(TRIM(E234),",","."))),VALUE(LEFT(SUBSTITUTE(TRIM(E234),",","."),FIND(":",SUBSTITUTE(TRIM(E234),",","."))-1))*60+_xlfn.NUMBERVALUE(MID(SUBSTITUTE(TRIM(E234),",","."),FIND(":",SUBSTITUTE(TRIM(E234),",","."))+1,99),"."),_xlfn.NUMBERVALUE(SUBSTITUTE(TRIM(E234),",","."),".")),0)))</f>
        <v/>
      </c>
    </row>
    <row r="235" customFormat="false" ht="15" hidden="false" customHeight="false" outlineLevel="0" collapsed="false">
      <c r="A235" s="5"/>
      <c r="B235" s="5"/>
      <c r="C235" s="5"/>
      <c r="D235" s="5"/>
      <c r="E235" s="13"/>
      <c r="F235" s="4" t="str">
        <f aca="false">IF(OR(G235="",H235="",N(G235)=0,N(H235)&lt;=0),"",ROUNDDOWN(1000*(G235/H235)^3,0))</f>
        <v/>
      </c>
      <c r="G235" s="11" t="str">
        <f aca="false">IF(D235="","",SUMIFS('Базовые времена'!$D$2:$D$71,'Базовые времена'!$A$2:$A$71,B235,'Базовые времена'!$B$2:$B$71,C235,'Базовые времена'!$C$2:$C$71,D235))</f>
        <v/>
      </c>
      <c r="H235" s="11" t="str">
        <f aca="false">IF(E235="","",IF(ISNUMBER(E235),IF(E235&lt;1,E235*86400,E235),IFERROR(IF(ISNUMBER(FIND(":",SUBSTITUTE(TRIM(E235),",","."))),VALUE(LEFT(SUBSTITUTE(TRIM(E235),",","."),FIND(":",SUBSTITUTE(TRIM(E235),",","."))-1))*60+_xlfn.NUMBERVALUE(MID(SUBSTITUTE(TRIM(E235),",","."),FIND(":",SUBSTITUTE(TRIM(E235),",","."))+1,99),"."),_xlfn.NUMBERVALUE(SUBSTITUTE(TRIM(E235),",","."),".")),0)))</f>
        <v/>
      </c>
    </row>
    <row r="236" customFormat="false" ht="15" hidden="false" customHeight="false" outlineLevel="0" collapsed="false">
      <c r="A236" s="5"/>
      <c r="B236" s="5"/>
      <c r="C236" s="5"/>
      <c r="D236" s="5"/>
      <c r="E236" s="13"/>
      <c r="F236" s="4" t="str">
        <f aca="false">IF(OR(G236="",H236="",N(G236)=0,N(H236)&lt;=0),"",ROUNDDOWN(1000*(G236/H236)^3,0))</f>
        <v/>
      </c>
      <c r="G236" s="11" t="str">
        <f aca="false">IF(D236="","",SUMIFS('Базовые времена'!$D$2:$D$71,'Базовые времена'!$A$2:$A$71,B236,'Базовые времена'!$B$2:$B$71,C236,'Базовые времена'!$C$2:$C$71,D236))</f>
        <v/>
      </c>
      <c r="H236" s="11" t="str">
        <f aca="false">IF(E236="","",IF(ISNUMBER(E236),IF(E236&lt;1,E236*86400,E236),IFERROR(IF(ISNUMBER(FIND(":",SUBSTITUTE(TRIM(E236),",","."))),VALUE(LEFT(SUBSTITUTE(TRIM(E236),",","."),FIND(":",SUBSTITUTE(TRIM(E236),",","."))-1))*60+_xlfn.NUMBERVALUE(MID(SUBSTITUTE(TRIM(E236),",","."),FIND(":",SUBSTITUTE(TRIM(E236),",","."))+1,99),"."),_xlfn.NUMBERVALUE(SUBSTITUTE(TRIM(E236),",","."),".")),0)))</f>
        <v/>
      </c>
    </row>
    <row r="237" customFormat="false" ht="15" hidden="false" customHeight="false" outlineLevel="0" collapsed="false">
      <c r="A237" s="5"/>
      <c r="B237" s="5"/>
      <c r="C237" s="5"/>
      <c r="D237" s="5"/>
      <c r="E237" s="13"/>
      <c r="F237" s="4" t="str">
        <f aca="false">IF(OR(G237="",H237="",N(G237)=0,N(H237)&lt;=0),"",ROUNDDOWN(1000*(G237/H237)^3,0))</f>
        <v/>
      </c>
      <c r="G237" s="11" t="str">
        <f aca="false">IF(D237="","",SUMIFS('Базовые времена'!$D$2:$D$71,'Базовые времена'!$A$2:$A$71,B237,'Базовые времена'!$B$2:$B$71,C237,'Базовые времена'!$C$2:$C$71,D237))</f>
        <v/>
      </c>
      <c r="H237" s="11" t="str">
        <f aca="false">IF(E237="","",IF(ISNUMBER(E237),IF(E237&lt;1,E237*86400,E237),IFERROR(IF(ISNUMBER(FIND(":",SUBSTITUTE(TRIM(E237),",","."))),VALUE(LEFT(SUBSTITUTE(TRIM(E237),",","."),FIND(":",SUBSTITUTE(TRIM(E237),",","."))-1))*60+_xlfn.NUMBERVALUE(MID(SUBSTITUTE(TRIM(E237),",","."),FIND(":",SUBSTITUTE(TRIM(E237),",","."))+1,99),"."),_xlfn.NUMBERVALUE(SUBSTITUTE(TRIM(E237),",","."),".")),0)))</f>
        <v/>
      </c>
    </row>
    <row r="238" customFormat="false" ht="15" hidden="false" customHeight="false" outlineLevel="0" collapsed="false">
      <c r="A238" s="5"/>
      <c r="B238" s="5"/>
      <c r="C238" s="5"/>
      <c r="D238" s="5"/>
      <c r="E238" s="13"/>
      <c r="F238" s="4" t="str">
        <f aca="false">IF(OR(G238="",H238="",N(G238)=0,N(H238)&lt;=0),"",ROUNDDOWN(1000*(G238/H238)^3,0))</f>
        <v/>
      </c>
      <c r="G238" s="11" t="str">
        <f aca="false">IF(D238="","",SUMIFS('Базовые времена'!$D$2:$D$71,'Базовые времена'!$A$2:$A$71,B238,'Базовые времена'!$B$2:$B$71,C238,'Базовые времена'!$C$2:$C$71,D238))</f>
        <v/>
      </c>
      <c r="H238" s="11" t="str">
        <f aca="false">IF(E238="","",IF(ISNUMBER(E238),IF(E238&lt;1,E238*86400,E238),IFERROR(IF(ISNUMBER(FIND(":",SUBSTITUTE(TRIM(E238),",","."))),VALUE(LEFT(SUBSTITUTE(TRIM(E238),",","."),FIND(":",SUBSTITUTE(TRIM(E238),",","."))-1))*60+_xlfn.NUMBERVALUE(MID(SUBSTITUTE(TRIM(E238),",","."),FIND(":",SUBSTITUTE(TRIM(E238),",","."))+1,99),"."),_xlfn.NUMBERVALUE(SUBSTITUTE(TRIM(E238),",","."),".")),0)))</f>
        <v/>
      </c>
    </row>
    <row r="239" customFormat="false" ht="15" hidden="false" customHeight="false" outlineLevel="0" collapsed="false">
      <c r="A239" s="5"/>
      <c r="B239" s="5"/>
      <c r="C239" s="5"/>
      <c r="D239" s="5"/>
      <c r="E239" s="13"/>
      <c r="F239" s="4" t="str">
        <f aca="false">IF(OR(G239="",H239="",N(G239)=0,N(H239)&lt;=0),"",ROUNDDOWN(1000*(G239/H239)^3,0))</f>
        <v/>
      </c>
      <c r="G239" s="11" t="str">
        <f aca="false">IF(D239="","",SUMIFS('Базовые времена'!$D$2:$D$71,'Базовые времена'!$A$2:$A$71,B239,'Базовые времена'!$B$2:$B$71,C239,'Базовые времена'!$C$2:$C$71,D239))</f>
        <v/>
      </c>
      <c r="H239" s="11" t="str">
        <f aca="false">IF(E239="","",IF(ISNUMBER(E239),IF(E239&lt;1,E239*86400,E239),IFERROR(IF(ISNUMBER(FIND(":",SUBSTITUTE(TRIM(E239),",","."))),VALUE(LEFT(SUBSTITUTE(TRIM(E239),",","."),FIND(":",SUBSTITUTE(TRIM(E239),",","."))-1))*60+_xlfn.NUMBERVALUE(MID(SUBSTITUTE(TRIM(E239),",","."),FIND(":",SUBSTITUTE(TRIM(E239),",","."))+1,99),"."),_xlfn.NUMBERVALUE(SUBSTITUTE(TRIM(E239),",","."),".")),0)))</f>
        <v/>
      </c>
    </row>
    <row r="240" customFormat="false" ht="15" hidden="false" customHeight="false" outlineLevel="0" collapsed="false">
      <c r="A240" s="5"/>
      <c r="B240" s="5"/>
      <c r="C240" s="5"/>
      <c r="D240" s="5"/>
      <c r="E240" s="13"/>
      <c r="F240" s="4" t="str">
        <f aca="false">IF(OR(G240="",H240="",N(G240)=0,N(H240)&lt;=0),"",ROUNDDOWN(1000*(G240/H240)^3,0))</f>
        <v/>
      </c>
      <c r="G240" s="11" t="str">
        <f aca="false">IF(D240="","",SUMIFS('Базовые времена'!$D$2:$D$71,'Базовые времена'!$A$2:$A$71,B240,'Базовые времена'!$B$2:$B$71,C240,'Базовые времена'!$C$2:$C$71,D240))</f>
        <v/>
      </c>
      <c r="H240" s="11" t="str">
        <f aca="false">IF(E240="","",IF(ISNUMBER(E240),IF(E240&lt;1,E240*86400,E240),IFERROR(IF(ISNUMBER(FIND(":",SUBSTITUTE(TRIM(E240),",","."))),VALUE(LEFT(SUBSTITUTE(TRIM(E240),",","."),FIND(":",SUBSTITUTE(TRIM(E240),",","."))-1))*60+_xlfn.NUMBERVALUE(MID(SUBSTITUTE(TRIM(E240),",","."),FIND(":",SUBSTITUTE(TRIM(E240),",","."))+1,99),"."),_xlfn.NUMBERVALUE(SUBSTITUTE(TRIM(E240),",","."),".")),0)))</f>
        <v/>
      </c>
    </row>
    <row r="241" customFormat="false" ht="15" hidden="false" customHeight="false" outlineLevel="0" collapsed="false">
      <c r="A241" s="5"/>
      <c r="B241" s="5"/>
      <c r="C241" s="5"/>
      <c r="D241" s="5"/>
      <c r="E241" s="13"/>
      <c r="F241" s="4" t="str">
        <f aca="false">IF(OR(G241="",H241="",N(G241)=0,N(H241)&lt;=0),"",ROUNDDOWN(1000*(G241/H241)^3,0))</f>
        <v/>
      </c>
      <c r="G241" s="11" t="str">
        <f aca="false">IF(D241="","",SUMIFS('Базовые времена'!$D$2:$D$71,'Базовые времена'!$A$2:$A$71,B241,'Базовые времена'!$B$2:$B$71,C241,'Базовые времена'!$C$2:$C$71,D241))</f>
        <v/>
      </c>
      <c r="H241" s="11" t="str">
        <f aca="false">IF(E241="","",IF(ISNUMBER(E241),IF(E241&lt;1,E241*86400,E241),IFERROR(IF(ISNUMBER(FIND(":",SUBSTITUTE(TRIM(E241),",","."))),VALUE(LEFT(SUBSTITUTE(TRIM(E241),",","."),FIND(":",SUBSTITUTE(TRIM(E241),",","."))-1))*60+_xlfn.NUMBERVALUE(MID(SUBSTITUTE(TRIM(E241),",","."),FIND(":",SUBSTITUTE(TRIM(E241),",","."))+1,99),"."),_xlfn.NUMBERVALUE(SUBSTITUTE(TRIM(E241),",","."),".")),0)))</f>
        <v/>
      </c>
    </row>
    <row r="242" customFormat="false" ht="15" hidden="false" customHeight="false" outlineLevel="0" collapsed="false">
      <c r="A242" s="5"/>
      <c r="B242" s="5"/>
      <c r="C242" s="5"/>
      <c r="D242" s="5"/>
      <c r="E242" s="13"/>
      <c r="F242" s="4" t="str">
        <f aca="false">IF(OR(G242="",H242="",N(G242)=0,N(H242)&lt;=0),"",ROUNDDOWN(1000*(G242/H242)^3,0))</f>
        <v/>
      </c>
      <c r="G242" s="11" t="str">
        <f aca="false">IF(D242="","",SUMIFS('Базовые времена'!$D$2:$D$71,'Базовые времена'!$A$2:$A$71,B242,'Базовые времена'!$B$2:$B$71,C242,'Базовые времена'!$C$2:$C$71,D242))</f>
        <v/>
      </c>
      <c r="H242" s="11" t="str">
        <f aca="false">IF(E242="","",IF(ISNUMBER(E242),IF(E242&lt;1,E242*86400,E242),IFERROR(IF(ISNUMBER(FIND(":",SUBSTITUTE(TRIM(E242),",","."))),VALUE(LEFT(SUBSTITUTE(TRIM(E242),",","."),FIND(":",SUBSTITUTE(TRIM(E242),",","."))-1))*60+_xlfn.NUMBERVALUE(MID(SUBSTITUTE(TRIM(E242),",","."),FIND(":",SUBSTITUTE(TRIM(E242),",","."))+1,99),"."),_xlfn.NUMBERVALUE(SUBSTITUTE(TRIM(E242),",","."),".")),0)))</f>
        <v/>
      </c>
    </row>
    <row r="243" customFormat="false" ht="15" hidden="false" customHeight="false" outlineLevel="0" collapsed="false">
      <c r="A243" s="5"/>
      <c r="B243" s="5"/>
      <c r="C243" s="5"/>
      <c r="D243" s="5"/>
      <c r="E243" s="13"/>
      <c r="F243" s="4" t="str">
        <f aca="false">IF(OR(G243="",H243="",N(G243)=0,N(H243)&lt;=0),"",ROUNDDOWN(1000*(G243/H243)^3,0))</f>
        <v/>
      </c>
      <c r="G243" s="11" t="str">
        <f aca="false">IF(D243="","",SUMIFS('Базовые времена'!$D$2:$D$71,'Базовые времена'!$A$2:$A$71,B243,'Базовые времена'!$B$2:$B$71,C243,'Базовые времена'!$C$2:$C$71,D243))</f>
        <v/>
      </c>
      <c r="H243" s="11" t="str">
        <f aca="false">IF(E243="","",IF(ISNUMBER(E243),IF(E243&lt;1,E243*86400,E243),IFERROR(IF(ISNUMBER(FIND(":",SUBSTITUTE(TRIM(E243),",","."))),VALUE(LEFT(SUBSTITUTE(TRIM(E243),",","."),FIND(":",SUBSTITUTE(TRIM(E243),",","."))-1))*60+_xlfn.NUMBERVALUE(MID(SUBSTITUTE(TRIM(E243),",","."),FIND(":",SUBSTITUTE(TRIM(E243),",","."))+1,99),"."),_xlfn.NUMBERVALUE(SUBSTITUTE(TRIM(E243),",","."),".")),0)))</f>
        <v/>
      </c>
    </row>
    <row r="244" customFormat="false" ht="15" hidden="false" customHeight="false" outlineLevel="0" collapsed="false">
      <c r="A244" s="5"/>
      <c r="B244" s="5"/>
      <c r="C244" s="5"/>
      <c r="D244" s="5"/>
      <c r="E244" s="13"/>
      <c r="F244" s="4" t="str">
        <f aca="false">IF(OR(G244="",H244="",N(G244)=0,N(H244)&lt;=0),"",ROUNDDOWN(1000*(G244/H244)^3,0))</f>
        <v/>
      </c>
      <c r="G244" s="11" t="str">
        <f aca="false">IF(D244="","",SUMIFS('Базовые времена'!$D$2:$D$71,'Базовые времена'!$A$2:$A$71,B244,'Базовые времена'!$B$2:$B$71,C244,'Базовые времена'!$C$2:$C$71,D244))</f>
        <v/>
      </c>
      <c r="H244" s="11" t="str">
        <f aca="false">IF(E244="","",IF(ISNUMBER(E244),IF(E244&lt;1,E244*86400,E244),IFERROR(IF(ISNUMBER(FIND(":",SUBSTITUTE(TRIM(E244),",","."))),VALUE(LEFT(SUBSTITUTE(TRIM(E244),",","."),FIND(":",SUBSTITUTE(TRIM(E244),",","."))-1))*60+_xlfn.NUMBERVALUE(MID(SUBSTITUTE(TRIM(E244),",","."),FIND(":",SUBSTITUTE(TRIM(E244),",","."))+1,99),"."),_xlfn.NUMBERVALUE(SUBSTITUTE(TRIM(E244),",","."),".")),0)))</f>
        <v/>
      </c>
    </row>
    <row r="245" customFormat="false" ht="15" hidden="false" customHeight="false" outlineLevel="0" collapsed="false">
      <c r="A245" s="5"/>
      <c r="B245" s="5"/>
      <c r="C245" s="5"/>
      <c r="D245" s="5"/>
      <c r="E245" s="13"/>
      <c r="F245" s="4" t="str">
        <f aca="false">IF(OR(G245="",H245="",N(G245)=0,N(H245)&lt;=0),"",ROUNDDOWN(1000*(G245/H245)^3,0))</f>
        <v/>
      </c>
      <c r="G245" s="11" t="str">
        <f aca="false">IF(D245="","",SUMIFS('Базовые времена'!$D$2:$D$71,'Базовые времена'!$A$2:$A$71,B245,'Базовые времена'!$B$2:$B$71,C245,'Базовые времена'!$C$2:$C$71,D245))</f>
        <v/>
      </c>
      <c r="H245" s="11" t="str">
        <f aca="false">IF(E245="","",IF(ISNUMBER(E245),IF(E245&lt;1,E245*86400,E245),IFERROR(IF(ISNUMBER(FIND(":",SUBSTITUTE(TRIM(E245),",","."))),VALUE(LEFT(SUBSTITUTE(TRIM(E245),",","."),FIND(":",SUBSTITUTE(TRIM(E245),",","."))-1))*60+_xlfn.NUMBERVALUE(MID(SUBSTITUTE(TRIM(E245),",","."),FIND(":",SUBSTITUTE(TRIM(E245),",","."))+1,99),"."),_xlfn.NUMBERVALUE(SUBSTITUTE(TRIM(E245),",","."),".")),0)))</f>
        <v/>
      </c>
    </row>
    <row r="246" customFormat="false" ht="15" hidden="false" customHeight="false" outlineLevel="0" collapsed="false">
      <c r="A246" s="5"/>
      <c r="B246" s="5"/>
      <c r="C246" s="5"/>
      <c r="D246" s="5"/>
      <c r="E246" s="13"/>
      <c r="F246" s="4" t="str">
        <f aca="false">IF(OR(G246="",H246="",N(G246)=0,N(H246)&lt;=0),"",ROUNDDOWN(1000*(G246/H246)^3,0))</f>
        <v/>
      </c>
      <c r="G246" s="11" t="str">
        <f aca="false">IF(D246="","",SUMIFS('Базовые времена'!$D$2:$D$71,'Базовые времена'!$A$2:$A$71,B246,'Базовые времена'!$B$2:$B$71,C246,'Базовые времена'!$C$2:$C$71,D246))</f>
        <v/>
      </c>
      <c r="H246" s="11" t="str">
        <f aca="false">IF(E246="","",IF(ISNUMBER(E246),IF(E246&lt;1,E246*86400,E246),IFERROR(IF(ISNUMBER(FIND(":",SUBSTITUTE(TRIM(E246),",","."))),VALUE(LEFT(SUBSTITUTE(TRIM(E246),",","."),FIND(":",SUBSTITUTE(TRIM(E246),",","."))-1))*60+_xlfn.NUMBERVALUE(MID(SUBSTITUTE(TRIM(E246),",","."),FIND(":",SUBSTITUTE(TRIM(E246),",","."))+1,99),"."),_xlfn.NUMBERVALUE(SUBSTITUTE(TRIM(E246),",","."),".")),0)))</f>
        <v/>
      </c>
    </row>
    <row r="247" customFormat="false" ht="15" hidden="false" customHeight="false" outlineLevel="0" collapsed="false">
      <c r="A247" s="5"/>
      <c r="B247" s="5"/>
      <c r="C247" s="5"/>
      <c r="D247" s="5"/>
      <c r="E247" s="13"/>
      <c r="F247" s="4" t="str">
        <f aca="false">IF(OR(G247="",H247="",N(G247)=0,N(H247)&lt;=0),"",ROUNDDOWN(1000*(G247/H247)^3,0))</f>
        <v/>
      </c>
      <c r="G247" s="11" t="str">
        <f aca="false">IF(D247="","",SUMIFS('Базовые времена'!$D$2:$D$71,'Базовые времена'!$A$2:$A$71,B247,'Базовые времена'!$B$2:$B$71,C247,'Базовые времена'!$C$2:$C$71,D247))</f>
        <v/>
      </c>
      <c r="H247" s="11" t="str">
        <f aca="false">IF(E247="","",IF(ISNUMBER(E247),IF(E247&lt;1,E247*86400,E247),IFERROR(IF(ISNUMBER(FIND(":",SUBSTITUTE(TRIM(E247),",","."))),VALUE(LEFT(SUBSTITUTE(TRIM(E247),",","."),FIND(":",SUBSTITUTE(TRIM(E247),",","."))-1))*60+_xlfn.NUMBERVALUE(MID(SUBSTITUTE(TRIM(E247),",","."),FIND(":",SUBSTITUTE(TRIM(E247),",","."))+1,99),"."),_xlfn.NUMBERVALUE(SUBSTITUTE(TRIM(E247),",","."),".")),0)))</f>
        <v/>
      </c>
    </row>
    <row r="248" customFormat="false" ht="15" hidden="false" customHeight="false" outlineLevel="0" collapsed="false">
      <c r="A248" s="5"/>
      <c r="B248" s="5"/>
      <c r="C248" s="5"/>
      <c r="D248" s="5"/>
      <c r="E248" s="13"/>
      <c r="F248" s="4" t="str">
        <f aca="false">IF(OR(G248="",H248="",N(G248)=0,N(H248)&lt;=0),"",ROUNDDOWN(1000*(G248/H248)^3,0))</f>
        <v/>
      </c>
      <c r="G248" s="11" t="str">
        <f aca="false">IF(D248="","",SUMIFS('Базовые времена'!$D$2:$D$71,'Базовые времена'!$A$2:$A$71,B248,'Базовые времена'!$B$2:$B$71,C248,'Базовые времена'!$C$2:$C$71,D248))</f>
        <v/>
      </c>
      <c r="H248" s="11" t="str">
        <f aca="false">IF(E248="","",IF(ISNUMBER(E248),IF(E248&lt;1,E248*86400,E248),IFERROR(IF(ISNUMBER(FIND(":",SUBSTITUTE(TRIM(E248),",","."))),VALUE(LEFT(SUBSTITUTE(TRIM(E248),",","."),FIND(":",SUBSTITUTE(TRIM(E248),",","."))-1))*60+_xlfn.NUMBERVALUE(MID(SUBSTITUTE(TRIM(E248),",","."),FIND(":",SUBSTITUTE(TRIM(E248),",","."))+1,99),"."),_xlfn.NUMBERVALUE(SUBSTITUTE(TRIM(E248),",","."),".")),0)))</f>
        <v/>
      </c>
    </row>
    <row r="249" customFormat="false" ht="15" hidden="false" customHeight="false" outlineLevel="0" collapsed="false">
      <c r="A249" s="5"/>
      <c r="B249" s="5"/>
      <c r="C249" s="5"/>
      <c r="D249" s="5"/>
      <c r="E249" s="13"/>
      <c r="F249" s="4" t="str">
        <f aca="false">IF(OR(G249="",H249="",N(G249)=0,N(H249)&lt;=0),"",ROUNDDOWN(1000*(G249/H249)^3,0))</f>
        <v/>
      </c>
      <c r="G249" s="11" t="str">
        <f aca="false">IF(D249="","",SUMIFS('Базовые времена'!$D$2:$D$71,'Базовые времена'!$A$2:$A$71,B249,'Базовые времена'!$B$2:$B$71,C249,'Базовые времена'!$C$2:$C$71,D249))</f>
        <v/>
      </c>
      <c r="H249" s="11" t="str">
        <f aca="false">IF(E249="","",IF(ISNUMBER(E249),IF(E249&lt;1,E249*86400,E249),IFERROR(IF(ISNUMBER(FIND(":",SUBSTITUTE(TRIM(E249),",","."))),VALUE(LEFT(SUBSTITUTE(TRIM(E249),",","."),FIND(":",SUBSTITUTE(TRIM(E249),",","."))-1))*60+_xlfn.NUMBERVALUE(MID(SUBSTITUTE(TRIM(E249),",","."),FIND(":",SUBSTITUTE(TRIM(E249),",","."))+1,99),"."),_xlfn.NUMBERVALUE(SUBSTITUTE(TRIM(E249),",","."),".")),0)))</f>
        <v/>
      </c>
    </row>
    <row r="250" customFormat="false" ht="15" hidden="false" customHeight="false" outlineLevel="0" collapsed="false">
      <c r="A250" s="5"/>
      <c r="B250" s="5"/>
      <c r="C250" s="5"/>
      <c r="D250" s="5"/>
      <c r="E250" s="13"/>
      <c r="F250" s="4" t="str">
        <f aca="false">IF(OR(G250="",H250="",N(G250)=0,N(H250)&lt;=0),"",ROUNDDOWN(1000*(G250/H250)^3,0))</f>
        <v/>
      </c>
      <c r="G250" s="11" t="str">
        <f aca="false">IF(D250="","",SUMIFS('Базовые времена'!$D$2:$D$71,'Базовые времена'!$A$2:$A$71,B250,'Базовые времена'!$B$2:$B$71,C250,'Базовые времена'!$C$2:$C$71,D250))</f>
        <v/>
      </c>
      <c r="H250" s="11" t="str">
        <f aca="false">IF(E250="","",IF(ISNUMBER(E250),IF(E250&lt;1,E250*86400,E250),IFERROR(IF(ISNUMBER(FIND(":",SUBSTITUTE(TRIM(E250),",","."))),VALUE(LEFT(SUBSTITUTE(TRIM(E250),",","."),FIND(":",SUBSTITUTE(TRIM(E250),",","."))-1))*60+_xlfn.NUMBERVALUE(MID(SUBSTITUTE(TRIM(E250),",","."),FIND(":",SUBSTITUTE(TRIM(E250),",","."))+1,99),"."),_xlfn.NUMBERVALUE(SUBSTITUTE(TRIM(E250),",","."),".")),0)))</f>
        <v/>
      </c>
    </row>
    <row r="251" customFormat="false" ht="15" hidden="false" customHeight="false" outlineLevel="0" collapsed="false">
      <c r="A251" s="5"/>
      <c r="B251" s="5"/>
      <c r="C251" s="5"/>
      <c r="D251" s="5"/>
      <c r="E251" s="13"/>
      <c r="F251" s="4" t="str">
        <f aca="false">IF(OR(G251="",H251="",N(G251)=0,N(H251)&lt;=0),"",ROUNDDOWN(1000*(G251/H251)^3,0))</f>
        <v/>
      </c>
      <c r="G251" s="11" t="str">
        <f aca="false">IF(D251="","",SUMIFS('Базовые времена'!$D$2:$D$71,'Базовые времена'!$A$2:$A$71,B251,'Базовые времена'!$B$2:$B$71,C251,'Базовые времена'!$C$2:$C$71,D251))</f>
        <v/>
      </c>
      <c r="H251" s="11" t="str">
        <f aca="false">IF(E251="","",IF(ISNUMBER(E251),IF(E251&lt;1,E251*86400,E251),IFERROR(IF(ISNUMBER(FIND(":",SUBSTITUTE(TRIM(E251),",","."))),VALUE(LEFT(SUBSTITUTE(TRIM(E251),",","."),FIND(":",SUBSTITUTE(TRIM(E251),",","."))-1))*60+_xlfn.NUMBERVALUE(MID(SUBSTITUTE(TRIM(E251),",","."),FIND(":",SUBSTITUTE(TRIM(E251),",","."))+1,99),"."),_xlfn.NUMBERVALUE(SUBSTITUTE(TRIM(E251),",","."),".")),0)))</f>
        <v/>
      </c>
    </row>
    <row r="252" customFormat="false" ht="15" hidden="false" customHeight="false" outlineLevel="0" collapsed="false">
      <c r="A252" s="5"/>
      <c r="B252" s="5"/>
      <c r="C252" s="5"/>
      <c r="D252" s="5"/>
      <c r="E252" s="13"/>
      <c r="F252" s="4" t="str">
        <f aca="false">IF(OR(G252="",H252="",N(G252)=0,N(H252)&lt;=0),"",ROUNDDOWN(1000*(G252/H252)^3,0))</f>
        <v/>
      </c>
      <c r="G252" s="11" t="str">
        <f aca="false">IF(D252="","",SUMIFS('Базовые времена'!$D$2:$D$71,'Базовые времена'!$A$2:$A$71,B252,'Базовые времена'!$B$2:$B$71,C252,'Базовые времена'!$C$2:$C$71,D252))</f>
        <v/>
      </c>
      <c r="H252" s="11" t="str">
        <f aca="false">IF(E252="","",IF(ISNUMBER(E252),IF(E252&lt;1,E252*86400,E252),IFERROR(IF(ISNUMBER(FIND(":",SUBSTITUTE(TRIM(E252),",","."))),VALUE(LEFT(SUBSTITUTE(TRIM(E252),",","."),FIND(":",SUBSTITUTE(TRIM(E252),",","."))-1))*60+_xlfn.NUMBERVALUE(MID(SUBSTITUTE(TRIM(E252),",","."),FIND(":",SUBSTITUTE(TRIM(E252),",","."))+1,99),"."),_xlfn.NUMBERVALUE(SUBSTITUTE(TRIM(E252),",","."),".")),0)))</f>
        <v/>
      </c>
    </row>
    <row r="253" customFormat="false" ht="15" hidden="false" customHeight="false" outlineLevel="0" collapsed="false">
      <c r="A253" s="5"/>
      <c r="B253" s="5"/>
      <c r="C253" s="5"/>
      <c r="D253" s="5"/>
      <c r="E253" s="13"/>
      <c r="F253" s="4" t="str">
        <f aca="false">IF(OR(G253="",H253="",N(G253)=0,N(H253)&lt;=0),"",ROUNDDOWN(1000*(G253/H253)^3,0))</f>
        <v/>
      </c>
      <c r="G253" s="11" t="str">
        <f aca="false">IF(D253="","",SUMIFS('Базовые времена'!$D$2:$D$71,'Базовые времена'!$A$2:$A$71,B253,'Базовые времена'!$B$2:$B$71,C253,'Базовые времена'!$C$2:$C$71,D253))</f>
        <v/>
      </c>
      <c r="H253" s="11" t="str">
        <f aca="false">IF(E253="","",IF(ISNUMBER(E253),IF(E253&lt;1,E253*86400,E253),IFERROR(IF(ISNUMBER(FIND(":",SUBSTITUTE(TRIM(E253),",","."))),VALUE(LEFT(SUBSTITUTE(TRIM(E253),",","."),FIND(":",SUBSTITUTE(TRIM(E253),",","."))-1))*60+_xlfn.NUMBERVALUE(MID(SUBSTITUTE(TRIM(E253),",","."),FIND(":",SUBSTITUTE(TRIM(E253),",","."))+1,99),"."),_xlfn.NUMBERVALUE(SUBSTITUTE(TRIM(E253),",","."),".")),0)))</f>
        <v/>
      </c>
    </row>
    <row r="254" customFormat="false" ht="15" hidden="false" customHeight="false" outlineLevel="0" collapsed="false">
      <c r="A254" s="5"/>
      <c r="B254" s="5"/>
      <c r="C254" s="5"/>
      <c r="D254" s="5"/>
      <c r="E254" s="13"/>
      <c r="F254" s="4" t="str">
        <f aca="false">IF(OR(G254="",H254="",N(G254)=0,N(H254)&lt;=0),"",ROUNDDOWN(1000*(G254/H254)^3,0))</f>
        <v/>
      </c>
      <c r="G254" s="11" t="str">
        <f aca="false">IF(D254="","",SUMIFS('Базовые времена'!$D$2:$D$71,'Базовые времена'!$A$2:$A$71,B254,'Базовые времена'!$B$2:$B$71,C254,'Базовые времена'!$C$2:$C$71,D254))</f>
        <v/>
      </c>
      <c r="H254" s="11" t="str">
        <f aca="false">IF(E254="","",IF(ISNUMBER(E254),IF(E254&lt;1,E254*86400,E254),IFERROR(IF(ISNUMBER(FIND(":",SUBSTITUTE(TRIM(E254),",","."))),VALUE(LEFT(SUBSTITUTE(TRIM(E254),",","."),FIND(":",SUBSTITUTE(TRIM(E254),",","."))-1))*60+_xlfn.NUMBERVALUE(MID(SUBSTITUTE(TRIM(E254),",","."),FIND(":",SUBSTITUTE(TRIM(E254),",","."))+1,99),"."),_xlfn.NUMBERVALUE(SUBSTITUTE(TRIM(E254),",","."),".")),0)))</f>
        <v/>
      </c>
    </row>
    <row r="255" customFormat="false" ht="15" hidden="false" customHeight="false" outlineLevel="0" collapsed="false">
      <c r="A255" s="5"/>
      <c r="B255" s="5"/>
      <c r="C255" s="5"/>
      <c r="D255" s="5"/>
      <c r="E255" s="13"/>
      <c r="F255" s="4" t="str">
        <f aca="false">IF(OR(G255="",H255="",N(G255)=0,N(H255)&lt;=0),"",ROUNDDOWN(1000*(G255/H255)^3,0))</f>
        <v/>
      </c>
      <c r="G255" s="11" t="str">
        <f aca="false">IF(D255="","",SUMIFS('Базовые времена'!$D$2:$D$71,'Базовые времена'!$A$2:$A$71,B255,'Базовые времена'!$B$2:$B$71,C255,'Базовые времена'!$C$2:$C$71,D255))</f>
        <v/>
      </c>
      <c r="H255" s="11" t="str">
        <f aca="false">IF(E255="","",IF(ISNUMBER(E255),IF(E255&lt;1,E255*86400,E255),IFERROR(IF(ISNUMBER(FIND(":",SUBSTITUTE(TRIM(E255),",","."))),VALUE(LEFT(SUBSTITUTE(TRIM(E255),",","."),FIND(":",SUBSTITUTE(TRIM(E255),",","."))-1))*60+_xlfn.NUMBERVALUE(MID(SUBSTITUTE(TRIM(E255),",","."),FIND(":",SUBSTITUTE(TRIM(E255),",","."))+1,99),"."),_xlfn.NUMBERVALUE(SUBSTITUTE(TRIM(E255),",","."),".")),0)))</f>
        <v/>
      </c>
    </row>
    <row r="256" customFormat="false" ht="15" hidden="false" customHeight="false" outlineLevel="0" collapsed="false">
      <c r="A256" s="5"/>
      <c r="B256" s="5"/>
      <c r="C256" s="5"/>
      <c r="D256" s="5"/>
      <c r="E256" s="13"/>
      <c r="F256" s="4" t="str">
        <f aca="false">IF(OR(G256="",H256="",N(G256)=0,N(H256)&lt;=0),"",ROUNDDOWN(1000*(G256/H256)^3,0))</f>
        <v/>
      </c>
      <c r="G256" s="11" t="str">
        <f aca="false">IF(D256="","",SUMIFS('Базовые времена'!$D$2:$D$71,'Базовые времена'!$A$2:$A$71,B256,'Базовые времена'!$B$2:$B$71,C256,'Базовые времена'!$C$2:$C$71,D256))</f>
        <v/>
      </c>
      <c r="H256" s="11" t="str">
        <f aca="false">IF(E256="","",IF(ISNUMBER(E256),IF(E256&lt;1,E256*86400,E256),IFERROR(IF(ISNUMBER(FIND(":",SUBSTITUTE(TRIM(E256),",","."))),VALUE(LEFT(SUBSTITUTE(TRIM(E256),",","."),FIND(":",SUBSTITUTE(TRIM(E256),",","."))-1))*60+_xlfn.NUMBERVALUE(MID(SUBSTITUTE(TRIM(E256),",","."),FIND(":",SUBSTITUTE(TRIM(E256),",","."))+1,99),"."),_xlfn.NUMBERVALUE(SUBSTITUTE(TRIM(E256),",","."),".")),0)))</f>
        <v/>
      </c>
    </row>
    <row r="257" customFormat="false" ht="15" hidden="false" customHeight="false" outlineLevel="0" collapsed="false">
      <c r="A257" s="5"/>
      <c r="B257" s="5"/>
      <c r="C257" s="5"/>
      <c r="D257" s="5"/>
      <c r="E257" s="13"/>
      <c r="F257" s="4" t="str">
        <f aca="false">IF(OR(G257="",H257="",N(G257)=0,N(H257)&lt;=0),"",ROUNDDOWN(1000*(G257/H257)^3,0))</f>
        <v/>
      </c>
      <c r="G257" s="11" t="str">
        <f aca="false">IF(D257="","",SUMIFS('Базовые времена'!$D$2:$D$71,'Базовые времена'!$A$2:$A$71,B257,'Базовые времена'!$B$2:$B$71,C257,'Базовые времена'!$C$2:$C$71,D257))</f>
        <v/>
      </c>
      <c r="H257" s="11" t="str">
        <f aca="false">IF(E257="","",IF(ISNUMBER(E257),IF(E257&lt;1,E257*86400,E257),IFERROR(IF(ISNUMBER(FIND(":",SUBSTITUTE(TRIM(E257),",","."))),VALUE(LEFT(SUBSTITUTE(TRIM(E257),",","."),FIND(":",SUBSTITUTE(TRIM(E257),",","."))-1))*60+_xlfn.NUMBERVALUE(MID(SUBSTITUTE(TRIM(E257),",","."),FIND(":",SUBSTITUTE(TRIM(E257),",","."))+1,99),"."),_xlfn.NUMBERVALUE(SUBSTITUTE(TRIM(E257),",","."),".")),0)))</f>
        <v/>
      </c>
    </row>
    <row r="258" customFormat="false" ht="15" hidden="false" customHeight="false" outlineLevel="0" collapsed="false">
      <c r="A258" s="5"/>
      <c r="B258" s="5"/>
      <c r="C258" s="5"/>
      <c r="D258" s="5"/>
      <c r="E258" s="13"/>
      <c r="F258" s="4" t="str">
        <f aca="false">IF(OR(G258="",H258="",N(G258)=0,N(H258)&lt;=0),"",ROUNDDOWN(1000*(G258/H258)^3,0))</f>
        <v/>
      </c>
      <c r="G258" s="11" t="str">
        <f aca="false">IF(D258="","",SUMIFS('Базовые времена'!$D$2:$D$71,'Базовые времена'!$A$2:$A$71,B258,'Базовые времена'!$B$2:$B$71,C258,'Базовые времена'!$C$2:$C$71,D258))</f>
        <v/>
      </c>
      <c r="H258" s="11" t="str">
        <f aca="false">IF(E258="","",IF(ISNUMBER(E258),IF(E258&lt;1,E258*86400,E258),IFERROR(IF(ISNUMBER(FIND(":",SUBSTITUTE(TRIM(E258),",","."))),VALUE(LEFT(SUBSTITUTE(TRIM(E258),",","."),FIND(":",SUBSTITUTE(TRIM(E258),",","."))-1))*60+_xlfn.NUMBERVALUE(MID(SUBSTITUTE(TRIM(E258),",","."),FIND(":",SUBSTITUTE(TRIM(E258),",","."))+1,99),"."),_xlfn.NUMBERVALUE(SUBSTITUTE(TRIM(E258),",","."),".")),0)))</f>
        <v/>
      </c>
    </row>
    <row r="259" customFormat="false" ht="15" hidden="false" customHeight="false" outlineLevel="0" collapsed="false">
      <c r="A259" s="5"/>
      <c r="B259" s="5"/>
      <c r="C259" s="5"/>
      <c r="D259" s="5"/>
      <c r="E259" s="13"/>
      <c r="F259" s="4" t="str">
        <f aca="false">IF(OR(G259="",H259="",N(G259)=0,N(H259)&lt;=0),"",ROUNDDOWN(1000*(G259/H259)^3,0))</f>
        <v/>
      </c>
      <c r="G259" s="11" t="str">
        <f aca="false">IF(D259="","",SUMIFS('Базовые времена'!$D$2:$D$71,'Базовые времена'!$A$2:$A$71,B259,'Базовые времена'!$B$2:$B$71,C259,'Базовые времена'!$C$2:$C$71,D259))</f>
        <v/>
      </c>
      <c r="H259" s="11" t="str">
        <f aca="false">IF(E259="","",IF(ISNUMBER(E259),IF(E259&lt;1,E259*86400,E259),IFERROR(IF(ISNUMBER(FIND(":",SUBSTITUTE(TRIM(E259),",","."))),VALUE(LEFT(SUBSTITUTE(TRIM(E259),",","."),FIND(":",SUBSTITUTE(TRIM(E259),",","."))-1))*60+_xlfn.NUMBERVALUE(MID(SUBSTITUTE(TRIM(E259),",","."),FIND(":",SUBSTITUTE(TRIM(E259),",","."))+1,99),"."),_xlfn.NUMBERVALUE(SUBSTITUTE(TRIM(E259),",","."),".")),0)))</f>
        <v/>
      </c>
    </row>
    <row r="260" customFormat="false" ht="15" hidden="false" customHeight="false" outlineLevel="0" collapsed="false">
      <c r="A260" s="5"/>
      <c r="B260" s="5"/>
      <c r="C260" s="5"/>
      <c r="D260" s="5"/>
      <c r="E260" s="13"/>
      <c r="F260" s="4" t="str">
        <f aca="false">IF(OR(G260="",H260="",N(G260)=0,N(H260)&lt;=0),"",ROUNDDOWN(1000*(G260/H260)^3,0))</f>
        <v/>
      </c>
      <c r="G260" s="11" t="str">
        <f aca="false">IF(D260="","",SUMIFS('Базовые времена'!$D$2:$D$71,'Базовые времена'!$A$2:$A$71,B260,'Базовые времена'!$B$2:$B$71,C260,'Базовые времена'!$C$2:$C$71,D260))</f>
        <v/>
      </c>
      <c r="H260" s="11" t="str">
        <f aca="false">IF(E260="","",IF(ISNUMBER(E260),IF(E260&lt;1,E260*86400,E260),IFERROR(IF(ISNUMBER(FIND(":",SUBSTITUTE(TRIM(E260),",","."))),VALUE(LEFT(SUBSTITUTE(TRIM(E260),",","."),FIND(":",SUBSTITUTE(TRIM(E260),",","."))-1))*60+_xlfn.NUMBERVALUE(MID(SUBSTITUTE(TRIM(E260),",","."),FIND(":",SUBSTITUTE(TRIM(E260),",","."))+1,99),"."),_xlfn.NUMBERVALUE(SUBSTITUTE(TRIM(E260),",","."),".")),0)))</f>
        <v/>
      </c>
    </row>
    <row r="261" customFormat="false" ht="15" hidden="false" customHeight="false" outlineLevel="0" collapsed="false">
      <c r="A261" s="5"/>
      <c r="B261" s="5"/>
      <c r="C261" s="5"/>
      <c r="D261" s="5"/>
      <c r="E261" s="13"/>
      <c r="F261" s="4" t="str">
        <f aca="false">IF(OR(G261="",H261="",N(G261)=0,N(H261)&lt;=0),"",ROUNDDOWN(1000*(G261/H261)^3,0))</f>
        <v/>
      </c>
      <c r="G261" s="11" t="str">
        <f aca="false">IF(D261="","",SUMIFS('Базовые времена'!$D$2:$D$71,'Базовые времена'!$A$2:$A$71,B261,'Базовые времена'!$B$2:$B$71,C261,'Базовые времена'!$C$2:$C$71,D261))</f>
        <v/>
      </c>
      <c r="H261" s="11" t="str">
        <f aca="false">IF(E261="","",IF(ISNUMBER(E261),IF(E261&lt;1,E261*86400,E261),IFERROR(IF(ISNUMBER(FIND(":",SUBSTITUTE(TRIM(E261),",","."))),VALUE(LEFT(SUBSTITUTE(TRIM(E261),",","."),FIND(":",SUBSTITUTE(TRIM(E261),",","."))-1))*60+_xlfn.NUMBERVALUE(MID(SUBSTITUTE(TRIM(E261),",","."),FIND(":",SUBSTITUTE(TRIM(E261),",","."))+1,99),"."),_xlfn.NUMBERVALUE(SUBSTITUTE(TRIM(E261),",","."),".")),0)))</f>
        <v/>
      </c>
    </row>
    <row r="262" customFormat="false" ht="15" hidden="false" customHeight="false" outlineLevel="0" collapsed="false">
      <c r="A262" s="5"/>
      <c r="B262" s="5"/>
      <c r="C262" s="5"/>
      <c r="D262" s="5"/>
      <c r="E262" s="13"/>
      <c r="F262" s="4" t="str">
        <f aca="false">IF(OR(G262="",H262="",N(G262)=0,N(H262)&lt;=0),"",ROUNDDOWN(1000*(G262/H262)^3,0))</f>
        <v/>
      </c>
      <c r="G262" s="11" t="str">
        <f aca="false">IF(D262="","",SUMIFS('Базовые времена'!$D$2:$D$71,'Базовые времена'!$A$2:$A$71,B262,'Базовые времена'!$B$2:$B$71,C262,'Базовые времена'!$C$2:$C$71,D262))</f>
        <v/>
      </c>
      <c r="H262" s="11" t="str">
        <f aca="false">IF(E262="","",IF(ISNUMBER(E262),IF(E262&lt;1,E262*86400,E262),IFERROR(IF(ISNUMBER(FIND(":",SUBSTITUTE(TRIM(E262),",","."))),VALUE(LEFT(SUBSTITUTE(TRIM(E262),",","."),FIND(":",SUBSTITUTE(TRIM(E262),",","."))-1))*60+_xlfn.NUMBERVALUE(MID(SUBSTITUTE(TRIM(E262),",","."),FIND(":",SUBSTITUTE(TRIM(E262),",","."))+1,99),"."),_xlfn.NUMBERVALUE(SUBSTITUTE(TRIM(E262),",","."),".")),0)))</f>
        <v/>
      </c>
    </row>
    <row r="263" customFormat="false" ht="15" hidden="false" customHeight="false" outlineLevel="0" collapsed="false">
      <c r="A263" s="5"/>
      <c r="B263" s="5"/>
      <c r="C263" s="5"/>
      <c r="D263" s="5"/>
      <c r="E263" s="13"/>
      <c r="F263" s="4" t="str">
        <f aca="false">IF(OR(G263="",H263="",N(G263)=0,N(H263)&lt;=0),"",ROUNDDOWN(1000*(G263/H263)^3,0))</f>
        <v/>
      </c>
      <c r="G263" s="11" t="str">
        <f aca="false">IF(D263="","",SUMIFS('Базовые времена'!$D$2:$D$71,'Базовые времена'!$A$2:$A$71,B263,'Базовые времена'!$B$2:$B$71,C263,'Базовые времена'!$C$2:$C$71,D263))</f>
        <v/>
      </c>
      <c r="H263" s="11" t="str">
        <f aca="false">IF(E263="","",IF(ISNUMBER(E263),IF(E263&lt;1,E263*86400,E263),IFERROR(IF(ISNUMBER(FIND(":",SUBSTITUTE(TRIM(E263),",","."))),VALUE(LEFT(SUBSTITUTE(TRIM(E263),",","."),FIND(":",SUBSTITUTE(TRIM(E263),",","."))-1))*60+_xlfn.NUMBERVALUE(MID(SUBSTITUTE(TRIM(E263),",","."),FIND(":",SUBSTITUTE(TRIM(E263),",","."))+1,99),"."),_xlfn.NUMBERVALUE(SUBSTITUTE(TRIM(E263),",","."),".")),0)))</f>
        <v/>
      </c>
    </row>
    <row r="264" customFormat="false" ht="15" hidden="false" customHeight="false" outlineLevel="0" collapsed="false">
      <c r="A264" s="5"/>
      <c r="B264" s="5"/>
      <c r="C264" s="5"/>
      <c r="D264" s="5"/>
      <c r="E264" s="13"/>
      <c r="F264" s="4" t="str">
        <f aca="false">IF(OR(G264="",H264="",N(G264)=0,N(H264)&lt;=0),"",ROUNDDOWN(1000*(G264/H264)^3,0))</f>
        <v/>
      </c>
      <c r="G264" s="11" t="str">
        <f aca="false">IF(D264="","",SUMIFS('Базовые времена'!$D$2:$D$71,'Базовые времена'!$A$2:$A$71,B264,'Базовые времена'!$B$2:$B$71,C264,'Базовые времена'!$C$2:$C$71,D264))</f>
        <v/>
      </c>
      <c r="H264" s="11" t="str">
        <f aca="false">IF(E264="","",IF(ISNUMBER(E264),IF(E264&lt;1,E264*86400,E264),IFERROR(IF(ISNUMBER(FIND(":",SUBSTITUTE(TRIM(E264),",","."))),VALUE(LEFT(SUBSTITUTE(TRIM(E264),",","."),FIND(":",SUBSTITUTE(TRIM(E264),",","."))-1))*60+_xlfn.NUMBERVALUE(MID(SUBSTITUTE(TRIM(E264),",","."),FIND(":",SUBSTITUTE(TRIM(E264),",","."))+1,99),"."),_xlfn.NUMBERVALUE(SUBSTITUTE(TRIM(E264),",","."),".")),0)))</f>
        <v/>
      </c>
    </row>
    <row r="265" customFormat="false" ht="15" hidden="false" customHeight="false" outlineLevel="0" collapsed="false">
      <c r="A265" s="5"/>
      <c r="B265" s="5"/>
      <c r="C265" s="5"/>
      <c r="D265" s="5"/>
      <c r="E265" s="13"/>
      <c r="F265" s="4" t="str">
        <f aca="false">IF(OR(G265="",H265="",N(G265)=0,N(H265)&lt;=0),"",ROUNDDOWN(1000*(G265/H265)^3,0))</f>
        <v/>
      </c>
      <c r="G265" s="11" t="str">
        <f aca="false">IF(D265="","",SUMIFS('Базовые времена'!$D$2:$D$71,'Базовые времена'!$A$2:$A$71,B265,'Базовые времена'!$B$2:$B$71,C265,'Базовые времена'!$C$2:$C$71,D265))</f>
        <v/>
      </c>
      <c r="H265" s="11" t="str">
        <f aca="false">IF(E265="","",IF(ISNUMBER(E265),IF(E265&lt;1,E265*86400,E265),IFERROR(IF(ISNUMBER(FIND(":",SUBSTITUTE(TRIM(E265),",","."))),VALUE(LEFT(SUBSTITUTE(TRIM(E265),",","."),FIND(":",SUBSTITUTE(TRIM(E265),",","."))-1))*60+_xlfn.NUMBERVALUE(MID(SUBSTITUTE(TRIM(E265),",","."),FIND(":",SUBSTITUTE(TRIM(E265),",","."))+1,99),"."),_xlfn.NUMBERVALUE(SUBSTITUTE(TRIM(E265),",","."),".")),0)))</f>
        <v/>
      </c>
    </row>
    <row r="266" customFormat="false" ht="15" hidden="false" customHeight="false" outlineLevel="0" collapsed="false">
      <c r="A266" s="5"/>
      <c r="B266" s="5"/>
      <c r="C266" s="5"/>
      <c r="D266" s="5"/>
      <c r="E266" s="13"/>
      <c r="F266" s="4" t="str">
        <f aca="false">IF(OR(G266="",H266="",N(G266)=0,N(H266)&lt;=0),"",ROUNDDOWN(1000*(G266/H266)^3,0))</f>
        <v/>
      </c>
      <c r="G266" s="11" t="str">
        <f aca="false">IF(D266="","",SUMIFS('Базовые времена'!$D$2:$D$71,'Базовые времена'!$A$2:$A$71,B266,'Базовые времена'!$B$2:$B$71,C266,'Базовые времена'!$C$2:$C$71,D266))</f>
        <v/>
      </c>
      <c r="H266" s="11" t="str">
        <f aca="false">IF(E266="","",IF(ISNUMBER(E266),IF(E266&lt;1,E266*86400,E266),IFERROR(IF(ISNUMBER(FIND(":",SUBSTITUTE(TRIM(E266),",","."))),VALUE(LEFT(SUBSTITUTE(TRIM(E266),",","."),FIND(":",SUBSTITUTE(TRIM(E266),",","."))-1))*60+_xlfn.NUMBERVALUE(MID(SUBSTITUTE(TRIM(E266),",","."),FIND(":",SUBSTITUTE(TRIM(E266),",","."))+1,99),"."),_xlfn.NUMBERVALUE(SUBSTITUTE(TRIM(E266),",","."),".")),0)))</f>
        <v/>
      </c>
    </row>
    <row r="267" customFormat="false" ht="15" hidden="false" customHeight="false" outlineLevel="0" collapsed="false">
      <c r="A267" s="5"/>
      <c r="B267" s="5"/>
      <c r="C267" s="5"/>
      <c r="D267" s="5"/>
      <c r="E267" s="13"/>
      <c r="F267" s="4" t="str">
        <f aca="false">IF(OR(G267="",H267="",N(G267)=0,N(H267)&lt;=0),"",ROUNDDOWN(1000*(G267/H267)^3,0))</f>
        <v/>
      </c>
      <c r="G267" s="11" t="str">
        <f aca="false">IF(D267="","",SUMIFS('Базовые времена'!$D$2:$D$71,'Базовые времена'!$A$2:$A$71,B267,'Базовые времена'!$B$2:$B$71,C267,'Базовые времена'!$C$2:$C$71,D267))</f>
        <v/>
      </c>
      <c r="H267" s="11" t="str">
        <f aca="false">IF(E267="","",IF(ISNUMBER(E267),IF(E267&lt;1,E267*86400,E267),IFERROR(IF(ISNUMBER(FIND(":",SUBSTITUTE(TRIM(E267),",","."))),VALUE(LEFT(SUBSTITUTE(TRIM(E267),",","."),FIND(":",SUBSTITUTE(TRIM(E267),",","."))-1))*60+_xlfn.NUMBERVALUE(MID(SUBSTITUTE(TRIM(E267),",","."),FIND(":",SUBSTITUTE(TRIM(E267),",","."))+1,99),"."),_xlfn.NUMBERVALUE(SUBSTITUTE(TRIM(E267),",","."),".")),0)))</f>
        <v/>
      </c>
    </row>
    <row r="268" customFormat="false" ht="15" hidden="false" customHeight="false" outlineLevel="0" collapsed="false">
      <c r="A268" s="5"/>
      <c r="B268" s="5"/>
      <c r="C268" s="5"/>
      <c r="D268" s="5"/>
      <c r="E268" s="13"/>
      <c r="F268" s="4" t="str">
        <f aca="false">IF(OR(G268="",H268="",N(G268)=0,N(H268)&lt;=0),"",ROUNDDOWN(1000*(G268/H268)^3,0))</f>
        <v/>
      </c>
      <c r="G268" s="11" t="str">
        <f aca="false">IF(D268="","",SUMIFS('Базовые времена'!$D$2:$D$71,'Базовые времена'!$A$2:$A$71,B268,'Базовые времена'!$B$2:$B$71,C268,'Базовые времена'!$C$2:$C$71,D268))</f>
        <v/>
      </c>
      <c r="H268" s="11" t="str">
        <f aca="false">IF(E268="","",IF(ISNUMBER(E268),IF(E268&lt;1,E268*86400,E268),IFERROR(IF(ISNUMBER(FIND(":",SUBSTITUTE(TRIM(E268),",","."))),VALUE(LEFT(SUBSTITUTE(TRIM(E268),",","."),FIND(":",SUBSTITUTE(TRIM(E268),",","."))-1))*60+_xlfn.NUMBERVALUE(MID(SUBSTITUTE(TRIM(E268),",","."),FIND(":",SUBSTITUTE(TRIM(E268),",","."))+1,99),"."),_xlfn.NUMBERVALUE(SUBSTITUTE(TRIM(E268),",","."),".")),0)))</f>
        <v/>
      </c>
    </row>
    <row r="269" customFormat="false" ht="15" hidden="false" customHeight="false" outlineLevel="0" collapsed="false">
      <c r="A269" s="5"/>
      <c r="B269" s="5"/>
      <c r="C269" s="5"/>
      <c r="D269" s="5"/>
      <c r="E269" s="13"/>
      <c r="F269" s="4" t="str">
        <f aca="false">IF(OR(G269="",H269="",N(G269)=0,N(H269)&lt;=0),"",ROUNDDOWN(1000*(G269/H269)^3,0))</f>
        <v/>
      </c>
      <c r="G269" s="11" t="str">
        <f aca="false">IF(D269="","",SUMIFS('Базовые времена'!$D$2:$D$71,'Базовые времена'!$A$2:$A$71,B269,'Базовые времена'!$B$2:$B$71,C269,'Базовые времена'!$C$2:$C$71,D269))</f>
        <v/>
      </c>
      <c r="H269" s="11" t="str">
        <f aca="false">IF(E269="","",IF(ISNUMBER(E269),IF(E269&lt;1,E269*86400,E269),IFERROR(IF(ISNUMBER(FIND(":",SUBSTITUTE(TRIM(E269),",","."))),VALUE(LEFT(SUBSTITUTE(TRIM(E269),",","."),FIND(":",SUBSTITUTE(TRIM(E269),",","."))-1))*60+_xlfn.NUMBERVALUE(MID(SUBSTITUTE(TRIM(E269),",","."),FIND(":",SUBSTITUTE(TRIM(E269),",","."))+1,99),"."),_xlfn.NUMBERVALUE(SUBSTITUTE(TRIM(E269),",","."),".")),0)))</f>
        <v/>
      </c>
    </row>
    <row r="270" customFormat="false" ht="15" hidden="false" customHeight="false" outlineLevel="0" collapsed="false">
      <c r="A270" s="5"/>
      <c r="B270" s="5"/>
      <c r="C270" s="5"/>
      <c r="D270" s="5"/>
      <c r="E270" s="13"/>
      <c r="F270" s="4" t="str">
        <f aca="false">IF(OR(G270="",H270="",N(G270)=0,N(H270)&lt;=0),"",ROUNDDOWN(1000*(G270/H270)^3,0))</f>
        <v/>
      </c>
      <c r="G270" s="11" t="str">
        <f aca="false">IF(D270="","",SUMIFS('Базовые времена'!$D$2:$D$71,'Базовые времена'!$A$2:$A$71,B270,'Базовые времена'!$B$2:$B$71,C270,'Базовые времена'!$C$2:$C$71,D270))</f>
        <v/>
      </c>
      <c r="H270" s="11" t="str">
        <f aca="false">IF(E270="","",IF(ISNUMBER(E270),IF(E270&lt;1,E270*86400,E270),IFERROR(IF(ISNUMBER(FIND(":",SUBSTITUTE(TRIM(E270),",","."))),VALUE(LEFT(SUBSTITUTE(TRIM(E270),",","."),FIND(":",SUBSTITUTE(TRIM(E270),",","."))-1))*60+_xlfn.NUMBERVALUE(MID(SUBSTITUTE(TRIM(E270),",","."),FIND(":",SUBSTITUTE(TRIM(E270),",","."))+1,99),"."),_xlfn.NUMBERVALUE(SUBSTITUTE(TRIM(E270),",","."),".")),0)))</f>
        <v/>
      </c>
    </row>
    <row r="271" customFormat="false" ht="15" hidden="false" customHeight="false" outlineLevel="0" collapsed="false">
      <c r="A271" s="5"/>
      <c r="B271" s="5"/>
      <c r="C271" s="5"/>
      <c r="D271" s="5"/>
      <c r="E271" s="13"/>
      <c r="F271" s="4" t="str">
        <f aca="false">IF(OR(G271="",H271="",N(G271)=0,N(H271)&lt;=0),"",ROUNDDOWN(1000*(G271/H271)^3,0))</f>
        <v/>
      </c>
      <c r="G271" s="11" t="str">
        <f aca="false">IF(D271="","",SUMIFS('Базовые времена'!$D$2:$D$71,'Базовые времена'!$A$2:$A$71,B271,'Базовые времена'!$B$2:$B$71,C271,'Базовые времена'!$C$2:$C$71,D271))</f>
        <v/>
      </c>
      <c r="H271" s="11" t="str">
        <f aca="false">IF(E271="","",IF(ISNUMBER(E271),IF(E271&lt;1,E271*86400,E271),IFERROR(IF(ISNUMBER(FIND(":",SUBSTITUTE(TRIM(E271),",","."))),VALUE(LEFT(SUBSTITUTE(TRIM(E271),",","."),FIND(":",SUBSTITUTE(TRIM(E271),",","."))-1))*60+_xlfn.NUMBERVALUE(MID(SUBSTITUTE(TRIM(E271),",","."),FIND(":",SUBSTITUTE(TRIM(E271),",","."))+1,99),"."),_xlfn.NUMBERVALUE(SUBSTITUTE(TRIM(E271),",","."),".")),0)))</f>
        <v/>
      </c>
    </row>
    <row r="272" customFormat="false" ht="15" hidden="false" customHeight="false" outlineLevel="0" collapsed="false">
      <c r="A272" s="5"/>
      <c r="B272" s="5"/>
      <c r="C272" s="5"/>
      <c r="D272" s="5"/>
      <c r="E272" s="13"/>
      <c r="F272" s="4" t="str">
        <f aca="false">IF(OR(G272="",H272="",N(G272)=0,N(H272)&lt;=0),"",ROUNDDOWN(1000*(G272/H272)^3,0))</f>
        <v/>
      </c>
      <c r="G272" s="11" t="str">
        <f aca="false">IF(D272="","",SUMIFS('Базовые времена'!$D$2:$D$71,'Базовые времена'!$A$2:$A$71,B272,'Базовые времена'!$B$2:$B$71,C272,'Базовые времена'!$C$2:$C$71,D272))</f>
        <v/>
      </c>
      <c r="H272" s="11" t="str">
        <f aca="false">IF(E272="","",IF(ISNUMBER(E272),IF(E272&lt;1,E272*86400,E272),IFERROR(IF(ISNUMBER(FIND(":",SUBSTITUTE(TRIM(E272),",","."))),VALUE(LEFT(SUBSTITUTE(TRIM(E272),",","."),FIND(":",SUBSTITUTE(TRIM(E272),",","."))-1))*60+_xlfn.NUMBERVALUE(MID(SUBSTITUTE(TRIM(E272),",","."),FIND(":",SUBSTITUTE(TRIM(E272),",","."))+1,99),"."),_xlfn.NUMBERVALUE(SUBSTITUTE(TRIM(E272),",","."),".")),0)))</f>
        <v/>
      </c>
    </row>
    <row r="273" customFormat="false" ht="15" hidden="false" customHeight="false" outlineLevel="0" collapsed="false">
      <c r="A273" s="5"/>
      <c r="B273" s="5"/>
      <c r="C273" s="5"/>
      <c r="D273" s="5"/>
      <c r="E273" s="13"/>
      <c r="F273" s="4" t="str">
        <f aca="false">IF(OR(G273="",H273="",N(G273)=0,N(H273)&lt;=0),"",ROUNDDOWN(1000*(G273/H273)^3,0))</f>
        <v/>
      </c>
      <c r="G273" s="11" t="str">
        <f aca="false">IF(D273="","",SUMIFS('Базовые времена'!$D$2:$D$71,'Базовые времена'!$A$2:$A$71,B273,'Базовые времена'!$B$2:$B$71,C273,'Базовые времена'!$C$2:$C$71,D273))</f>
        <v/>
      </c>
      <c r="H273" s="11" t="str">
        <f aca="false">IF(E273="","",IF(ISNUMBER(E273),IF(E273&lt;1,E273*86400,E273),IFERROR(IF(ISNUMBER(FIND(":",SUBSTITUTE(TRIM(E273),",","."))),VALUE(LEFT(SUBSTITUTE(TRIM(E273),",","."),FIND(":",SUBSTITUTE(TRIM(E273),",","."))-1))*60+_xlfn.NUMBERVALUE(MID(SUBSTITUTE(TRIM(E273),",","."),FIND(":",SUBSTITUTE(TRIM(E273),",","."))+1,99),"."),_xlfn.NUMBERVALUE(SUBSTITUTE(TRIM(E273),",","."),".")),0)))</f>
        <v/>
      </c>
    </row>
    <row r="274" customFormat="false" ht="15" hidden="false" customHeight="false" outlineLevel="0" collapsed="false">
      <c r="A274" s="5"/>
      <c r="B274" s="5"/>
      <c r="C274" s="5"/>
      <c r="D274" s="5"/>
      <c r="E274" s="13"/>
      <c r="F274" s="4" t="str">
        <f aca="false">IF(OR(G274="",H274="",N(G274)=0,N(H274)&lt;=0),"",ROUNDDOWN(1000*(G274/H274)^3,0))</f>
        <v/>
      </c>
      <c r="G274" s="11" t="str">
        <f aca="false">IF(D274="","",SUMIFS('Базовые времена'!$D$2:$D$71,'Базовые времена'!$A$2:$A$71,B274,'Базовые времена'!$B$2:$B$71,C274,'Базовые времена'!$C$2:$C$71,D274))</f>
        <v/>
      </c>
      <c r="H274" s="11" t="str">
        <f aca="false">IF(E274="","",IF(ISNUMBER(E274),IF(E274&lt;1,E274*86400,E274),IFERROR(IF(ISNUMBER(FIND(":",SUBSTITUTE(TRIM(E274),",","."))),VALUE(LEFT(SUBSTITUTE(TRIM(E274),",","."),FIND(":",SUBSTITUTE(TRIM(E274),",","."))-1))*60+_xlfn.NUMBERVALUE(MID(SUBSTITUTE(TRIM(E274),",","."),FIND(":",SUBSTITUTE(TRIM(E274),",","."))+1,99),"."),_xlfn.NUMBERVALUE(SUBSTITUTE(TRIM(E274),",","."),".")),0)))</f>
        <v/>
      </c>
    </row>
    <row r="275" customFormat="false" ht="15" hidden="false" customHeight="false" outlineLevel="0" collapsed="false">
      <c r="A275" s="5"/>
      <c r="B275" s="5"/>
      <c r="C275" s="5"/>
      <c r="D275" s="5"/>
      <c r="E275" s="13"/>
      <c r="F275" s="4" t="str">
        <f aca="false">IF(OR(G275="",H275="",N(G275)=0,N(H275)&lt;=0),"",ROUNDDOWN(1000*(G275/H275)^3,0))</f>
        <v/>
      </c>
      <c r="G275" s="11" t="str">
        <f aca="false">IF(D275="","",SUMIFS('Базовые времена'!$D$2:$D$71,'Базовые времена'!$A$2:$A$71,B275,'Базовые времена'!$B$2:$B$71,C275,'Базовые времена'!$C$2:$C$71,D275))</f>
        <v/>
      </c>
      <c r="H275" s="11" t="str">
        <f aca="false">IF(E275="","",IF(ISNUMBER(E275),IF(E275&lt;1,E275*86400,E275),IFERROR(IF(ISNUMBER(FIND(":",SUBSTITUTE(TRIM(E275),",","."))),VALUE(LEFT(SUBSTITUTE(TRIM(E275),",","."),FIND(":",SUBSTITUTE(TRIM(E275),",","."))-1))*60+_xlfn.NUMBERVALUE(MID(SUBSTITUTE(TRIM(E275),",","."),FIND(":",SUBSTITUTE(TRIM(E275),",","."))+1,99),"."),_xlfn.NUMBERVALUE(SUBSTITUTE(TRIM(E275),",","."),".")),0)))</f>
        <v/>
      </c>
    </row>
    <row r="276" customFormat="false" ht="15" hidden="false" customHeight="false" outlineLevel="0" collapsed="false">
      <c r="A276" s="5"/>
      <c r="B276" s="5"/>
      <c r="C276" s="5"/>
      <c r="D276" s="5"/>
      <c r="E276" s="13"/>
      <c r="F276" s="4" t="str">
        <f aca="false">IF(OR(G276="",H276="",N(G276)=0,N(H276)&lt;=0),"",ROUNDDOWN(1000*(G276/H276)^3,0))</f>
        <v/>
      </c>
      <c r="G276" s="11" t="str">
        <f aca="false">IF(D276="","",SUMIFS('Базовые времена'!$D$2:$D$71,'Базовые времена'!$A$2:$A$71,B276,'Базовые времена'!$B$2:$B$71,C276,'Базовые времена'!$C$2:$C$71,D276))</f>
        <v/>
      </c>
      <c r="H276" s="11" t="str">
        <f aca="false">IF(E276="","",IF(ISNUMBER(E276),IF(E276&lt;1,E276*86400,E276),IFERROR(IF(ISNUMBER(FIND(":",SUBSTITUTE(TRIM(E276),",","."))),VALUE(LEFT(SUBSTITUTE(TRIM(E276),",","."),FIND(":",SUBSTITUTE(TRIM(E276),",","."))-1))*60+_xlfn.NUMBERVALUE(MID(SUBSTITUTE(TRIM(E276),",","."),FIND(":",SUBSTITUTE(TRIM(E276),",","."))+1,99),"."),_xlfn.NUMBERVALUE(SUBSTITUTE(TRIM(E276),",","."),".")),0)))</f>
        <v/>
      </c>
    </row>
    <row r="277" customFormat="false" ht="15" hidden="false" customHeight="false" outlineLevel="0" collapsed="false">
      <c r="A277" s="5"/>
      <c r="B277" s="5"/>
      <c r="C277" s="5"/>
      <c r="D277" s="5"/>
      <c r="E277" s="13"/>
      <c r="F277" s="4" t="str">
        <f aca="false">IF(OR(G277="",H277="",N(G277)=0,N(H277)&lt;=0),"",ROUNDDOWN(1000*(G277/H277)^3,0))</f>
        <v/>
      </c>
      <c r="G277" s="11" t="str">
        <f aca="false">IF(D277="","",SUMIFS('Базовые времена'!$D$2:$D$71,'Базовые времена'!$A$2:$A$71,B277,'Базовые времена'!$B$2:$B$71,C277,'Базовые времена'!$C$2:$C$71,D277))</f>
        <v/>
      </c>
      <c r="H277" s="11" t="str">
        <f aca="false">IF(E277="","",IF(ISNUMBER(E277),IF(E277&lt;1,E277*86400,E277),IFERROR(IF(ISNUMBER(FIND(":",SUBSTITUTE(TRIM(E277),",","."))),VALUE(LEFT(SUBSTITUTE(TRIM(E277),",","."),FIND(":",SUBSTITUTE(TRIM(E277),",","."))-1))*60+_xlfn.NUMBERVALUE(MID(SUBSTITUTE(TRIM(E277),",","."),FIND(":",SUBSTITUTE(TRIM(E277),",","."))+1,99),"."),_xlfn.NUMBERVALUE(SUBSTITUTE(TRIM(E277),",","."),".")),0)))</f>
        <v/>
      </c>
    </row>
    <row r="278" customFormat="false" ht="15" hidden="false" customHeight="false" outlineLevel="0" collapsed="false">
      <c r="A278" s="5"/>
      <c r="B278" s="5"/>
      <c r="C278" s="5"/>
      <c r="D278" s="5"/>
      <c r="E278" s="13"/>
      <c r="F278" s="4" t="str">
        <f aca="false">IF(OR(G278="",H278="",N(G278)=0,N(H278)&lt;=0),"",ROUNDDOWN(1000*(G278/H278)^3,0))</f>
        <v/>
      </c>
      <c r="G278" s="11" t="str">
        <f aca="false">IF(D278="","",SUMIFS('Базовые времена'!$D$2:$D$71,'Базовые времена'!$A$2:$A$71,B278,'Базовые времена'!$B$2:$B$71,C278,'Базовые времена'!$C$2:$C$71,D278))</f>
        <v/>
      </c>
      <c r="H278" s="11" t="str">
        <f aca="false">IF(E278="","",IF(ISNUMBER(E278),IF(E278&lt;1,E278*86400,E278),IFERROR(IF(ISNUMBER(FIND(":",SUBSTITUTE(TRIM(E278),",","."))),VALUE(LEFT(SUBSTITUTE(TRIM(E278),",","."),FIND(":",SUBSTITUTE(TRIM(E278),",","."))-1))*60+_xlfn.NUMBERVALUE(MID(SUBSTITUTE(TRIM(E278),",","."),FIND(":",SUBSTITUTE(TRIM(E278),",","."))+1,99),"."),_xlfn.NUMBERVALUE(SUBSTITUTE(TRIM(E278),",","."),".")),0)))</f>
        <v/>
      </c>
    </row>
    <row r="279" customFormat="false" ht="15" hidden="false" customHeight="false" outlineLevel="0" collapsed="false">
      <c r="A279" s="5"/>
      <c r="B279" s="5"/>
      <c r="C279" s="5"/>
      <c r="D279" s="5"/>
      <c r="E279" s="13"/>
      <c r="F279" s="4" t="str">
        <f aca="false">IF(OR(G279="",H279="",N(G279)=0,N(H279)&lt;=0),"",ROUNDDOWN(1000*(G279/H279)^3,0))</f>
        <v/>
      </c>
      <c r="G279" s="11" t="str">
        <f aca="false">IF(D279="","",SUMIFS('Базовые времена'!$D$2:$D$71,'Базовые времена'!$A$2:$A$71,B279,'Базовые времена'!$B$2:$B$71,C279,'Базовые времена'!$C$2:$C$71,D279))</f>
        <v/>
      </c>
      <c r="H279" s="11" t="str">
        <f aca="false">IF(E279="","",IF(ISNUMBER(E279),IF(E279&lt;1,E279*86400,E279),IFERROR(IF(ISNUMBER(FIND(":",SUBSTITUTE(TRIM(E279),",","."))),VALUE(LEFT(SUBSTITUTE(TRIM(E279),",","."),FIND(":",SUBSTITUTE(TRIM(E279),",","."))-1))*60+_xlfn.NUMBERVALUE(MID(SUBSTITUTE(TRIM(E279),",","."),FIND(":",SUBSTITUTE(TRIM(E279),",","."))+1,99),"."),_xlfn.NUMBERVALUE(SUBSTITUTE(TRIM(E279),",","."),".")),0)))</f>
        <v/>
      </c>
    </row>
    <row r="280" customFormat="false" ht="15" hidden="false" customHeight="false" outlineLevel="0" collapsed="false">
      <c r="A280" s="5"/>
      <c r="B280" s="5"/>
      <c r="C280" s="5"/>
      <c r="D280" s="5"/>
      <c r="E280" s="13"/>
      <c r="F280" s="4" t="str">
        <f aca="false">IF(OR(G280="",H280="",N(G280)=0,N(H280)&lt;=0),"",ROUNDDOWN(1000*(G280/H280)^3,0))</f>
        <v/>
      </c>
      <c r="G280" s="11" t="str">
        <f aca="false">IF(D280="","",SUMIFS('Базовые времена'!$D$2:$D$71,'Базовые времена'!$A$2:$A$71,B280,'Базовые времена'!$B$2:$B$71,C280,'Базовые времена'!$C$2:$C$71,D280))</f>
        <v/>
      </c>
      <c r="H280" s="11" t="str">
        <f aca="false">IF(E280="","",IF(ISNUMBER(E280),IF(E280&lt;1,E280*86400,E280),IFERROR(IF(ISNUMBER(FIND(":",SUBSTITUTE(TRIM(E280),",","."))),VALUE(LEFT(SUBSTITUTE(TRIM(E280),",","."),FIND(":",SUBSTITUTE(TRIM(E280),",","."))-1))*60+_xlfn.NUMBERVALUE(MID(SUBSTITUTE(TRIM(E280),",","."),FIND(":",SUBSTITUTE(TRIM(E280),",","."))+1,99),"."),_xlfn.NUMBERVALUE(SUBSTITUTE(TRIM(E280),",","."),".")),0)))</f>
        <v/>
      </c>
    </row>
    <row r="281" customFormat="false" ht="15" hidden="false" customHeight="false" outlineLevel="0" collapsed="false">
      <c r="A281" s="5"/>
      <c r="B281" s="5"/>
      <c r="C281" s="5"/>
      <c r="D281" s="5"/>
      <c r="E281" s="13"/>
      <c r="F281" s="4" t="str">
        <f aca="false">IF(OR(G281="",H281="",N(G281)=0,N(H281)&lt;=0),"",ROUNDDOWN(1000*(G281/H281)^3,0))</f>
        <v/>
      </c>
      <c r="G281" s="11" t="str">
        <f aca="false">IF(D281="","",SUMIFS('Базовые времена'!$D$2:$D$71,'Базовые времена'!$A$2:$A$71,B281,'Базовые времена'!$B$2:$B$71,C281,'Базовые времена'!$C$2:$C$71,D281))</f>
        <v/>
      </c>
      <c r="H281" s="11" t="str">
        <f aca="false">IF(E281="","",IF(ISNUMBER(E281),IF(E281&lt;1,E281*86400,E281),IFERROR(IF(ISNUMBER(FIND(":",SUBSTITUTE(TRIM(E281),",","."))),VALUE(LEFT(SUBSTITUTE(TRIM(E281),",","."),FIND(":",SUBSTITUTE(TRIM(E281),",","."))-1))*60+_xlfn.NUMBERVALUE(MID(SUBSTITUTE(TRIM(E281),",","."),FIND(":",SUBSTITUTE(TRIM(E281),",","."))+1,99),"."),_xlfn.NUMBERVALUE(SUBSTITUTE(TRIM(E281),",","."),".")),0)))</f>
        <v/>
      </c>
    </row>
    <row r="282" customFormat="false" ht="15" hidden="false" customHeight="false" outlineLevel="0" collapsed="false">
      <c r="A282" s="5"/>
      <c r="B282" s="5"/>
      <c r="C282" s="5"/>
      <c r="D282" s="5"/>
      <c r="E282" s="13"/>
      <c r="F282" s="4" t="str">
        <f aca="false">IF(OR(G282="",H282="",N(G282)=0,N(H282)&lt;=0),"",ROUNDDOWN(1000*(G282/H282)^3,0))</f>
        <v/>
      </c>
      <c r="G282" s="11" t="str">
        <f aca="false">IF(D282="","",SUMIFS('Базовые времена'!$D$2:$D$71,'Базовые времена'!$A$2:$A$71,B282,'Базовые времена'!$B$2:$B$71,C282,'Базовые времена'!$C$2:$C$71,D282))</f>
        <v/>
      </c>
      <c r="H282" s="11" t="str">
        <f aca="false">IF(E282="","",IF(ISNUMBER(E282),IF(E282&lt;1,E282*86400,E282),IFERROR(IF(ISNUMBER(FIND(":",SUBSTITUTE(TRIM(E282),",","."))),VALUE(LEFT(SUBSTITUTE(TRIM(E282),",","."),FIND(":",SUBSTITUTE(TRIM(E282),",","."))-1))*60+_xlfn.NUMBERVALUE(MID(SUBSTITUTE(TRIM(E282),",","."),FIND(":",SUBSTITUTE(TRIM(E282),",","."))+1,99),"."),_xlfn.NUMBERVALUE(SUBSTITUTE(TRIM(E282),",","."),".")),0)))</f>
        <v/>
      </c>
    </row>
    <row r="283" customFormat="false" ht="15" hidden="false" customHeight="false" outlineLevel="0" collapsed="false">
      <c r="A283" s="5"/>
      <c r="B283" s="5"/>
      <c r="C283" s="5"/>
      <c r="D283" s="5"/>
      <c r="E283" s="13"/>
      <c r="F283" s="4" t="str">
        <f aca="false">IF(OR(G283="",H283="",N(G283)=0,N(H283)&lt;=0),"",ROUNDDOWN(1000*(G283/H283)^3,0))</f>
        <v/>
      </c>
      <c r="G283" s="11" t="str">
        <f aca="false">IF(D283="","",SUMIFS('Базовые времена'!$D$2:$D$71,'Базовые времена'!$A$2:$A$71,B283,'Базовые времена'!$B$2:$B$71,C283,'Базовые времена'!$C$2:$C$71,D283))</f>
        <v/>
      </c>
      <c r="H283" s="11" t="str">
        <f aca="false">IF(E283="","",IF(ISNUMBER(E283),IF(E283&lt;1,E283*86400,E283),IFERROR(IF(ISNUMBER(FIND(":",SUBSTITUTE(TRIM(E283),",","."))),VALUE(LEFT(SUBSTITUTE(TRIM(E283),",","."),FIND(":",SUBSTITUTE(TRIM(E283),",","."))-1))*60+_xlfn.NUMBERVALUE(MID(SUBSTITUTE(TRIM(E283),",","."),FIND(":",SUBSTITUTE(TRIM(E283),",","."))+1,99),"."),_xlfn.NUMBERVALUE(SUBSTITUTE(TRIM(E283),",","."),".")),0)))</f>
        <v/>
      </c>
    </row>
    <row r="284" customFormat="false" ht="15" hidden="false" customHeight="false" outlineLevel="0" collapsed="false">
      <c r="A284" s="5"/>
      <c r="B284" s="5"/>
      <c r="C284" s="5"/>
      <c r="D284" s="5"/>
      <c r="E284" s="13"/>
      <c r="F284" s="4" t="str">
        <f aca="false">IF(OR(G284="",H284="",N(G284)=0,N(H284)&lt;=0),"",ROUNDDOWN(1000*(G284/H284)^3,0))</f>
        <v/>
      </c>
      <c r="G284" s="11" t="str">
        <f aca="false">IF(D284="","",SUMIFS('Базовые времена'!$D$2:$D$71,'Базовые времена'!$A$2:$A$71,B284,'Базовые времена'!$B$2:$B$71,C284,'Базовые времена'!$C$2:$C$71,D284))</f>
        <v/>
      </c>
      <c r="H284" s="11" t="str">
        <f aca="false">IF(E284="","",IF(ISNUMBER(E284),IF(E284&lt;1,E284*86400,E284),IFERROR(IF(ISNUMBER(FIND(":",SUBSTITUTE(TRIM(E284),",","."))),VALUE(LEFT(SUBSTITUTE(TRIM(E284),",","."),FIND(":",SUBSTITUTE(TRIM(E284),",","."))-1))*60+_xlfn.NUMBERVALUE(MID(SUBSTITUTE(TRIM(E284),",","."),FIND(":",SUBSTITUTE(TRIM(E284),",","."))+1,99),"."),_xlfn.NUMBERVALUE(SUBSTITUTE(TRIM(E284),",","."),".")),0)))</f>
        <v/>
      </c>
    </row>
    <row r="285" customFormat="false" ht="15" hidden="false" customHeight="false" outlineLevel="0" collapsed="false">
      <c r="A285" s="5"/>
      <c r="B285" s="5"/>
      <c r="C285" s="5"/>
      <c r="D285" s="5"/>
      <c r="E285" s="13"/>
      <c r="F285" s="4" t="str">
        <f aca="false">IF(OR(G285="",H285="",N(G285)=0,N(H285)&lt;=0),"",ROUNDDOWN(1000*(G285/H285)^3,0))</f>
        <v/>
      </c>
      <c r="G285" s="11" t="str">
        <f aca="false">IF(D285="","",SUMIFS('Базовые времена'!$D$2:$D$71,'Базовые времена'!$A$2:$A$71,B285,'Базовые времена'!$B$2:$B$71,C285,'Базовые времена'!$C$2:$C$71,D285))</f>
        <v/>
      </c>
      <c r="H285" s="11" t="str">
        <f aca="false">IF(E285="","",IF(ISNUMBER(E285),IF(E285&lt;1,E285*86400,E285),IFERROR(IF(ISNUMBER(FIND(":",SUBSTITUTE(TRIM(E285),",","."))),VALUE(LEFT(SUBSTITUTE(TRIM(E285),",","."),FIND(":",SUBSTITUTE(TRIM(E285),",","."))-1))*60+_xlfn.NUMBERVALUE(MID(SUBSTITUTE(TRIM(E285),",","."),FIND(":",SUBSTITUTE(TRIM(E285),",","."))+1,99),"."),_xlfn.NUMBERVALUE(SUBSTITUTE(TRIM(E285),",","."),".")),0)))</f>
        <v/>
      </c>
    </row>
    <row r="286" customFormat="false" ht="15" hidden="false" customHeight="false" outlineLevel="0" collapsed="false">
      <c r="A286" s="5"/>
      <c r="B286" s="5"/>
      <c r="C286" s="5"/>
      <c r="D286" s="5"/>
      <c r="E286" s="13"/>
      <c r="F286" s="4" t="str">
        <f aca="false">IF(OR(G286="",H286="",N(G286)=0,N(H286)&lt;=0),"",ROUNDDOWN(1000*(G286/H286)^3,0))</f>
        <v/>
      </c>
      <c r="G286" s="11" t="str">
        <f aca="false">IF(D286="","",SUMIFS('Базовые времена'!$D$2:$D$71,'Базовые времена'!$A$2:$A$71,B286,'Базовые времена'!$B$2:$B$71,C286,'Базовые времена'!$C$2:$C$71,D286))</f>
        <v/>
      </c>
      <c r="H286" s="11" t="str">
        <f aca="false">IF(E286="","",IF(ISNUMBER(E286),IF(E286&lt;1,E286*86400,E286),IFERROR(IF(ISNUMBER(FIND(":",SUBSTITUTE(TRIM(E286),",","."))),VALUE(LEFT(SUBSTITUTE(TRIM(E286),",","."),FIND(":",SUBSTITUTE(TRIM(E286),",","."))-1))*60+_xlfn.NUMBERVALUE(MID(SUBSTITUTE(TRIM(E286),",","."),FIND(":",SUBSTITUTE(TRIM(E286),",","."))+1,99),"."),_xlfn.NUMBERVALUE(SUBSTITUTE(TRIM(E286),",","."),".")),0)))</f>
        <v/>
      </c>
    </row>
    <row r="287" customFormat="false" ht="15" hidden="false" customHeight="false" outlineLevel="0" collapsed="false">
      <c r="A287" s="5"/>
      <c r="B287" s="5"/>
      <c r="C287" s="5"/>
      <c r="D287" s="5"/>
      <c r="E287" s="13"/>
      <c r="F287" s="4" t="str">
        <f aca="false">IF(OR(G287="",H287="",N(G287)=0,N(H287)&lt;=0),"",ROUNDDOWN(1000*(G287/H287)^3,0))</f>
        <v/>
      </c>
      <c r="G287" s="11" t="str">
        <f aca="false">IF(D287="","",SUMIFS('Базовые времена'!$D$2:$D$71,'Базовые времена'!$A$2:$A$71,B287,'Базовые времена'!$B$2:$B$71,C287,'Базовые времена'!$C$2:$C$71,D287))</f>
        <v/>
      </c>
      <c r="H287" s="11" t="str">
        <f aca="false">IF(E287="","",IF(ISNUMBER(E287),IF(E287&lt;1,E287*86400,E287),IFERROR(IF(ISNUMBER(FIND(":",SUBSTITUTE(TRIM(E287),",","."))),VALUE(LEFT(SUBSTITUTE(TRIM(E287),",","."),FIND(":",SUBSTITUTE(TRIM(E287),",","."))-1))*60+_xlfn.NUMBERVALUE(MID(SUBSTITUTE(TRIM(E287),",","."),FIND(":",SUBSTITUTE(TRIM(E287),",","."))+1,99),"."),_xlfn.NUMBERVALUE(SUBSTITUTE(TRIM(E287),",","."),".")),0)))</f>
        <v/>
      </c>
    </row>
    <row r="288" customFormat="false" ht="15" hidden="false" customHeight="false" outlineLevel="0" collapsed="false">
      <c r="A288" s="5"/>
      <c r="B288" s="5"/>
      <c r="C288" s="5"/>
      <c r="D288" s="5"/>
      <c r="E288" s="13"/>
      <c r="F288" s="4" t="str">
        <f aca="false">IF(OR(G288="",H288="",N(G288)=0,N(H288)&lt;=0),"",ROUNDDOWN(1000*(G288/H288)^3,0))</f>
        <v/>
      </c>
      <c r="G288" s="11" t="str">
        <f aca="false">IF(D288="","",SUMIFS('Базовые времена'!$D$2:$D$71,'Базовые времена'!$A$2:$A$71,B288,'Базовые времена'!$B$2:$B$71,C288,'Базовые времена'!$C$2:$C$71,D288))</f>
        <v/>
      </c>
      <c r="H288" s="11" t="str">
        <f aca="false">IF(E288="","",IF(ISNUMBER(E288),IF(E288&lt;1,E288*86400,E288),IFERROR(IF(ISNUMBER(FIND(":",SUBSTITUTE(TRIM(E288),",","."))),VALUE(LEFT(SUBSTITUTE(TRIM(E288),",","."),FIND(":",SUBSTITUTE(TRIM(E288),",","."))-1))*60+_xlfn.NUMBERVALUE(MID(SUBSTITUTE(TRIM(E288),",","."),FIND(":",SUBSTITUTE(TRIM(E288),",","."))+1,99),"."),_xlfn.NUMBERVALUE(SUBSTITUTE(TRIM(E288),",","."),".")),0)))</f>
        <v/>
      </c>
    </row>
    <row r="289" customFormat="false" ht="15" hidden="false" customHeight="false" outlineLevel="0" collapsed="false">
      <c r="A289" s="5"/>
      <c r="B289" s="5"/>
      <c r="C289" s="5"/>
      <c r="D289" s="5"/>
      <c r="E289" s="13"/>
      <c r="F289" s="4" t="str">
        <f aca="false">IF(OR(G289="",H289="",N(G289)=0,N(H289)&lt;=0),"",ROUNDDOWN(1000*(G289/H289)^3,0))</f>
        <v/>
      </c>
      <c r="G289" s="11" t="str">
        <f aca="false">IF(D289="","",SUMIFS('Базовые времена'!$D$2:$D$71,'Базовые времена'!$A$2:$A$71,B289,'Базовые времена'!$B$2:$B$71,C289,'Базовые времена'!$C$2:$C$71,D289))</f>
        <v/>
      </c>
      <c r="H289" s="11" t="str">
        <f aca="false">IF(E289="","",IF(ISNUMBER(E289),IF(E289&lt;1,E289*86400,E289),IFERROR(IF(ISNUMBER(FIND(":",SUBSTITUTE(TRIM(E289),",","."))),VALUE(LEFT(SUBSTITUTE(TRIM(E289),",","."),FIND(":",SUBSTITUTE(TRIM(E289),",","."))-1))*60+_xlfn.NUMBERVALUE(MID(SUBSTITUTE(TRIM(E289),",","."),FIND(":",SUBSTITUTE(TRIM(E289),",","."))+1,99),"."),_xlfn.NUMBERVALUE(SUBSTITUTE(TRIM(E289),",","."),".")),0)))</f>
        <v/>
      </c>
    </row>
    <row r="290" customFormat="false" ht="15" hidden="false" customHeight="false" outlineLevel="0" collapsed="false">
      <c r="A290" s="5"/>
      <c r="B290" s="5"/>
      <c r="C290" s="5"/>
      <c r="D290" s="5"/>
      <c r="E290" s="13"/>
      <c r="F290" s="4" t="str">
        <f aca="false">IF(OR(G290="",H290="",N(G290)=0,N(H290)&lt;=0),"",ROUNDDOWN(1000*(G290/H290)^3,0))</f>
        <v/>
      </c>
      <c r="G290" s="11" t="str">
        <f aca="false">IF(D290="","",SUMIFS('Базовые времена'!$D$2:$D$71,'Базовые времена'!$A$2:$A$71,B290,'Базовые времена'!$B$2:$B$71,C290,'Базовые времена'!$C$2:$C$71,D290))</f>
        <v/>
      </c>
      <c r="H290" s="11" t="str">
        <f aca="false">IF(E290="","",IF(ISNUMBER(E290),IF(E290&lt;1,E290*86400,E290),IFERROR(IF(ISNUMBER(FIND(":",SUBSTITUTE(TRIM(E290),",","."))),VALUE(LEFT(SUBSTITUTE(TRIM(E290),",","."),FIND(":",SUBSTITUTE(TRIM(E290),",","."))-1))*60+_xlfn.NUMBERVALUE(MID(SUBSTITUTE(TRIM(E290),",","."),FIND(":",SUBSTITUTE(TRIM(E290),",","."))+1,99),"."),_xlfn.NUMBERVALUE(SUBSTITUTE(TRIM(E290),",","."),".")),0)))</f>
        <v/>
      </c>
    </row>
    <row r="291" customFormat="false" ht="15" hidden="false" customHeight="false" outlineLevel="0" collapsed="false">
      <c r="A291" s="5"/>
      <c r="B291" s="5"/>
      <c r="C291" s="5"/>
      <c r="D291" s="5"/>
      <c r="E291" s="13"/>
      <c r="F291" s="4" t="str">
        <f aca="false">IF(OR(G291="",H291="",N(G291)=0,N(H291)&lt;=0),"",ROUNDDOWN(1000*(G291/H291)^3,0))</f>
        <v/>
      </c>
      <c r="G291" s="11" t="str">
        <f aca="false">IF(D291="","",SUMIFS('Базовые времена'!$D$2:$D$71,'Базовые времена'!$A$2:$A$71,B291,'Базовые времена'!$B$2:$B$71,C291,'Базовые времена'!$C$2:$C$71,D291))</f>
        <v/>
      </c>
      <c r="H291" s="11" t="str">
        <f aca="false">IF(E291="","",IF(ISNUMBER(E291),IF(E291&lt;1,E291*86400,E291),IFERROR(IF(ISNUMBER(FIND(":",SUBSTITUTE(TRIM(E291),",","."))),VALUE(LEFT(SUBSTITUTE(TRIM(E291),",","."),FIND(":",SUBSTITUTE(TRIM(E291),",","."))-1))*60+_xlfn.NUMBERVALUE(MID(SUBSTITUTE(TRIM(E291),",","."),FIND(":",SUBSTITUTE(TRIM(E291),",","."))+1,99),"."),_xlfn.NUMBERVALUE(SUBSTITUTE(TRIM(E291),",","."),".")),0)))</f>
        <v/>
      </c>
    </row>
    <row r="292" customFormat="false" ht="15" hidden="false" customHeight="false" outlineLevel="0" collapsed="false">
      <c r="A292" s="5"/>
      <c r="B292" s="5"/>
      <c r="C292" s="5"/>
      <c r="D292" s="5"/>
      <c r="E292" s="13"/>
      <c r="F292" s="4" t="str">
        <f aca="false">IF(OR(G292="",H292="",N(G292)=0,N(H292)&lt;=0),"",ROUNDDOWN(1000*(G292/H292)^3,0))</f>
        <v/>
      </c>
      <c r="G292" s="11" t="str">
        <f aca="false">IF(D292="","",SUMIFS('Базовые времена'!$D$2:$D$71,'Базовые времена'!$A$2:$A$71,B292,'Базовые времена'!$B$2:$B$71,C292,'Базовые времена'!$C$2:$C$71,D292))</f>
        <v/>
      </c>
      <c r="H292" s="11" t="str">
        <f aca="false">IF(E292="","",IF(ISNUMBER(E292),IF(E292&lt;1,E292*86400,E292),IFERROR(IF(ISNUMBER(FIND(":",SUBSTITUTE(TRIM(E292),",","."))),VALUE(LEFT(SUBSTITUTE(TRIM(E292),",","."),FIND(":",SUBSTITUTE(TRIM(E292),",","."))-1))*60+_xlfn.NUMBERVALUE(MID(SUBSTITUTE(TRIM(E292),",","."),FIND(":",SUBSTITUTE(TRIM(E292),",","."))+1,99),"."),_xlfn.NUMBERVALUE(SUBSTITUTE(TRIM(E292),",","."),".")),0)))</f>
        <v/>
      </c>
    </row>
    <row r="293" customFormat="false" ht="15" hidden="false" customHeight="false" outlineLevel="0" collapsed="false">
      <c r="A293" s="5"/>
      <c r="B293" s="5"/>
      <c r="C293" s="5"/>
      <c r="D293" s="5"/>
      <c r="E293" s="13"/>
      <c r="F293" s="4" t="str">
        <f aca="false">IF(OR(G293="",H293="",N(G293)=0,N(H293)&lt;=0),"",ROUNDDOWN(1000*(G293/H293)^3,0))</f>
        <v/>
      </c>
      <c r="G293" s="11" t="str">
        <f aca="false">IF(D293="","",SUMIFS('Базовые времена'!$D$2:$D$71,'Базовые времена'!$A$2:$A$71,B293,'Базовые времена'!$B$2:$B$71,C293,'Базовые времена'!$C$2:$C$71,D293))</f>
        <v/>
      </c>
      <c r="H293" s="11" t="str">
        <f aca="false">IF(E293="","",IF(ISNUMBER(E293),IF(E293&lt;1,E293*86400,E293),IFERROR(IF(ISNUMBER(FIND(":",SUBSTITUTE(TRIM(E293),",","."))),VALUE(LEFT(SUBSTITUTE(TRIM(E293),",","."),FIND(":",SUBSTITUTE(TRIM(E293),",","."))-1))*60+_xlfn.NUMBERVALUE(MID(SUBSTITUTE(TRIM(E293),",","."),FIND(":",SUBSTITUTE(TRIM(E293),",","."))+1,99),"."),_xlfn.NUMBERVALUE(SUBSTITUTE(TRIM(E293),",","."),".")),0)))</f>
        <v/>
      </c>
    </row>
    <row r="294" customFormat="false" ht="15" hidden="false" customHeight="false" outlineLevel="0" collapsed="false">
      <c r="A294" s="5"/>
      <c r="B294" s="5"/>
      <c r="C294" s="5"/>
      <c r="D294" s="5"/>
      <c r="E294" s="13"/>
      <c r="F294" s="4" t="str">
        <f aca="false">IF(OR(G294="",H294="",N(G294)=0,N(H294)&lt;=0),"",ROUNDDOWN(1000*(G294/H294)^3,0))</f>
        <v/>
      </c>
      <c r="G294" s="11" t="str">
        <f aca="false">IF(D294="","",SUMIFS('Базовые времена'!$D$2:$D$71,'Базовые времена'!$A$2:$A$71,B294,'Базовые времена'!$B$2:$B$71,C294,'Базовые времена'!$C$2:$C$71,D294))</f>
        <v/>
      </c>
      <c r="H294" s="11" t="str">
        <f aca="false">IF(E294="","",IF(ISNUMBER(E294),IF(E294&lt;1,E294*86400,E294),IFERROR(IF(ISNUMBER(FIND(":",SUBSTITUTE(TRIM(E294),",","."))),VALUE(LEFT(SUBSTITUTE(TRIM(E294),",","."),FIND(":",SUBSTITUTE(TRIM(E294),",","."))-1))*60+_xlfn.NUMBERVALUE(MID(SUBSTITUTE(TRIM(E294),",","."),FIND(":",SUBSTITUTE(TRIM(E294),",","."))+1,99),"."),_xlfn.NUMBERVALUE(SUBSTITUTE(TRIM(E294),",","."),".")),0)))</f>
        <v/>
      </c>
    </row>
    <row r="295" customFormat="false" ht="15" hidden="false" customHeight="false" outlineLevel="0" collapsed="false">
      <c r="A295" s="5"/>
      <c r="B295" s="5"/>
      <c r="C295" s="5"/>
      <c r="D295" s="5"/>
      <c r="E295" s="13"/>
      <c r="F295" s="4" t="str">
        <f aca="false">IF(OR(G295="",H295="",N(G295)=0,N(H295)&lt;=0),"",ROUNDDOWN(1000*(G295/H295)^3,0))</f>
        <v/>
      </c>
      <c r="G295" s="11" t="str">
        <f aca="false">IF(D295="","",SUMIFS('Базовые времена'!$D$2:$D$71,'Базовые времена'!$A$2:$A$71,B295,'Базовые времена'!$B$2:$B$71,C295,'Базовые времена'!$C$2:$C$71,D295))</f>
        <v/>
      </c>
      <c r="H295" s="11" t="str">
        <f aca="false">IF(E295="","",IF(ISNUMBER(E295),IF(E295&lt;1,E295*86400,E295),IFERROR(IF(ISNUMBER(FIND(":",SUBSTITUTE(TRIM(E295),",","."))),VALUE(LEFT(SUBSTITUTE(TRIM(E295),",","."),FIND(":",SUBSTITUTE(TRIM(E295),",","."))-1))*60+_xlfn.NUMBERVALUE(MID(SUBSTITUTE(TRIM(E295),",","."),FIND(":",SUBSTITUTE(TRIM(E295),",","."))+1,99),"."),_xlfn.NUMBERVALUE(SUBSTITUTE(TRIM(E295),",","."),".")),0)))</f>
        <v/>
      </c>
    </row>
    <row r="296" customFormat="false" ht="15" hidden="false" customHeight="false" outlineLevel="0" collapsed="false">
      <c r="A296" s="5"/>
      <c r="B296" s="5"/>
      <c r="C296" s="5"/>
      <c r="D296" s="5"/>
      <c r="E296" s="13"/>
      <c r="F296" s="4" t="str">
        <f aca="false">IF(OR(G296="",H296="",N(G296)=0,N(H296)&lt;=0),"",ROUNDDOWN(1000*(G296/H296)^3,0))</f>
        <v/>
      </c>
      <c r="G296" s="11" t="str">
        <f aca="false">IF(D296="","",SUMIFS('Базовые времена'!$D$2:$D$71,'Базовые времена'!$A$2:$A$71,B296,'Базовые времена'!$B$2:$B$71,C296,'Базовые времена'!$C$2:$C$71,D296))</f>
        <v/>
      </c>
      <c r="H296" s="11" t="str">
        <f aca="false">IF(E296="","",IF(ISNUMBER(E296),IF(E296&lt;1,E296*86400,E296),IFERROR(IF(ISNUMBER(FIND(":",SUBSTITUTE(TRIM(E296),",","."))),VALUE(LEFT(SUBSTITUTE(TRIM(E296),",","."),FIND(":",SUBSTITUTE(TRIM(E296),",","."))-1))*60+_xlfn.NUMBERVALUE(MID(SUBSTITUTE(TRIM(E296),",","."),FIND(":",SUBSTITUTE(TRIM(E296),",","."))+1,99),"."),_xlfn.NUMBERVALUE(SUBSTITUTE(TRIM(E296),",","."),".")),0)))</f>
        <v/>
      </c>
    </row>
    <row r="297" customFormat="false" ht="15" hidden="false" customHeight="false" outlineLevel="0" collapsed="false">
      <c r="A297" s="5"/>
      <c r="B297" s="5"/>
      <c r="C297" s="5"/>
      <c r="D297" s="5"/>
      <c r="E297" s="13"/>
      <c r="F297" s="4" t="str">
        <f aca="false">IF(OR(G297="",H297="",N(G297)=0,N(H297)&lt;=0),"",ROUNDDOWN(1000*(G297/H297)^3,0))</f>
        <v/>
      </c>
      <c r="G297" s="11" t="str">
        <f aca="false">IF(D297="","",SUMIFS('Базовые времена'!$D$2:$D$71,'Базовые времена'!$A$2:$A$71,B297,'Базовые времена'!$B$2:$B$71,C297,'Базовые времена'!$C$2:$C$71,D297))</f>
        <v/>
      </c>
      <c r="H297" s="11" t="str">
        <f aca="false">IF(E297="","",IF(ISNUMBER(E297),IF(E297&lt;1,E297*86400,E297),IFERROR(IF(ISNUMBER(FIND(":",SUBSTITUTE(TRIM(E297),",","."))),VALUE(LEFT(SUBSTITUTE(TRIM(E297),",","."),FIND(":",SUBSTITUTE(TRIM(E297),",","."))-1))*60+_xlfn.NUMBERVALUE(MID(SUBSTITUTE(TRIM(E297),",","."),FIND(":",SUBSTITUTE(TRIM(E297),",","."))+1,99),"."),_xlfn.NUMBERVALUE(SUBSTITUTE(TRIM(E297),",","."),".")),0)))</f>
        <v/>
      </c>
    </row>
    <row r="298" customFormat="false" ht="15" hidden="false" customHeight="false" outlineLevel="0" collapsed="false">
      <c r="A298" s="5"/>
      <c r="B298" s="5"/>
      <c r="C298" s="5"/>
      <c r="D298" s="5"/>
      <c r="E298" s="13"/>
      <c r="F298" s="4" t="str">
        <f aca="false">IF(OR(G298="",H298="",N(G298)=0,N(H298)&lt;=0),"",ROUNDDOWN(1000*(G298/H298)^3,0))</f>
        <v/>
      </c>
      <c r="G298" s="11" t="str">
        <f aca="false">IF(D298="","",SUMIFS('Базовые времена'!$D$2:$D$71,'Базовые времена'!$A$2:$A$71,B298,'Базовые времена'!$B$2:$B$71,C298,'Базовые времена'!$C$2:$C$71,D298))</f>
        <v/>
      </c>
      <c r="H298" s="11" t="str">
        <f aca="false">IF(E298="","",IF(ISNUMBER(E298),IF(E298&lt;1,E298*86400,E298),IFERROR(IF(ISNUMBER(FIND(":",SUBSTITUTE(TRIM(E298),",","."))),VALUE(LEFT(SUBSTITUTE(TRIM(E298),",","."),FIND(":",SUBSTITUTE(TRIM(E298),",","."))-1))*60+_xlfn.NUMBERVALUE(MID(SUBSTITUTE(TRIM(E298),",","."),FIND(":",SUBSTITUTE(TRIM(E298),",","."))+1,99),"."),_xlfn.NUMBERVALUE(SUBSTITUTE(TRIM(E298),",","."),".")),0)))</f>
        <v/>
      </c>
    </row>
    <row r="299" customFormat="false" ht="15" hidden="false" customHeight="false" outlineLevel="0" collapsed="false">
      <c r="A299" s="5"/>
      <c r="B299" s="5"/>
      <c r="C299" s="5"/>
      <c r="D299" s="5"/>
      <c r="E299" s="13"/>
      <c r="F299" s="4" t="str">
        <f aca="false">IF(OR(G299="",H299="",N(G299)=0,N(H299)&lt;=0),"",ROUNDDOWN(1000*(G299/H299)^3,0))</f>
        <v/>
      </c>
      <c r="G299" s="11" t="str">
        <f aca="false">IF(D299="","",SUMIFS('Базовые времена'!$D$2:$D$71,'Базовые времена'!$A$2:$A$71,B299,'Базовые времена'!$B$2:$B$71,C299,'Базовые времена'!$C$2:$C$71,D299))</f>
        <v/>
      </c>
      <c r="H299" s="11" t="str">
        <f aca="false">IF(E299="","",IF(ISNUMBER(E299),IF(E299&lt;1,E299*86400,E299),IFERROR(IF(ISNUMBER(FIND(":",SUBSTITUTE(TRIM(E299),",","."))),VALUE(LEFT(SUBSTITUTE(TRIM(E299),",","."),FIND(":",SUBSTITUTE(TRIM(E299),",","."))-1))*60+_xlfn.NUMBERVALUE(MID(SUBSTITUTE(TRIM(E299),",","."),FIND(":",SUBSTITUTE(TRIM(E299),",","."))+1,99),"."),_xlfn.NUMBERVALUE(SUBSTITUTE(TRIM(E299),",","."),".")),0)))</f>
        <v/>
      </c>
    </row>
    <row r="300" customFormat="false" ht="15" hidden="false" customHeight="false" outlineLevel="0" collapsed="false">
      <c r="A300" s="5"/>
      <c r="B300" s="5"/>
      <c r="C300" s="5"/>
      <c r="D300" s="5"/>
      <c r="E300" s="13"/>
      <c r="F300" s="4" t="str">
        <f aca="false">IF(OR(G300="",H300="",N(G300)=0,N(H300)&lt;=0),"",ROUNDDOWN(1000*(G300/H300)^3,0))</f>
        <v/>
      </c>
      <c r="G300" s="11" t="str">
        <f aca="false">IF(D300="","",SUMIFS('Базовые времена'!$D$2:$D$71,'Базовые времена'!$A$2:$A$71,B300,'Базовые времена'!$B$2:$B$71,C300,'Базовые времена'!$C$2:$C$71,D300))</f>
        <v/>
      </c>
      <c r="H300" s="11" t="str">
        <f aca="false">IF(E300="","",IF(ISNUMBER(E300),IF(E300&lt;1,E300*86400,E300),IFERROR(IF(ISNUMBER(FIND(":",SUBSTITUTE(TRIM(E300),",","."))),VALUE(LEFT(SUBSTITUTE(TRIM(E300),",","."),FIND(":",SUBSTITUTE(TRIM(E300),",","."))-1))*60+_xlfn.NUMBERVALUE(MID(SUBSTITUTE(TRIM(E300),",","."),FIND(":",SUBSTITUTE(TRIM(E300),",","."))+1,99),"."),_xlfn.NUMBERVALUE(SUBSTITUTE(TRIM(E300),",","."),".")),0)))</f>
        <v/>
      </c>
    </row>
    <row r="301" customFormat="false" ht="15" hidden="false" customHeight="false" outlineLevel="0" collapsed="false">
      <c r="A301" s="5"/>
      <c r="B301" s="5"/>
      <c r="C301" s="5"/>
      <c r="D301" s="5"/>
      <c r="E301" s="13"/>
      <c r="F301" s="4" t="str">
        <f aca="false">IF(OR(G301="",H301="",N(G301)=0,N(H301)&lt;=0),"",ROUNDDOWN(1000*(G301/H301)^3,0))</f>
        <v/>
      </c>
      <c r="G301" s="11" t="str">
        <f aca="false">IF(D301="","",SUMIFS('Базовые времена'!$D$2:$D$71,'Базовые времена'!$A$2:$A$71,B301,'Базовые времена'!$B$2:$B$71,C301,'Базовые времена'!$C$2:$C$71,D301))</f>
        <v/>
      </c>
      <c r="H301" s="11" t="str">
        <f aca="false">IF(E301="","",IF(ISNUMBER(E301),IF(E301&lt;1,E301*86400,E301),IFERROR(IF(ISNUMBER(FIND(":",SUBSTITUTE(TRIM(E301),",","."))),VALUE(LEFT(SUBSTITUTE(TRIM(E301),",","."),FIND(":",SUBSTITUTE(TRIM(E301),",","."))-1))*60+_xlfn.NUMBERVALUE(MID(SUBSTITUTE(TRIM(E301),",","."),FIND(":",SUBSTITUTE(TRIM(E301),",","."))+1,99),"."),_xlfn.NUMBERVALUE(SUBSTITUTE(TRIM(E301),",","."),".")),0)))</f>
        <v/>
      </c>
    </row>
    <row r="302" customFormat="false" ht="15" hidden="false" customHeight="false" outlineLevel="0" collapsed="false">
      <c r="A302" s="5"/>
      <c r="B302" s="5"/>
      <c r="C302" s="5"/>
      <c r="D302" s="5"/>
      <c r="E302" s="13"/>
      <c r="F302" s="4" t="str">
        <f aca="false">IF(OR(G302="",H302="",N(G302)=0,N(H302)&lt;=0),"",ROUNDDOWN(1000*(G302/H302)^3,0))</f>
        <v/>
      </c>
      <c r="G302" s="11" t="str">
        <f aca="false">IF(D302="","",SUMIFS('Базовые времена'!$D$2:$D$71,'Базовые времена'!$A$2:$A$71,B302,'Базовые времена'!$B$2:$B$71,C302,'Базовые времена'!$C$2:$C$71,D302))</f>
        <v/>
      </c>
      <c r="H302" s="11" t="str">
        <f aca="false">IF(E302="","",IF(ISNUMBER(E302),IF(E302&lt;1,E302*86400,E302),IFERROR(IF(ISNUMBER(FIND(":",SUBSTITUTE(TRIM(E302),",","."))),VALUE(LEFT(SUBSTITUTE(TRIM(E302),",","."),FIND(":",SUBSTITUTE(TRIM(E302),",","."))-1))*60+_xlfn.NUMBERVALUE(MID(SUBSTITUTE(TRIM(E302),",","."),FIND(":",SUBSTITUTE(TRIM(E302),",","."))+1,99),"."),_xlfn.NUMBERVALUE(SUBSTITUTE(TRIM(E302),",","."),".")),0)))</f>
        <v/>
      </c>
    </row>
    <row r="303" customFormat="false" ht="15" hidden="false" customHeight="false" outlineLevel="0" collapsed="false">
      <c r="A303" s="5"/>
      <c r="B303" s="5"/>
      <c r="C303" s="5"/>
      <c r="D303" s="5"/>
      <c r="E303" s="13"/>
      <c r="F303" s="4" t="str">
        <f aca="false">IF(OR(G303="",H303="",N(G303)=0,N(H303)&lt;=0),"",ROUNDDOWN(1000*(G303/H303)^3,0))</f>
        <v/>
      </c>
      <c r="G303" s="11" t="str">
        <f aca="false">IF(D303="","",SUMIFS('Базовые времена'!$D$2:$D$71,'Базовые времена'!$A$2:$A$71,B303,'Базовые времена'!$B$2:$B$71,C303,'Базовые времена'!$C$2:$C$71,D303))</f>
        <v/>
      </c>
      <c r="H303" s="11" t="str">
        <f aca="false">IF(E303="","",IF(ISNUMBER(E303),IF(E303&lt;1,E303*86400,E303),IFERROR(IF(ISNUMBER(FIND(":",SUBSTITUTE(TRIM(E303),",","."))),VALUE(LEFT(SUBSTITUTE(TRIM(E303),",","."),FIND(":",SUBSTITUTE(TRIM(E303),",","."))-1))*60+_xlfn.NUMBERVALUE(MID(SUBSTITUTE(TRIM(E303),",","."),FIND(":",SUBSTITUTE(TRIM(E303),",","."))+1,99),"."),_xlfn.NUMBERVALUE(SUBSTITUTE(TRIM(E303),",","."),".")),0)))</f>
        <v/>
      </c>
    </row>
    <row r="304" customFormat="false" ht="15" hidden="false" customHeight="false" outlineLevel="0" collapsed="false">
      <c r="A304" s="5"/>
      <c r="B304" s="5"/>
      <c r="C304" s="5"/>
      <c r="D304" s="5"/>
      <c r="E304" s="13"/>
      <c r="F304" s="4" t="str">
        <f aca="false">IF(OR(G304="",H304="",N(G304)=0,N(H304)&lt;=0),"",ROUNDDOWN(1000*(G304/H304)^3,0))</f>
        <v/>
      </c>
      <c r="G304" s="11" t="str">
        <f aca="false">IF(D304="","",SUMIFS('Базовые времена'!$D$2:$D$71,'Базовые времена'!$A$2:$A$71,B304,'Базовые времена'!$B$2:$B$71,C304,'Базовые времена'!$C$2:$C$71,D304))</f>
        <v/>
      </c>
      <c r="H304" s="11" t="str">
        <f aca="false">IF(E304="","",IF(ISNUMBER(E304),IF(E304&lt;1,E304*86400,E304),IFERROR(IF(ISNUMBER(FIND(":",SUBSTITUTE(TRIM(E304),",","."))),VALUE(LEFT(SUBSTITUTE(TRIM(E304),",","."),FIND(":",SUBSTITUTE(TRIM(E304),",","."))-1))*60+_xlfn.NUMBERVALUE(MID(SUBSTITUTE(TRIM(E304),",","."),FIND(":",SUBSTITUTE(TRIM(E304),",","."))+1,99),"."),_xlfn.NUMBERVALUE(SUBSTITUTE(TRIM(E304),",","."),".")),0)))</f>
        <v/>
      </c>
    </row>
    <row r="305" customFormat="false" ht="15" hidden="false" customHeight="false" outlineLevel="0" collapsed="false">
      <c r="A305" s="5"/>
      <c r="B305" s="5"/>
      <c r="C305" s="5"/>
      <c r="D305" s="5"/>
      <c r="E305" s="13"/>
      <c r="F305" s="4" t="str">
        <f aca="false">IF(OR(G305="",H305="",N(G305)=0,N(H305)&lt;=0),"",ROUNDDOWN(1000*(G305/H305)^3,0))</f>
        <v/>
      </c>
      <c r="G305" s="11" t="str">
        <f aca="false">IF(D305="","",SUMIFS('Базовые времена'!$D$2:$D$71,'Базовые времена'!$A$2:$A$71,B305,'Базовые времена'!$B$2:$B$71,C305,'Базовые времена'!$C$2:$C$71,D305))</f>
        <v/>
      </c>
      <c r="H305" s="11" t="str">
        <f aca="false">IF(E305="","",IF(ISNUMBER(E305),IF(E305&lt;1,E305*86400,E305),IFERROR(IF(ISNUMBER(FIND(":",SUBSTITUTE(TRIM(E305),",","."))),VALUE(LEFT(SUBSTITUTE(TRIM(E305),",","."),FIND(":",SUBSTITUTE(TRIM(E305),",","."))-1))*60+_xlfn.NUMBERVALUE(MID(SUBSTITUTE(TRIM(E305),",","."),FIND(":",SUBSTITUTE(TRIM(E305),",","."))+1,99),"."),_xlfn.NUMBERVALUE(SUBSTITUTE(TRIM(E305),",","."),".")),0)))</f>
        <v/>
      </c>
    </row>
    <row r="306" customFormat="false" ht="15" hidden="false" customHeight="false" outlineLevel="0" collapsed="false">
      <c r="A306" s="5"/>
      <c r="B306" s="5"/>
      <c r="C306" s="5"/>
      <c r="D306" s="5"/>
      <c r="E306" s="13"/>
      <c r="F306" s="4" t="str">
        <f aca="false">IF(OR(G306="",H306="",N(G306)=0,N(H306)&lt;=0),"",ROUNDDOWN(1000*(G306/H306)^3,0))</f>
        <v/>
      </c>
      <c r="G306" s="11" t="str">
        <f aca="false">IF(D306="","",SUMIFS('Базовые времена'!$D$2:$D$71,'Базовые времена'!$A$2:$A$71,B306,'Базовые времена'!$B$2:$B$71,C306,'Базовые времена'!$C$2:$C$71,D306))</f>
        <v/>
      </c>
      <c r="H306" s="11" t="str">
        <f aca="false">IF(E306="","",IF(ISNUMBER(E306),IF(E306&lt;1,E306*86400,E306),IFERROR(IF(ISNUMBER(FIND(":",SUBSTITUTE(TRIM(E306),",","."))),VALUE(LEFT(SUBSTITUTE(TRIM(E306),",","."),FIND(":",SUBSTITUTE(TRIM(E306),",","."))-1))*60+_xlfn.NUMBERVALUE(MID(SUBSTITUTE(TRIM(E306),",","."),FIND(":",SUBSTITUTE(TRIM(E306),",","."))+1,99),"."),_xlfn.NUMBERVALUE(SUBSTITUTE(TRIM(E306),",","."),".")),0)))</f>
        <v/>
      </c>
    </row>
    <row r="307" customFormat="false" ht="15" hidden="false" customHeight="false" outlineLevel="0" collapsed="false">
      <c r="A307" s="5"/>
      <c r="B307" s="5"/>
      <c r="C307" s="5"/>
      <c r="D307" s="5"/>
      <c r="E307" s="13"/>
      <c r="F307" s="4" t="str">
        <f aca="false">IF(OR(G307="",H307="",N(G307)=0,N(H307)&lt;=0),"",ROUNDDOWN(1000*(G307/H307)^3,0))</f>
        <v/>
      </c>
      <c r="G307" s="11" t="str">
        <f aca="false">IF(D307="","",SUMIFS('Базовые времена'!$D$2:$D$71,'Базовые времена'!$A$2:$A$71,B307,'Базовые времена'!$B$2:$B$71,C307,'Базовые времена'!$C$2:$C$71,D307))</f>
        <v/>
      </c>
      <c r="H307" s="11" t="str">
        <f aca="false">IF(E307="","",IF(ISNUMBER(E307),IF(E307&lt;1,E307*86400,E307),IFERROR(IF(ISNUMBER(FIND(":",SUBSTITUTE(TRIM(E307),",","."))),VALUE(LEFT(SUBSTITUTE(TRIM(E307),",","."),FIND(":",SUBSTITUTE(TRIM(E307),",","."))-1))*60+_xlfn.NUMBERVALUE(MID(SUBSTITUTE(TRIM(E307),",","."),FIND(":",SUBSTITUTE(TRIM(E307),",","."))+1,99),"."),_xlfn.NUMBERVALUE(SUBSTITUTE(TRIM(E307),",","."),".")),0)))</f>
        <v/>
      </c>
    </row>
    <row r="308" customFormat="false" ht="15" hidden="false" customHeight="false" outlineLevel="0" collapsed="false">
      <c r="A308" s="5"/>
      <c r="B308" s="5"/>
      <c r="C308" s="5"/>
      <c r="D308" s="5"/>
      <c r="E308" s="13"/>
      <c r="F308" s="4" t="str">
        <f aca="false">IF(OR(G308="",H308="",N(G308)=0,N(H308)&lt;=0),"",ROUNDDOWN(1000*(G308/H308)^3,0))</f>
        <v/>
      </c>
      <c r="G308" s="11" t="str">
        <f aca="false">IF(D308="","",SUMIFS('Базовые времена'!$D$2:$D$71,'Базовые времена'!$A$2:$A$71,B308,'Базовые времена'!$B$2:$B$71,C308,'Базовые времена'!$C$2:$C$71,D308))</f>
        <v/>
      </c>
      <c r="H308" s="11" t="str">
        <f aca="false">IF(E308="","",IF(ISNUMBER(E308),IF(E308&lt;1,E308*86400,E308),IFERROR(IF(ISNUMBER(FIND(":",SUBSTITUTE(TRIM(E308),",","."))),VALUE(LEFT(SUBSTITUTE(TRIM(E308),",","."),FIND(":",SUBSTITUTE(TRIM(E308),",","."))-1))*60+_xlfn.NUMBERVALUE(MID(SUBSTITUTE(TRIM(E308),",","."),FIND(":",SUBSTITUTE(TRIM(E308),",","."))+1,99),"."),_xlfn.NUMBERVALUE(SUBSTITUTE(TRIM(E308),",","."),".")),0)))</f>
        <v/>
      </c>
    </row>
    <row r="309" customFormat="false" ht="15" hidden="false" customHeight="false" outlineLevel="0" collapsed="false">
      <c r="A309" s="5"/>
      <c r="B309" s="5"/>
      <c r="C309" s="5"/>
      <c r="D309" s="5"/>
      <c r="E309" s="13"/>
      <c r="F309" s="4" t="str">
        <f aca="false">IF(OR(G309="",H309="",N(G309)=0,N(H309)&lt;=0),"",ROUNDDOWN(1000*(G309/H309)^3,0))</f>
        <v/>
      </c>
      <c r="G309" s="11" t="str">
        <f aca="false">IF(D309="","",SUMIFS('Базовые времена'!$D$2:$D$71,'Базовые времена'!$A$2:$A$71,B309,'Базовые времена'!$B$2:$B$71,C309,'Базовые времена'!$C$2:$C$71,D309))</f>
        <v/>
      </c>
      <c r="H309" s="11" t="str">
        <f aca="false">IF(E309="","",IF(ISNUMBER(E309),IF(E309&lt;1,E309*86400,E309),IFERROR(IF(ISNUMBER(FIND(":",SUBSTITUTE(TRIM(E309),",","."))),VALUE(LEFT(SUBSTITUTE(TRIM(E309),",","."),FIND(":",SUBSTITUTE(TRIM(E309),",","."))-1))*60+_xlfn.NUMBERVALUE(MID(SUBSTITUTE(TRIM(E309),",","."),FIND(":",SUBSTITUTE(TRIM(E309),",","."))+1,99),"."),_xlfn.NUMBERVALUE(SUBSTITUTE(TRIM(E309),",","."),".")),0)))</f>
        <v/>
      </c>
    </row>
    <row r="310" customFormat="false" ht="15" hidden="false" customHeight="false" outlineLevel="0" collapsed="false">
      <c r="A310" s="5"/>
      <c r="B310" s="5"/>
      <c r="C310" s="5"/>
      <c r="D310" s="5"/>
      <c r="E310" s="13"/>
      <c r="F310" s="4" t="str">
        <f aca="false">IF(OR(G310="",H310="",N(G310)=0,N(H310)&lt;=0),"",ROUNDDOWN(1000*(G310/H310)^3,0))</f>
        <v/>
      </c>
      <c r="G310" s="11" t="str">
        <f aca="false">IF(D310="","",SUMIFS('Базовые времена'!$D$2:$D$71,'Базовые времена'!$A$2:$A$71,B310,'Базовые времена'!$B$2:$B$71,C310,'Базовые времена'!$C$2:$C$71,D310))</f>
        <v/>
      </c>
      <c r="H310" s="11" t="str">
        <f aca="false">IF(E310="","",IF(ISNUMBER(E310),IF(E310&lt;1,E310*86400,E310),IFERROR(IF(ISNUMBER(FIND(":",SUBSTITUTE(TRIM(E310),",","."))),VALUE(LEFT(SUBSTITUTE(TRIM(E310),",","."),FIND(":",SUBSTITUTE(TRIM(E310),",","."))-1))*60+_xlfn.NUMBERVALUE(MID(SUBSTITUTE(TRIM(E310),",","."),FIND(":",SUBSTITUTE(TRIM(E310),",","."))+1,99),"."),_xlfn.NUMBERVALUE(SUBSTITUTE(TRIM(E310),",","."),".")),0)))</f>
        <v/>
      </c>
    </row>
    <row r="311" customFormat="false" ht="15" hidden="false" customHeight="false" outlineLevel="0" collapsed="false">
      <c r="A311" s="5"/>
      <c r="B311" s="5"/>
      <c r="C311" s="5"/>
      <c r="D311" s="5"/>
      <c r="E311" s="13"/>
      <c r="F311" s="4" t="str">
        <f aca="false">IF(OR(G311="",H311="",N(G311)=0,N(H311)&lt;=0),"",ROUNDDOWN(1000*(G311/H311)^3,0))</f>
        <v/>
      </c>
      <c r="G311" s="11" t="str">
        <f aca="false">IF(D311="","",SUMIFS('Базовые времена'!$D$2:$D$71,'Базовые времена'!$A$2:$A$71,B311,'Базовые времена'!$B$2:$B$71,C311,'Базовые времена'!$C$2:$C$71,D311))</f>
        <v/>
      </c>
      <c r="H311" s="11" t="str">
        <f aca="false">IF(E311="","",IF(ISNUMBER(E311),IF(E311&lt;1,E311*86400,E311),IFERROR(IF(ISNUMBER(FIND(":",SUBSTITUTE(TRIM(E311),",","."))),VALUE(LEFT(SUBSTITUTE(TRIM(E311),",","."),FIND(":",SUBSTITUTE(TRIM(E311),",","."))-1))*60+_xlfn.NUMBERVALUE(MID(SUBSTITUTE(TRIM(E311),",","."),FIND(":",SUBSTITUTE(TRIM(E311),",","."))+1,99),"."),_xlfn.NUMBERVALUE(SUBSTITUTE(TRIM(E311),",","."),".")),0)))</f>
        <v/>
      </c>
    </row>
    <row r="312" customFormat="false" ht="15" hidden="false" customHeight="false" outlineLevel="0" collapsed="false">
      <c r="A312" s="5"/>
      <c r="B312" s="5"/>
      <c r="C312" s="5"/>
      <c r="D312" s="5"/>
      <c r="E312" s="13"/>
      <c r="F312" s="4" t="str">
        <f aca="false">IF(OR(G312="",H312="",N(G312)=0,N(H312)&lt;=0),"",ROUNDDOWN(1000*(G312/H312)^3,0))</f>
        <v/>
      </c>
      <c r="G312" s="11" t="str">
        <f aca="false">IF(D312="","",SUMIFS('Базовые времена'!$D$2:$D$71,'Базовые времена'!$A$2:$A$71,B312,'Базовые времена'!$B$2:$B$71,C312,'Базовые времена'!$C$2:$C$71,D312))</f>
        <v/>
      </c>
      <c r="H312" s="11" t="str">
        <f aca="false">IF(E312="","",IF(ISNUMBER(E312),IF(E312&lt;1,E312*86400,E312),IFERROR(IF(ISNUMBER(FIND(":",SUBSTITUTE(TRIM(E312),",","."))),VALUE(LEFT(SUBSTITUTE(TRIM(E312),",","."),FIND(":",SUBSTITUTE(TRIM(E312),",","."))-1))*60+_xlfn.NUMBERVALUE(MID(SUBSTITUTE(TRIM(E312),",","."),FIND(":",SUBSTITUTE(TRIM(E312),",","."))+1,99),"."),_xlfn.NUMBERVALUE(SUBSTITUTE(TRIM(E312),",","."),".")),0)))</f>
        <v/>
      </c>
    </row>
    <row r="313" customFormat="false" ht="15" hidden="false" customHeight="false" outlineLevel="0" collapsed="false">
      <c r="A313" s="5"/>
      <c r="B313" s="5"/>
      <c r="C313" s="5"/>
      <c r="D313" s="5"/>
      <c r="E313" s="13"/>
      <c r="F313" s="4" t="str">
        <f aca="false">IF(OR(G313="",H313="",N(G313)=0,N(H313)&lt;=0),"",ROUNDDOWN(1000*(G313/H313)^3,0))</f>
        <v/>
      </c>
      <c r="G313" s="11" t="str">
        <f aca="false">IF(D313="","",SUMIFS('Базовые времена'!$D$2:$D$71,'Базовые времена'!$A$2:$A$71,B313,'Базовые времена'!$B$2:$B$71,C313,'Базовые времена'!$C$2:$C$71,D313))</f>
        <v/>
      </c>
      <c r="H313" s="11" t="str">
        <f aca="false">IF(E313="","",IF(ISNUMBER(E313),IF(E313&lt;1,E313*86400,E313),IFERROR(IF(ISNUMBER(FIND(":",SUBSTITUTE(TRIM(E313),",","."))),VALUE(LEFT(SUBSTITUTE(TRIM(E313),",","."),FIND(":",SUBSTITUTE(TRIM(E313),",","."))-1))*60+_xlfn.NUMBERVALUE(MID(SUBSTITUTE(TRIM(E313),",","."),FIND(":",SUBSTITUTE(TRIM(E313),",","."))+1,99),"."),_xlfn.NUMBERVALUE(SUBSTITUTE(TRIM(E313),",","."),".")),0)))</f>
        <v/>
      </c>
    </row>
    <row r="314" customFormat="false" ht="15" hidden="false" customHeight="false" outlineLevel="0" collapsed="false">
      <c r="A314" s="5"/>
      <c r="B314" s="5"/>
      <c r="C314" s="5"/>
      <c r="D314" s="5"/>
      <c r="E314" s="13"/>
      <c r="F314" s="4" t="str">
        <f aca="false">IF(OR(G314="",H314="",N(G314)=0,N(H314)&lt;=0),"",ROUNDDOWN(1000*(G314/H314)^3,0))</f>
        <v/>
      </c>
      <c r="G314" s="11" t="str">
        <f aca="false">IF(D314="","",SUMIFS('Базовые времена'!$D$2:$D$71,'Базовые времена'!$A$2:$A$71,B314,'Базовые времена'!$B$2:$B$71,C314,'Базовые времена'!$C$2:$C$71,D314))</f>
        <v/>
      </c>
      <c r="H314" s="11" t="str">
        <f aca="false">IF(E314="","",IF(ISNUMBER(E314),IF(E314&lt;1,E314*86400,E314),IFERROR(IF(ISNUMBER(FIND(":",SUBSTITUTE(TRIM(E314),",","."))),VALUE(LEFT(SUBSTITUTE(TRIM(E314),",","."),FIND(":",SUBSTITUTE(TRIM(E314),",","."))-1))*60+_xlfn.NUMBERVALUE(MID(SUBSTITUTE(TRIM(E314),",","."),FIND(":",SUBSTITUTE(TRIM(E314),",","."))+1,99),"."),_xlfn.NUMBERVALUE(SUBSTITUTE(TRIM(E314),",","."),".")),0)))</f>
        <v/>
      </c>
    </row>
    <row r="315" customFormat="false" ht="15" hidden="false" customHeight="false" outlineLevel="0" collapsed="false">
      <c r="A315" s="5"/>
      <c r="B315" s="5"/>
      <c r="C315" s="5"/>
      <c r="D315" s="5"/>
      <c r="E315" s="13"/>
      <c r="F315" s="4" t="str">
        <f aca="false">IF(OR(G315="",H315="",N(G315)=0,N(H315)&lt;=0),"",ROUNDDOWN(1000*(G315/H315)^3,0))</f>
        <v/>
      </c>
      <c r="G315" s="11" t="str">
        <f aca="false">IF(D315="","",SUMIFS('Базовые времена'!$D$2:$D$71,'Базовые времена'!$A$2:$A$71,B315,'Базовые времена'!$B$2:$B$71,C315,'Базовые времена'!$C$2:$C$71,D315))</f>
        <v/>
      </c>
      <c r="H315" s="11" t="str">
        <f aca="false">IF(E315="","",IF(ISNUMBER(E315),IF(E315&lt;1,E315*86400,E315),IFERROR(IF(ISNUMBER(FIND(":",SUBSTITUTE(TRIM(E315),",","."))),VALUE(LEFT(SUBSTITUTE(TRIM(E315),",","."),FIND(":",SUBSTITUTE(TRIM(E315),",","."))-1))*60+_xlfn.NUMBERVALUE(MID(SUBSTITUTE(TRIM(E315),",","."),FIND(":",SUBSTITUTE(TRIM(E315),",","."))+1,99),"."),_xlfn.NUMBERVALUE(SUBSTITUTE(TRIM(E315),",","."),".")),0)))</f>
        <v/>
      </c>
    </row>
    <row r="316" customFormat="false" ht="15" hidden="false" customHeight="false" outlineLevel="0" collapsed="false">
      <c r="A316" s="5"/>
      <c r="B316" s="5"/>
      <c r="C316" s="5"/>
      <c r="D316" s="5"/>
      <c r="E316" s="13"/>
      <c r="F316" s="4" t="str">
        <f aca="false">IF(OR(G316="",H316="",N(G316)=0,N(H316)&lt;=0),"",ROUNDDOWN(1000*(G316/H316)^3,0))</f>
        <v/>
      </c>
      <c r="G316" s="11" t="str">
        <f aca="false">IF(D316="","",SUMIFS('Базовые времена'!$D$2:$D$71,'Базовые времена'!$A$2:$A$71,B316,'Базовые времена'!$B$2:$B$71,C316,'Базовые времена'!$C$2:$C$71,D316))</f>
        <v/>
      </c>
      <c r="H316" s="11" t="str">
        <f aca="false">IF(E316="","",IF(ISNUMBER(E316),IF(E316&lt;1,E316*86400,E316),IFERROR(IF(ISNUMBER(FIND(":",SUBSTITUTE(TRIM(E316),",","."))),VALUE(LEFT(SUBSTITUTE(TRIM(E316),",","."),FIND(":",SUBSTITUTE(TRIM(E316),",","."))-1))*60+_xlfn.NUMBERVALUE(MID(SUBSTITUTE(TRIM(E316),",","."),FIND(":",SUBSTITUTE(TRIM(E316),",","."))+1,99),"."),_xlfn.NUMBERVALUE(SUBSTITUTE(TRIM(E316),",","."),".")),0)))</f>
        <v/>
      </c>
    </row>
    <row r="317" customFormat="false" ht="15" hidden="false" customHeight="false" outlineLevel="0" collapsed="false">
      <c r="A317" s="5"/>
      <c r="B317" s="5"/>
      <c r="C317" s="5"/>
      <c r="D317" s="5"/>
      <c r="E317" s="13"/>
      <c r="F317" s="4" t="str">
        <f aca="false">IF(OR(G317="",H317="",N(G317)=0,N(H317)&lt;=0),"",ROUNDDOWN(1000*(G317/H317)^3,0))</f>
        <v/>
      </c>
      <c r="G317" s="11" t="str">
        <f aca="false">IF(D317="","",SUMIFS('Базовые времена'!$D$2:$D$71,'Базовые времена'!$A$2:$A$71,B317,'Базовые времена'!$B$2:$B$71,C317,'Базовые времена'!$C$2:$C$71,D317))</f>
        <v/>
      </c>
      <c r="H317" s="11" t="str">
        <f aca="false">IF(E317="","",IF(ISNUMBER(E317),IF(E317&lt;1,E317*86400,E317),IFERROR(IF(ISNUMBER(FIND(":",SUBSTITUTE(TRIM(E317),",","."))),VALUE(LEFT(SUBSTITUTE(TRIM(E317),",","."),FIND(":",SUBSTITUTE(TRIM(E317),",","."))-1))*60+_xlfn.NUMBERVALUE(MID(SUBSTITUTE(TRIM(E317),",","."),FIND(":",SUBSTITUTE(TRIM(E317),",","."))+1,99),"."),_xlfn.NUMBERVALUE(SUBSTITUTE(TRIM(E317),",","."),".")),0)))</f>
        <v/>
      </c>
    </row>
    <row r="318" customFormat="false" ht="15" hidden="false" customHeight="false" outlineLevel="0" collapsed="false">
      <c r="A318" s="5"/>
      <c r="B318" s="5"/>
      <c r="C318" s="5"/>
      <c r="D318" s="5"/>
      <c r="E318" s="13"/>
      <c r="F318" s="4" t="str">
        <f aca="false">IF(OR(G318="",H318="",N(G318)=0,N(H318)&lt;=0),"",ROUNDDOWN(1000*(G318/H318)^3,0))</f>
        <v/>
      </c>
      <c r="G318" s="11" t="str">
        <f aca="false">IF(D318="","",SUMIFS('Базовые времена'!$D$2:$D$71,'Базовые времена'!$A$2:$A$71,B318,'Базовые времена'!$B$2:$B$71,C318,'Базовые времена'!$C$2:$C$71,D318))</f>
        <v/>
      </c>
      <c r="H318" s="11" t="str">
        <f aca="false">IF(E318="","",IF(ISNUMBER(E318),IF(E318&lt;1,E318*86400,E318),IFERROR(IF(ISNUMBER(FIND(":",SUBSTITUTE(TRIM(E318),",","."))),VALUE(LEFT(SUBSTITUTE(TRIM(E318),",","."),FIND(":",SUBSTITUTE(TRIM(E318),",","."))-1))*60+_xlfn.NUMBERVALUE(MID(SUBSTITUTE(TRIM(E318),",","."),FIND(":",SUBSTITUTE(TRIM(E318),",","."))+1,99),"."),_xlfn.NUMBERVALUE(SUBSTITUTE(TRIM(E318),",","."),".")),0)))</f>
        <v/>
      </c>
    </row>
    <row r="319" customFormat="false" ht="15" hidden="false" customHeight="false" outlineLevel="0" collapsed="false">
      <c r="A319" s="5"/>
      <c r="B319" s="5"/>
      <c r="C319" s="5"/>
      <c r="D319" s="5"/>
      <c r="E319" s="13"/>
      <c r="F319" s="4" t="str">
        <f aca="false">IF(OR(G319="",H319="",N(G319)=0,N(H319)&lt;=0),"",ROUNDDOWN(1000*(G319/H319)^3,0))</f>
        <v/>
      </c>
      <c r="G319" s="11" t="str">
        <f aca="false">IF(D319="","",SUMIFS('Базовые времена'!$D$2:$D$71,'Базовые времена'!$A$2:$A$71,B319,'Базовые времена'!$B$2:$B$71,C319,'Базовые времена'!$C$2:$C$71,D319))</f>
        <v/>
      </c>
      <c r="H319" s="11" t="str">
        <f aca="false">IF(E319="","",IF(ISNUMBER(E319),IF(E319&lt;1,E319*86400,E319),IFERROR(IF(ISNUMBER(FIND(":",SUBSTITUTE(TRIM(E319),",","."))),VALUE(LEFT(SUBSTITUTE(TRIM(E319),",","."),FIND(":",SUBSTITUTE(TRIM(E319),",","."))-1))*60+_xlfn.NUMBERVALUE(MID(SUBSTITUTE(TRIM(E319),",","."),FIND(":",SUBSTITUTE(TRIM(E319),",","."))+1,99),"."),_xlfn.NUMBERVALUE(SUBSTITUTE(TRIM(E319),",","."),".")),0)))</f>
        <v/>
      </c>
    </row>
    <row r="320" customFormat="false" ht="15" hidden="false" customHeight="false" outlineLevel="0" collapsed="false">
      <c r="A320" s="5"/>
      <c r="B320" s="5"/>
      <c r="C320" s="5"/>
      <c r="D320" s="5"/>
      <c r="E320" s="13"/>
      <c r="F320" s="4" t="str">
        <f aca="false">IF(OR(G320="",H320="",N(G320)=0,N(H320)&lt;=0),"",ROUNDDOWN(1000*(G320/H320)^3,0))</f>
        <v/>
      </c>
      <c r="G320" s="11" t="str">
        <f aca="false">IF(D320="","",SUMIFS('Базовые времена'!$D$2:$D$71,'Базовые времена'!$A$2:$A$71,B320,'Базовые времена'!$B$2:$B$71,C320,'Базовые времена'!$C$2:$C$71,D320))</f>
        <v/>
      </c>
      <c r="H320" s="11" t="str">
        <f aca="false">IF(E320="","",IF(ISNUMBER(E320),IF(E320&lt;1,E320*86400,E320),IFERROR(IF(ISNUMBER(FIND(":",SUBSTITUTE(TRIM(E320),",","."))),VALUE(LEFT(SUBSTITUTE(TRIM(E320),",","."),FIND(":",SUBSTITUTE(TRIM(E320),",","."))-1))*60+_xlfn.NUMBERVALUE(MID(SUBSTITUTE(TRIM(E320),",","."),FIND(":",SUBSTITUTE(TRIM(E320),",","."))+1,99),"."),_xlfn.NUMBERVALUE(SUBSTITUTE(TRIM(E320),",","."),".")),0)))</f>
        <v/>
      </c>
    </row>
    <row r="321" customFormat="false" ht="15" hidden="false" customHeight="false" outlineLevel="0" collapsed="false">
      <c r="A321" s="5"/>
      <c r="B321" s="5"/>
      <c r="C321" s="5"/>
      <c r="D321" s="5"/>
      <c r="E321" s="13"/>
      <c r="F321" s="4" t="str">
        <f aca="false">IF(OR(G321="",H321="",N(G321)=0,N(H321)&lt;=0),"",ROUNDDOWN(1000*(G321/H321)^3,0))</f>
        <v/>
      </c>
      <c r="G321" s="11" t="str">
        <f aca="false">IF(D321="","",SUMIFS('Базовые времена'!$D$2:$D$71,'Базовые времена'!$A$2:$A$71,B321,'Базовые времена'!$B$2:$B$71,C321,'Базовые времена'!$C$2:$C$71,D321))</f>
        <v/>
      </c>
      <c r="H321" s="11" t="str">
        <f aca="false">IF(E321="","",IF(ISNUMBER(E321),IF(E321&lt;1,E321*86400,E321),IFERROR(IF(ISNUMBER(FIND(":",SUBSTITUTE(TRIM(E321),",","."))),VALUE(LEFT(SUBSTITUTE(TRIM(E321),",","."),FIND(":",SUBSTITUTE(TRIM(E321),",","."))-1))*60+_xlfn.NUMBERVALUE(MID(SUBSTITUTE(TRIM(E321),",","."),FIND(":",SUBSTITUTE(TRIM(E321),",","."))+1,99),"."),_xlfn.NUMBERVALUE(SUBSTITUTE(TRIM(E321),",","."),".")),0)))</f>
        <v/>
      </c>
    </row>
    <row r="322" customFormat="false" ht="15" hidden="false" customHeight="false" outlineLevel="0" collapsed="false">
      <c r="A322" s="5"/>
      <c r="B322" s="5"/>
      <c r="C322" s="5"/>
      <c r="D322" s="5"/>
      <c r="E322" s="13"/>
      <c r="F322" s="4" t="str">
        <f aca="false">IF(OR(G322="",H322="",N(G322)=0,N(H322)&lt;=0),"",ROUNDDOWN(1000*(G322/H322)^3,0))</f>
        <v/>
      </c>
      <c r="G322" s="11" t="str">
        <f aca="false">IF(D322="","",SUMIFS('Базовые времена'!$D$2:$D$71,'Базовые времена'!$A$2:$A$71,B322,'Базовые времена'!$B$2:$B$71,C322,'Базовые времена'!$C$2:$C$71,D322))</f>
        <v/>
      </c>
      <c r="H322" s="11" t="str">
        <f aca="false">IF(E322="","",IF(ISNUMBER(E322),IF(E322&lt;1,E322*86400,E322),IFERROR(IF(ISNUMBER(FIND(":",SUBSTITUTE(TRIM(E322),",","."))),VALUE(LEFT(SUBSTITUTE(TRIM(E322),",","."),FIND(":",SUBSTITUTE(TRIM(E322),",","."))-1))*60+_xlfn.NUMBERVALUE(MID(SUBSTITUTE(TRIM(E322),",","."),FIND(":",SUBSTITUTE(TRIM(E322),",","."))+1,99),"."),_xlfn.NUMBERVALUE(SUBSTITUTE(TRIM(E322),",","."),".")),0)))</f>
        <v/>
      </c>
    </row>
    <row r="323" customFormat="false" ht="15" hidden="false" customHeight="false" outlineLevel="0" collapsed="false">
      <c r="A323" s="5"/>
      <c r="B323" s="5"/>
      <c r="C323" s="5"/>
      <c r="D323" s="5"/>
      <c r="E323" s="13"/>
      <c r="F323" s="4" t="str">
        <f aca="false">IF(OR(G323="",H323="",N(G323)=0,N(H323)&lt;=0),"",ROUNDDOWN(1000*(G323/H323)^3,0))</f>
        <v/>
      </c>
      <c r="G323" s="11" t="str">
        <f aca="false">IF(D323="","",SUMIFS('Базовые времена'!$D$2:$D$71,'Базовые времена'!$A$2:$A$71,B323,'Базовые времена'!$B$2:$B$71,C323,'Базовые времена'!$C$2:$C$71,D323))</f>
        <v/>
      </c>
      <c r="H323" s="11" t="str">
        <f aca="false">IF(E323="","",IF(ISNUMBER(E323),IF(E323&lt;1,E323*86400,E323),IFERROR(IF(ISNUMBER(FIND(":",SUBSTITUTE(TRIM(E323),",","."))),VALUE(LEFT(SUBSTITUTE(TRIM(E323),",","."),FIND(":",SUBSTITUTE(TRIM(E323),",","."))-1))*60+_xlfn.NUMBERVALUE(MID(SUBSTITUTE(TRIM(E323),",","."),FIND(":",SUBSTITUTE(TRIM(E323),",","."))+1,99),"."),_xlfn.NUMBERVALUE(SUBSTITUTE(TRIM(E323),",","."),".")),0)))</f>
        <v/>
      </c>
    </row>
    <row r="324" customFormat="false" ht="15" hidden="false" customHeight="false" outlineLevel="0" collapsed="false">
      <c r="A324" s="5"/>
      <c r="B324" s="5"/>
      <c r="C324" s="5"/>
      <c r="D324" s="5"/>
      <c r="E324" s="13"/>
      <c r="F324" s="4" t="str">
        <f aca="false">IF(OR(G324="",H324="",N(G324)=0,N(H324)&lt;=0),"",ROUNDDOWN(1000*(G324/H324)^3,0))</f>
        <v/>
      </c>
      <c r="G324" s="11" t="str">
        <f aca="false">IF(D324="","",SUMIFS('Базовые времена'!$D$2:$D$71,'Базовые времена'!$A$2:$A$71,B324,'Базовые времена'!$B$2:$B$71,C324,'Базовые времена'!$C$2:$C$71,D324))</f>
        <v/>
      </c>
      <c r="H324" s="11" t="str">
        <f aca="false">IF(E324="","",IF(ISNUMBER(E324),IF(E324&lt;1,E324*86400,E324),IFERROR(IF(ISNUMBER(FIND(":",SUBSTITUTE(TRIM(E324),",","."))),VALUE(LEFT(SUBSTITUTE(TRIM(E324),",","."),FIND(":",SUBSTITUTE(TRIM(E324),",","."))-1))*60+_xlfn.NUMBERVALUE(MID(SUBSTITUTE(TRIM(E324),",","."),FIND(":",SUBSTITUTE(TRIM(E324),",","."))+1,99),"."),_xlfn.NUMBERVALUE(SUBSTITUTE(TRIM(E324),",","."),".")),0)))</f>
        <v/>
      </c>
    </row>
    <row r="325" customFormat="false" ht="15" hidden="false" customHeight="false" outlineLevel="0" collapsed="false">
      <c r="A325" s="5"/>
      <c r="B325" s="5"/>
      <c r="C325" s="5"/>
      <c r="D325" s="5"/>
      <c r="E325" s="13"/>
      <c r="F325" s="4" t="str">
        <f aca="false">IF(OR(G325="",H325="",N(G325)=0,N(H325)&lt;=0),"",ROUNDDOWN(1000*(G325/H325)^3,0))</f>
        <v/>
      </c>
      <c r="G325" s="11" t="str">
        <f aca="false">IF(D325="","",SUMIFS('Базовые времена'!$D$2:$D$71,'Базовые времена'!$A$2:$A$71,B325,'Базовые времена'!$B$2:$B$71,C325,'Базовые времена'!$C$2:$C$71,D325))</f>
        <v/>
      </c>
      <c r="H325" s="11" t="str">
        <f aca="false">IF(E325="","",IF(ISNUMBER(E325),IF(E325&lt;1,E325*86400,E325),IFERROR(IF(ISNUMBER(FIND(":",SUBSTITUTE(TRIM(E325),",","."))),VALUE(LEFT(SUBSTITUTE(TRIM(E325),",","."),FIND(":",SUBSTITUTE(TRIM(E325),",","."))-1))*60+_xlfn.NUMBERVALUE(MID(SUBSTITUTE(TRIM(E325),",","."),FIND(":",SUBSTITUTE(TRIM(E325),",","."))+1,99),"."),_xlfn.NUMBERVALUE(SUBSTITUTE(TRIM(E325),",","."),".")),0)))</f>
        <v/>
      </c>
    </row>
    <row r="326" customFormat="false" ht="15" hidden="false" customHeight="false" outlineLevel="0" collapsed="false">
      <c r="A326" s="5"/>
      <c r="B326" s="5"/>
      <c r="C326" s="5"/>
      <c r="D326" s="5"/>
      <c r="E326" s="13"/>
      <c r="F326" s="4" t="str">
        <f aca="false">IF(OR(G326="",H326="",N(G326)=0,N(H326)&lt;=0),"",ROUNDDOWN(1000*(G326/H326)^3,0))</f>
        <v/>
      </c>
      <c r="G326" s="11" t="str">
        <f aca="false">IF(D326="","",SUMIFS('Базовые времена'!$D$2:$D$71,'Базовые времена'!$A$2:$A$71,B326,'Базовые времена'!$B$2:$B$71,C326,'Базовые времена'!$C$2:$C$71,D326))</f>
        <v/>
      </c>
      <c r="H326" s="11" t="str">
        <f aca="false">IF(E326="","",IF(ISNUMBER(E326),IF(E326&lt;1,E326*86400,E326),IFERROR(IF(ISNUMBER(FIND(":",SUBSTITUTE(TRIM(E326),",","."))),VALUE(LEFT(SUBSTITUTE(TRIM(E326),",","."),FIND(":",SUBSTITUTE(TRIM(E326),",","."))-1))*60+_xlfn.NUMBERVALUE(MID(SUBSTITUTE(TRIM(E326),",","."),FIND(":",SUBSTITUTE(TRIM(E326),",","."))+1,99),"."),_xlfn.NUMBERVALUE(SUBSTITUTE(TRIM(E326),",","."),".")),0)))</f>
        <v/>
      </c>
    </row>
    <row r="327" customFormat="false" ht="15" hidden="false" customHeight="false" outlineLevel="0" collapsed="false">
      <c r="A327" s="5"/>
      <c r="B327" s="5"/>
      <c r="C327" s="5"/>
      <c r="D327" s="5"/>
      <c r="E327" s="13"/>
      <c r="F327" s="4" t="str">
        <f aca="false">IF(OR(G327="",H327="",N(G327)=0,N(H327)&lt;=0),"",ROUNDDOWN(1000*(G327/H327)^3,0))</f>
        <v/>
      </c>
      <c r="G327" s="11" t="str">
        <f aca="false">IF(D327="","",SUMIFS('Базовые времена'!$D$2:$D$71,'Базовые времена'!$A$2:$A$71,B327,'Базовые времена'!$B$2:$B$71,C327,'Базовые времена'!$C$2:$C$71,D327))</f>
        <v/>
      </c>
      <c r="H327" s="11" t="str">
        <f aca="false">IF(E327="","",IF(ISNUMBER(E327),IF(E327&lt;1,E327*86400,E327),IFERROR(IF(ISNUMBER(FIND(":",SUBSTITUTE(TRIM(E327),",","."))),VALUE(LEFT(SUBSTITUTE(TRIM(E327),",","."),FIND(":",SUBSTITUTE(TRIM(E327),",","."))-1))*60+_xlfn.NUMBERVALUE(MID(SUBSTITUTE(TRIM(E327),",","."),FIND(":",SUBSTITUTE(TRIM(E327),",","."))+1,99),"."),_xlfn.NUMBERVALUE(SUBSTITUTE(TRIM(E327),",","."),".")),0)))</f>
        <v/>
      </c>
    </row>
    <row r="328" customFormat="false" ht="15" hidden="false" customHeight="false" outlineLevel="0" collapsed="false">
      <c r="A328" s="5"/>
      <c r="B328" s="5"/>
      <c r="C328" s="5"/>
      <c r="D328" s="5"/>
      <c r="E328" s="13"/>
      <c r="F328" s="4" t="str">
        <f aca="false">IF(OR(G328="",H328="",N(G328)=0,N(H328)&lt;=0),"",ROUNDDOWN(1000*(G328/H328)^3,0))</f>
        <v/>
      </c>
      <c r="G328" s="11" t="str">
        <f aca="false">IF(D328="","",SUMIFS('Базовые времена'!$D$2:$D$71,'Базовые времена'!$A$2:$A$71,B328,'Базовые времена'!$B$2:$B$71,C328,'Базовые времена'!$C$2:$C$71,D328))</f>
        <v/>
      </c>
      <c r="H328" s="11" t="str">
        <f aca="false">IF(E328="","",IF(ISNUMBER(E328),IF(E328&lt;1,E328*86400,E328),IFERROR(IF(ISNUMBER(FIND(":",SUBSTITUTE(TRIM(E328),",","."))),VALUE(LEFT(SUBSTITUTE(TRIM(E328),",","."),FIND(":",SUBSTITUTE(TRIM(E328),",","."))-1))*60+_xlfn.NUMBERVALUE(MID(SUBSTITUTE(TRIM(E328),",","."),FIND(":",SUBSTITUTE(TRIM(E328),",","."))+1,99),"."),_xlfn.NUMBERVALUE(SUBSTITUTE(TRIM(E328),",","."),".")),0)))</f>
        <v/>
      </c>
    </row>
    <row r="329" customFormat="false" ht="15" hidden="false" customHeight="false" outlineLevel="0" collapsed="false">
      <c r="A329" s="5"/>
      <c r="B329" s="5"/>
      <c r="C329" s="5"/>
      <c r="D329" s="5"/>
      <c r="E329" s="13"/>
      <c r="F329" s="4" t="str">
        <f aca="false">IF(OR(G329="",H329="",N(G329)=0,N(H329)&lt;=0),"",ROUNDDOWN(1000*(G329/H329)^3,0))</f>
        <v/>
      </c>
      <c r="G329" s="11" t="str">
        <f aca="false">IF(D329="","",SUMIFS('Базовые времена'!$D$2:$D$71,'Базовые времена'!$A$2:$A$71,B329,'Базовые времена'!$B$2:$B$71,C329,'Базовые времена'!$C$2:$C$71,D329))</f>
        <v/>
      </c>
      <c r="H329" s="11" t="str">
        <f aca="false">IF(E329="","",IF(ISNUMBER(E329),IF(E329&lt;1,E329*86400,E329),IFERROR(IF(ISNUMBER(FIND(":",SUBSTITUTE(TRIM(E329),",","."))),VALUE(LEFT(SUBSTITUTE(TRIM(E329),",","."),FIND(":",SUBSTITUTE(TRIM(E329),",","."))-1))*60+_xlfn.NUMBERVALUE(MID(SUBSTITUTE(TRIM(E329),",","."),FIND(":",SUBSTITUTE(TRIM(E329),",","."))+1,99),"."),_xlfn.NUMBERVALUE(SUBSTITUTE(TRIM(E329),",","."),".")),0)))</f>
        <v/>
      </c>
    </row>
    <row r="330" customFormat="false" ht="15" hidden="false" customHeight="false" outlineLevel="0" collapsed="false">
      <c r="A330" s="5"/>
      <c r="B330" s="5"/>
      <c r="C330" s="5"/>
      <c r="D330" s="5"/>
      <c r="E330" s="13"/>
      <c r="F330" s="4" t="str">
        <f aca="false">IF(OR(G330="",H330="",N(G330)=0,N(H330)&lt;=0),"",ROUNDDOWN(1000*(G330/H330)^3,0))</f>
        <v/>
      </c>
      <c r="G330" s="11" t="str">
        <f aca="false">IF(D330="","",SUMIFS('Базовые времена'!$D$2:$D$71,'Базовые времена'!$A$2:$A$71,B330,'Базовые времена'!$B$2:$B$71,C330,'Базовые времена'!$C$2:$C$71,D330))</f>
        <v/>
      </c>
      <c r="H330" s="11" t="str">
        <f aca="false">IF(E330="","",IF(ISNUMBER(E330),IF(E330&lt;1,E330*86400,E330),IFERROR(IF(ISNUMBER(FIND(":",SUBSTITUTE(TRIM(E330),",","."))),VALUE(LEFT(SUBSTITUTE(TRIM(E330),",","."),FIND(":",SUBSTITUTE(TRIM(E330),",","."))-1))*60+_xlfn.NUMBERVALUE(MID(SUBSTITUTE(TRIM(E330),",","."),FIND(":",SUBSTITUTE(TRIM(E330),",","."))+1,99),"."),_xlfn.NUMBERVALUE(SUBSTITUTE(TRIM(E330),",","."),".")),0)))</f>
        <v/>
      </c>
    </row>
    <row r="331" customFormat="false" ht="15" hidden="false" customHeight="false" outlineLevel="0" collapsed="false">
      <c r="A331" s="5"/>
      <c r="B331" s="5"/>
      <c r="C331" s="5"/>
      <c r="D331" s="5"/>
      <c r="E331" s="13"/>
      <c r="F331" s="4" t="str">
        <f aca="false">IF(OR(G331="",H331="",N(G331)=0,N(H331)&lt;=0),"",ROUNDDOWN(1000*(G331/H331)^3,0))</f>
        <v/>
      </c>
      <c r="G331" s="11" t="str">
        <f aca="false">IF(D331="","",SUMIFS('Базовые времена'!$D$2:$D$71,'Базовые времена'!$A$2:$A$71,B331,'Базовые времена'!$B$2:$B$71,C331,'Базовые времена'!$C$2:$C$71,D331))</f>
        <v/>
      </c>
      <c r="H331" s="11" t="str">
        <f aca="false">IF(E331="","",IF(ISNUMBER(E331),IF(E331&lt;1,E331*86400,E331),IFERROR(IF(ISNUMBER(FIND(":",SUBSTITUTE(TRIM(E331),",","."))),VALUE(LEFT(SUBSTITUTE(TRIM(E331),",","."),FIND(":",SUBSTITUTE(TRIM(E331),",","."))-1))*60+_xlfn.NUMBERVALUE(MID(SUBSTITUTE(TRIM(E331),",","."),FIND(":",SUBSTITUTE(TRIM(E331),",","."))+1,99),"."),_xlfn.NUMBERVALUE(SUBSTITUTE(TRIM(E331),",","."),".")),0)))</f>
        <v/>
      </c>
    </row>
    <row r="332" customFormat="false" ht="15" hidden="false" customHeight="false" outlineLevel="0" collapsed="false">
      <c r="A332" s="5"/>
      <c r="B332" s="5"/>
      <c r="C332" s="5"/>
      <c r="D332" s="5"/>
      <c r="E332" s="13"/>
      <c r="F332" s="4" t="str">
        <f aca="false">IF(OR(G332="",H332="",N(G332)=0,N(H332)&lt;=0),"",ROUNDDOWN(1000*(G332/H332)^3,0))</f>
        <v/>
      </c>
      <c r="G332" s="11" t="str">
        <f aca="false">IF(D332="","",SUMIFS('Базовые времена'!$D$2:$D$71,'Базовые времена'!$A$2:$A$71,B332,'Базовые времена'!$B$2:$B$71,C332,'Базовые времена'!$C$2:$C$71,D332))</f>
        <v/>
      </c>
      <c r="H332" s="11" t="str">
        <f aca="false">IF(E332="","",IF(ISNUMBER(E332),IF(E332&lt;1,E332*86400,E332),IFERROR(IF(ISNUMBER(FIND(":",SUBSTITUTE(TRIM(E332),",","."))),VALUE(LEFT(SUBSTITUTE(TRIM(E332),",","."),FIND(":",SUBSTITUTE(TRIM(E332),",","."))-1))*60+_xlfn.NUMBERVALUE(MID(SUBSTITUTE(TRIM(E332),",","."),FIND(":",SUBSTITUTE(TRIM(E332),",","."))+1,99),"."),_xlfn.NUMBERVALUE(SUBSTITUTE(TRIM(E332),",","."),".")),0)))</f>
        <v/>
      </c>
    </row>
    <row r="333" customFormat="false" ht="15" hidden="false" customHeight="false" outlineLevel="0" collapsed="false">
      <c r="A333" s="5"/>
      <c r="B333" s="5"/>
      <c r="C333" s="5"/>
      <c r="D333" s="5"/>
      <c r="E333" s="13"/>
      <c r="F333" s="4" t="str">
        <f aca="false">IF(OR(G333="",H333="",N(G333)=0,N(H333)&lt;=0),"",ROUNDDOWN(1000*(G333/H333)^3,0))</f>
        <v/>
      </c>
      <c r="G333" s="11" t="str">
        <f aca="false">IF(D333="","",SUMIFS('Базовые времена'!$D$2:$D$71,'Базовые времена'!$A$2:$A$71,B333,'Базовые времена'!$B$2:$B$71,C333,'Базовые времена'!$C$2:$C$71,D333))</f>
        <v/>
      </c>
      <c r="H333" s="11" t="str">
        <f aca="false">IF(E333="","",IF(ISNUMBER(E333),IF(E333&lt;1,E333*86400,E333),IFERROR(IF(ISNUMBER(FIND(":",SUBSTITUTE(TRIM(E333),",","."))),VALUE(LEFT(SUBSTITUTE(TRIM(E333),",","."),FIND(":",SUBSTITUTE(TRIM(E333),",","."))-1))*60+_xlfn.NUMBERVALUE(MID(SUBSTITUTE(TRIM(E333),",","."),FIND(":",SUBSTITUTE(TRIM(E333),",","."))+1,99),"."),_xlfn.NUMBERVALUE(SUBSTITUTE(TRIM(E333),",","."),".")),0)))</f>
        <v/>
      </c>
    </row>
    <row r="334" customFormat="false" ht="15" hidden="false" customHeight="false" outlineLevel="0" collapsed="false">
      <c r="A334" s="5"/>
      <c r="B334" s="5"/>
      <c r="C334" s="5"/>
      <c r="D334" s="5"/>
      <c r="E334" s="13"/>
      <c r="F334" s="4" t="str">
        <f aca="false">IF(OR(G334="",H334="",N(G334)=0,N(H334)&lt;=0),"",ROUNDDOWN(1000*(G334/H334)^3,0))</f>
        <v/>
      </c>
      <c r="G334" s="11" t="str">
        <f aca="false">IF(D334="","",SUMIFS('Базовые времена'!$D$2:$D$71,'Базовые времена'!$A$2:$A$71,B334,'Базовые времена'!$B$2:$B$71,C334,'Базовые времена'!$C$2:$C$71,D334))</f>
        <v/>
      </c>
      <c r="H334" s="11" t="str">
        <f aca="false">IF(E334="","",IF(ISNUMBER(E334),IF(E334&lt;1,E334*86400,E334),IFERROR(IF(ISNUMBER(FIND(":",SUBSTITUTE(TRIM(E334),",","."))),VALUE(LEFT(SUBSTITUTE(TRIM(E334),",","."),FIND(":",SUBSTITUTE(TRIM(E334),",","."))-1))*60+_xlfn.NUMBERVALUE(MID(SUBSTITUTE(TRIM(E334),",","."),FIND(":",SUBSTITUTE(TRIM(E334),",","."))+1,99),"."),_xlfn.NUMBERVALUE(SUBSTITUTE(TRIM(E334),",","."),".")),0)))</f>
        <v/>
      </c>
    </row>
    <row r="335" customFormat="false" ht="15" hidden="false" customHeight="false" outlineLevel="0" collapsed="false">
      <c r="A335" s="5"/>
      <c r="B335" s="5"/>
      <c r="C335" s="5"/>
      <c r="D335" s="5"/>
      <c r="E335" s="13"/>
      <c r="F335" s="4" t="str">
        <f aca="false">IF(OR(G335="",H335="",N(G335)=0,N(H335)&lt;=0),"",ROUNDDOWN(1000*(G335/H335)^3,0))</f>
        <v/>
      </c>
      <c r="G335" s="11" t="str">
        <f aca="false">IF(D335="","",SUMIFS('Базовые времена'!$D$2:$D$71,'Базовые времена'!$A$2:$A$71,B335,'Базовые времена'!$B$2:$B$71,C335,'Базовые времена'!$C$2:$C$71,D335))</f>
        <v/>
      </c>
      <c r="H335" s="11" t="str">
        <f aca="false">IF(E335="","",IF(ISNUMBER(E335),IF(E335&lt;1,E335*86400,E335),IFERROR(IF(ISNUMBER(FIND(":",SUBSTITUTE(TRIM(E335),",","."))),VALUE(LEFT(SUBSTITUTE(TRIM(E335),",","."),FIND(":",SUBSTITUTE(TRIM(E335),",","."))-1))*60+_xlfn.NUMBERVALUE(MID(SUBSTITUTE(TRIM(E335),",","."),FIND(":",SUBSTITUTE(TRIM(E335),",","."))+1,99),"."),_xlfn.NUMBERVALUE(SUBSTITUTE(TRIM(E335),",","."),".")),0)))</f>
        <v/>
      </c>
    </row>
    <row r="336" customFormat="false" ht="15" hidden="false" customHeight="false" outlineLevel="0" collapsed="false">
      <c r="A336" s="5"/>
      <c r="B336" s="5"/>
      <c r="C336" s="5"/>
      <c r="D336" s="5"/>
      <c r="E336" s="13"/>
      <c r="F336" s="4" t="str">
        <f aca="false">IF(OR(G336="",H336="",N(G336)=0,N(H336)&lt;=0),"",ROUNDDOWN(1000*(G336/H336)^3,0))</f>
        <v/>
      </c>
      <c r="G336" s="11" t="str">
        <f aca="false">IF(D336="","",SUMIFS('Базовые времена'!$D$2:$D$71,'Базовые времена'!$A$2:$A$71,B336,'Базовые времена'!$B$2:$B$71,C336,'Базовые времена'!$C$2:$C$71,D336))</f>
        <v/>
      </c>
      <c r="H336" s="11" t="str">
        <f aca="false">IF(E336="","",IF(ISNUMBER(E336),IF(E336&lt;1,E336*86400,E336),IFERROR(IF(ISNUMBER(FIND(":",SUBSTITUTE(TRIM(E336),",","."))),VALUE(LEFT(SUBSTITUTE(TRIM(E336),",","."),FIND(":",SUBSTITUTE(TRIM(E336),",","."))-1))*60+_xlfn.NUMBERVALUE(MID(SUBSTITUTE(TRIM(E336),",","."),FIND(":",SUBSTITUTE(TRIM(E336),",","."))+1,99),"."),_xlfn.NUMBERVALUE(SUBSTITUTE(TRIM(E336),",","."),".")),0)))</f>
        <v/>
      </c>
    </row>
    <row r="337" customFormat="false" ht="15" hidden="false" customHeight="false" outlineLevel="0" collapsed="false">
      <c r="A337" s="5"/>
      <c r="B337" s="5"/>
      <c r="C337" s="5"/>
      <c r="D337" s="5"/>
      <c r="E337" s="13"/>
      <c r="F337" s="4" t="str">
        <f aca="false">IF(OR(G337="",H337="",N(G337)=0,N(H337)&lt;=0),"",ROUNDDOWN(1000*(G337/H337)^3,0))</f>
        <v/>
      </c>
      <c r="G337" s="11" t="str">
        <f aca="false">IF(D337="","",SUMIFS('Базовые времена'!$D$2:$D$71,'Базовые времена'!$A$2:$A$71,B337,'Базовые времена'!$B$2:$B$71,C337,'Базовые времена'!$C$2:$C$71,D337))</f>
        <v/>
      </c>
      <c r="H337" s="11" t="str">
        <f aca="false">IF(E337="","",IF(ISNUMBER(E337),IF(E337&lt;1,E337*86400,E337),IFERROR(IF(ISNUMBER(FIND(":",SUBSTITUTE(TRIM(E337),",","."))),VALUE(LEFT(SUBSTITUTE(TRIM(E337),",","."),FIND(":",SUBSTITUTE(TRIM(E337),",","."))-1))*60+_xlfn.NUMBERVALUE(MID(SUBSTITUTE(TRIM(E337),",","."),FIND(":",SUBSTITUTE(TRIM(E337),",","."))+1,99),"."),_xlfn.NUMBERVALUE(SUBSTITUTE(TRIM(E337),",","."),".")),0)))</f>
        <v/>
      </c>
    </row>
    <row r="338" customFormat="false" ht="15" hidden="false" customHeight="false" outlineLevel="0" collapsed="false">
      <c r="A338" s="5"/>
      <c r="B338" s="5"/>
      <c r="C338" s="5"/>
      <c r="D338" s="5"/>
      <c r="E338" s="13"/>
      <c r="F338" s="4" t="str">
        <f aca="false">IF(OR(G338="",H338="",N(G338)=0,N(H338)&lt;=0),"",ROUNDDOWN(1000*(G338/H338)^3,0))</f>
        <v/>
      </c>
      <c r="G338" s="11" t="str">
        <f aca="false">IF(D338="","",SUMIFS('Базовые времена'!$D$2:$D$71,'Базовые времена'!$A$2:$A$71,B338,'Базовые времена'!$B$2:$B$71,C338,'Базовые времена'!$C$2:$C$71,D338))</f>
        <v/>
      </c>
      <c r="H338" s="11" t="str">
        <f aca="false">IF(E338="","",IF(ISNUMBER(E338),IF(E338&lt;1,E338*86400,E338),IFERROR(IF(ISNUMBER(FIND(":",SUBSTITUTE(TRIM(E338),",","."))),VALUE(LEFT(SUBSTITUTE(TRIM(E338),",","."),FIND(":",SUBSTITUTE(TRIM(E338),",","."))-1))*60+_xlfn.NUMBERVALUE(MID(SUBSTITUTE(TRIM(E338),",","."),FIND(":",SUBSTITUTE(TRIM(E338),",","."))+1,99),"."),_xlfn.NUMBERVALUE(SUBSTITUTE(TRIM(E338),",","."),".")),0)))</f>
        <v/>
      </c>
    </row>
    <row r="339" customFormat="false" ht="15" hidden="false" customHeight="false" outlineLevel="0" collapsed="false">
      <c r="A339" s="5"/>
      <c r="B339" s="5"/>
      <c r="C339" s="5"/>
      <c r="D339" s="5"/>
      <c r="E339" s="13"/>
      <c r="F339" s="4" t="str">
        <f aca="false">IF(OR(G339="",H339="",N(G339)=0,N(H339)&lt;=0),"",ROUNDDOWN(1000*(G339/H339)^3,0))</f>
        <v/>
      </c>
      <c r="G339" s="11" t="str">
        <f aca="false">IF(D339="","",SUMIFS('Базовые времена'!$D$2:$D$71,'Базовые времена'!$A$2:$A$71,B339,'Базовые времена'!$B$2:$B$71,C339,'Базовые времена'!$C$2:$C$71,D339))</f>
        <v/>
      </c>
      <c r="H339" s="11" t="str">
        <f aca="false">IF(E339="","",IF(ISNUMBER(E339),IF(E339&lt;1,E339*86400,E339),IFERROR(IF(ISNUMBER(FIND(":",SUBSTITUTE(TRIM(E339),",","."))),VALUE(LEFT(SUBSTITUTE(TRIM(E339),",","."),FIND(":",SUBSTITUTE(TRIM(E339),",","."))-1))*60+_xlfn.NUMBERVALUE(MID(SUBSTITUTE(TRIM(E339),",","."),FIND(":",SUBSTITUTE(TRIM(E339),",","."))+1,99),"."),_xlfn.NUMBERVALUE(SUBSTITUTE(TRIM(E339),",","."),".")),0)))</f>
        <v/>
      </c>
    </row>
    <row r="340" customFormat="false" ht="15" hidden="false" customHeight="false" outlineLevel="0" collapsed="false">
      <c r="A340" s="5"/>
      <c r="B340" s="5"/>
      <c r="C340" s="5"/>
      <c r="D340" s="5"/>
      <c r="E340" s="13"/>
      <c r="F340" s="4" t="str">
        <f aca="false">IF(OR(G340="",H340="",N(G340)=0,N(H340)&lt;=0),"",ROUNDDOWN(1000*(G340/H340)^3,0))</f>
        <v/>
      </c>
      <c r="G340" s="11" t="str">
        <f aca="false">IF(D340="","",SUMIFS('Базовые времена'!$D$2:$D$71,'Базовые времена'!$A$2:$A$71,B340,'Базовые времена'!$B$2:$B$71,C340,'Базовые времена'!$C$2:$C$71,D340))</f>
        <v/>
      </c>
      <c r="H340" s="11" t="str">
        <f aca="false">IF(E340="","",IF(ISNUMBER(E340),IF(E340&lt;1,E340*86400,E340),IFERROR(IF(ISNUMBER(FIND(":",SUBSTITUTE(TRIM(E340),",","."))),VALUE(LEFT(SUBSTITUTE(TRIM(E340),",","."),FIND(":",SUBSTITUTE(TRIM(E340),",","."))-1))*60+_xlfn.NUMBERVALUE(MID(SUBSTITUTE(TRIM(E340),",","."),FIND(":",SUBSTITUTE(TRIM(E340),",","."))+1,99),"."),_xlfn.NUMBERVALUE(SUBSTITUTE(TRIM(E340),",","."),".")),0)))</f>
        <v/>
      </c>
    </row>
    <row r="341" customFormat="false" ht="15" hidden="false" customHeight="false" outlineLevel="0" collapsed="false">
      <c r="A341" s="5"/>
      <c r="B341" s="5"/>
      <c r="C341" s="5"/>
      <c r="D341" s="5"/>
      <c r="E341" s="13"/>
      <c r="F341" s="4" t="str">
        <f aca="false">IF(OR(G341="",H341="",N(G341)=0,N(H341)&lt;=0),"",ROUNDDOWN(1000*(G341/H341)^3,0))</f>
        <v/>
      </c>
      <c r="G341" s="11" t="str">
        <f aca="false">IF(D341="","",SUMIFS('Базовые времена'!$D$2:$D$71,'Базовые времена'!$A$2:$A$71,B341,'Базовые времена'!$B$2:$B$71,C341,'Базовые времена'!$C$2:$C$71,D341))</f>
        <v/>
      </c>
      <c r="H341" s="11" t="str">
        <f aca="false">IF(E341="","",IF(ISNUMBER(E341),IF(E341&lt;1,E341*86400,E341),IFERROR(IF(ISNUMBER(FIND(":",SUBSTITUTE(TRIM(E341),",","."))),VALUE(LEFT(SUBSTITUTE(TRIM(E341),",","."),FIND(":",SUBSTITUTE(TRIM(E341),",","."))-1))*60+_xlfn.NUMBERVALUE(MID(SUBSTITUTE(TRIM(E341),",","."),FIND(":",SUBSTITUTE(TRIM(E341),",","."))+1,99),"."),_xlfn.NUMBERVALUE(SUBSTITUTE(TRIM(E341),",","."),".")),0)))</f>
        <v/>
      </c>
    </row>
    <row r="342" customFormat="false" ht="15" hidden="false" customHeight="false" outlineLevel="0" collapsed="false">
      <c r="A342" s="5"/>
      <c r="B342" s="5"/>
      <c r="C342" s="5"/>
      <c r="D342" s="5"/>
      <c r="E342" s="13"/>
      <c r="F342" s="4" t="str">
        <f aca="false">IF(OR(G342="",H342="",N(G342)=0,N(H342)&lt;=0),"",ROUNDDOWN(1000*(G342/H342)^3,0))</f>
        <v/>
      </c>
      <c r="G342" s="11" t="str">
        <f aca="false">IF(D342="","",SUMIFS('Базовые времена'!$D$2:$D$71,'Базовые времена'!$A$2:$A$71,B342,'Базовые времена'!$B$2:$B$71,C342,'Базовые времена'!$C$2:$C$71,D342))</f>
        <v/>
      </c>
      <c r="H342" s="11" t="str">
        <f aca="false">IF(E342="","",IF(ISNUMBER(E342),IF(E342&lt;1,E342*86400,E342),IFERROR(IF(ISNUMBER(FIND(":",SUBSTITUTE(TRIM(E342),",","."))),VALUE(LEFT(SUBSTITUTE(TRIM(E342),",","."),FIND(":",SUBSTITUTE(TRIM(E342),",","."))-1))*60+_xlfn.NUMBERVALUE(MID(SUBSTITUTE(TRIM(E342),",","."),FIND(":",SUBSTITUTE(TRIM(E342),",","."))+1,99),"."),_xlfn.NUMBERVALUE(SUBSTITUTE(TRIM(E342),",","."),".")),0)))</f>
        <v/>
      </c>
    </row>
    <row r="343" customFormat="false" ht="15" hidden="false" customHeight="false" outlineLevel="0" collapsed="false">
      <c r="A343" s="5"/>
      <c r="B343" s="5"/>
      <c r="C343" s="5"/>
      <c r="D343" s="5"/>
      <c r="E343" s="13"/>
      <c r="F343" s="4" t="str">
        <f aca="false">IF(OR(G343="",H343="",N(G343)=0,N(H343)&lt;=0),"",ROUNDDOWN(1000*(G343/H343)^3,0))</f>
        <v/>
      </c>
      <c r="G343" s="11" t="str">
        <f aca="false">IF(D343="","",SUMIFS('Базовые времена'!$D$2:$D$71,'Базовые времена'!$A$2:$A$71,B343,'Базовые времена'!$B$2:$B$71,C343,'Базовые времена'!$C$2:$C$71,D343))</f>
        <v/>
      </c>
      <c r="H343" s="11" t="str">
        <f aca="false">IF(E343="","",IF(ISNUMBER(E343),IF(E343&lt;1,E343*86400,E343),IFERROR(IF(ISNUMBER(FIND(":",SUBSTITUTE(TRIM(E343),",","."))),VALUE(LEFT(SUBSTITUTE(TRIM(E343),",","."),FIND(":",SUBSTITUTE(TRIM(E343),",","."))-1))*60+_xlfn.NUMBERVALUE(MID(SUBSTITUTE(TRIM(E343),",","."),FIND(":",SUBSTITUTE(TRIM(E343),",","."))+1,99),"."),_xlfn.NUMBERVALUE(SUBSTITUTE(TRIM(E343),",","."),".")),0)))</f>
        <v/>
      </c>
    </row>
    <row r="344" customFormat="false" ht="15" hidden="false" customHeight="false" outlineLevel="0" collapsed="false">
      <c r="A344" s="5"/>
      <c r="B344" s="5"/>
      <c r="C344" s="5"/>
      <c r="D344" s="5"/>
      <c r="E344" s="13"/>
      <c r="F344" s="4" t="str">
        <f aca="false">IF(OR(G344="",H344="",N(G344)=0,N(H344)&lt;=0),"",ROUNDDOWN(1000*(G344/H344)^3,0))</f>
        <v/>
      </c>
      <c r="G344" s="11" t="str">
        <f aca="false">IF(D344="","",SUMIFS('Базовые времена'!$D$2:$D$71,'Базовые времена'!$A$2:$A$71,B344,'Базовые времена'!$B$2:$B$71,C344,'Базовые времена'!$C$2:$C$71,D344))</f>
        <v/>
      </c>
      <c r="H344" s="11" t="str">
        <f aca="false">IF(E344="","",IF(ISNUMBER(E344),IF(E344&lt;1,E344*86400,E344),IFERROR(IF(ISNUMBER(FIND(":",SUBSTITUTE(TRIM(E344),",","."))),VALUE(LEFT(SUBSTITUTE(TRIM(E344),",","."),FIND(":",SUBSTITUTE(TRIM(E344),",","."))-1))*60+_xlfn.NUMBERVALUE(MID(SUBSTITUTE(TRIM(E344),",","."),FIND(":",SUBSTITUTE(TRIM(E344),",","."))+1,99),"."),_xlfn.NUMBERVALUE(SUBSTITUTE(TRIM(E344),",","."),".")),0)))</f>
        <v/>
      </c>
    </row>
    <row r="345" customFormat="false" ht="15" hidden="false" customHeight="false" outlineLevel="0" collapsed="false">
      <c r="A345" s="5"/>
      <c r="B345" s="5"/>
      <c r="C345" s="5"/>
      <c r="D345" s="5"/>
      <c r="E345" s="13"/>
      <c r="F345" s="4" t="str">
        <f aca="false">IF(OR(G345="",H345="",N(G345)=0,N(H345)&lt;=0),"",ROUNDDOWN(1000*(G345/H345)^3,0))</f>
        <v/>
      </c>
      <c r="G345" s="11" t="str">
        <f aca="false">IF(D345="","",SUMIFS('Базовые времена'!$D$2:$D$71,'Базовые времена'!$A$2:$A$71,B345,'Базовые времена'!$B$2:$B$71,C345,'Базовые времена'!$C$2:$C$71,D345))</f>
        <v/>
      </c>
      <c r="H345" s="11" t="str">
        <f aca="false">IF(E345="","",IF(ISNUMBER(E345),IF(E345&lt;1,E345*86400,E345),IFERROR(IF(ISNUMBER(FIND(":",SUBSTITUTE(TRIM(E345),",","."))),VALUE(LEFT(SUBSTITUTE(TRIM(E345),",","."),FIND(":",SUBSTITUTE(TRIM(E345),",","."))-1))*60+_xlfn.NUMBERVALUE(MID(SUBSTITUTE(TRIM(E345),",","."),FIND(":",SUBSTITUTE(TRIM(E345),",","."))+1,99),"."),_xlfn.NUMBERVALUE(SUBSTITUTE(TRIM(E345),",","."),".")),0)))</f>
        <v/>
      </c>
    </row>
    <row r="346" customFormat="false" ht="15" hidden="false" customHeight="false" outlineLevel="0" collapsed="false">
      <c r="A346" s="5"/>
      <c r="B346" s="5"/>
      <c r="C346" s="5"/>
      <c r="D346" s="5"/>
      <c r="E346" s="13"/>
      <c r="F346" s="4" t="str">
        <f aca="false">IF(OR(G346="",H346="",N(G346)=0,N(H346)&lt;=0),"",ROUNDDOWN(1000*(G346/H346)^3,0))</f>
        <v/>
      </c>
      <c r="G346" s="11" t="str">
        <f aca="false">IF(D346="","",SUMIFS('Базовые времена'!$D$2:$D$71,'Базовые времена'!$A$2:$A$71,B346,'Базовые времена'!$B$2:$B$71,C346,'Базовые времена'!$C$2:$C$71,D346))</f>
        <v/>
      </c>
      <c r="H346" s="11" t="str">
        <f aca="false">IF(E346="","",IF(ISNUMBER(E346),IF(E346&lt;1,E346*86400,E346),IFERROR(IF(ISNUMBER(FIND(":",SUBSTITUTE(TRIM(E346),",","."))),VALUE(LEFT(SUBSTITUTE(TRIM(E346),",","."),FIND(":",SUBSTITUTE(TRIM(E346),",","."))-1))*60+_xlfn.NUMBERVALUE(MID(SUBSTITUTE(TRIM(E346),",","."),FIND(":",SUBSTITUTE(TRIM(E346),",","."))+1,99),"."),_xlfn.NUMBERVALUE(SUBSTITUTE(TRIM(E346),",","."),".")),0)))</f>
        <v/>
      </c>
    </row>
    <row r="347" customFormat="false" ht="15" hidden="false" customHeight="false" outlineLevel="0" collapsed="false">
      <c r="A347" s="5"/>
      <c r="B347" s="5"/>
      <c r="C347" s="5"/>
      <c r="D347" s="5"/>
      <c r="E347" s="13"/>
      <c r="F347" s="4" t="str">
        <f aca="false">IF(OR(G347="",H347="",N(G347)=0,N(H347)&lt;=0),"",ROUNDDOWN(1000*(G347/H347)^3,0))</f>
        <v/>
      </c>
      <c r="G347" s="11" t="str">
        <f aca="false">IF(D347="","",SUMIFS('Базовые времена'!$D$2:$D$71,'Базовые времена'!$A$2:$A$71,B347,'Базовые времена'!$B$2:$B$71,C347,'Базовые времена'!$C$2:$C$71,D347))</f>
        <v/>
      </c>
      <c r="H347" s="11" t="str">
        <f aca="false">IF(E347="","",IF(ISNUMBER(E347),IF(E347&lt;1,E347*86400,E347),IFERROR(IF(ISNUMBER(FIND(":",SUBSTITUTE(TRIM(E347),",","."))),VALUE(LEFT(SUBSTITUTE(TRIM(E347),",","."),FIND(":",SUBSTITUTE(TRIM(E347),",","."))-1))*60+_xlfn.NUMBERVALUE(MID(SUBSTITUTE(TRIM(E347),",","."),FIND(":",SUBSTITUTE(TRIM(E347),",","."))+1,99),"."),_xlfn.NUMBERVALUE(SUBSTITUTE(TRIM(E347),",","."),".")),0)))</f>
        <v/>
      </c>
    </row>
    <row r="348" customFormat="false" ht="15" hidden="false" customHeight="false" outlineLevel="0" collapsed="false">
      <c r="A348" s="5"/>
      <c r="B348" s="5"/>
      <c r="C348" s="5"/>
      <c r="D348" s="5"/>
      <c r="E348" s="13"/>
      <c r="F348" s="4" t="str">
        <f aca="false">IF(OR(G348="",H348="",N(G348)=0,N(H348)&lt;=0),"",ROUNDDOWN(1000*(G348/H348)^3,0))</f>
        <v/>
      </c>
      <c r="G348" s="11" t="str">
        <f aca="false">IF(D348="","",SUMIFS('Базовые времена'!$D$2:$D$71,'Базовые времена'!$A$2:$A$71,B348,'Базовые времена'!$B$2:$B$71,C348,'Базовые времена'!$C$2:$C$71,D348))</f>
        <v/>
      </c>
      <c r="H348" s="11" t="str">
        <f aca="false">IF(E348="","",IF(ISNUMBER(E348),IF(E348&lt;1,E348*86400,E348),IFERROR(IF(ISNUMBER(FIND(":",SUBSTITUTE(TRIM(E348),",","."))),VALUE(LEFT(SUBSTITUTE(TRIM(E348),",","."),FIND(":",SUBSTITUTE(TRIM(E348),",","."))-1))*60+_xlfn.NUMBERVALUE(MID(SUBSTITUTE(TRIM(E348),",","."),FIND(":",SUBSTITUTE(TRIM(E348),",","."))+1,99),"."),_xlfn.NUMBERVALUE(SUBSTITUTE(TRIM(E348),",","."),".")),0)))</f>
        <v/>
      </c>
    </row>
    <row r="349" customFormat="false" ht="15" hidden="false" customHeight="false" outlineLevel="0" collapsed="false">
      <c r="A349" s="5"/>
      <c r="B349" s="5"/>
      <c r="C349" s="5"/>
      <c r="D349" s="5"/>
      <c r="E349" s="13"/>
      <c r="F349" s="4" t="str">
        <f aca="false">IF(OR(G349="",H349="",N(G349)=0,N(H349)&lt;=0),"",ROUNDDOWN(1000*(G349/H349)^3,0))</f>
        <v/>
      </c>
      <c r="G349" s="11" t="str">
        <f aca="false">IF(D349="","",SUMIFS('Базовые времена'!$D$2:$D$71,'Базовые времена'!$A$2:$A$71,B349,'Базовые времена'!$B$2:$B$71,C349,'Базовые времена'!$C$2:$C$71,D349))</f>
        <v/>
      </c>
      <c r="H349" s="11" t="str">
        <f aca="false">IF(E349="","",IF(ISNUMBER(E349),IF(E349&lt;1,E349*86400,E349),IFERROR(IF(ISNUMBER(FIND(":",SUBSTITUTE(TRIM(E349),",","."))),VALUE(LEFT(SUBSTITUTE(TRIM(E349),",","."),FIND(":",SUBSTITUTE(TRIM(E349),",","."))-1))*60+_xlfn.NUMBERVALUE(MID(SUBSTITUTE(TRIM(E349),",","."),FIND(":",SUBSTITUTE(TRIM(E349),",","."))+1,99),"."),_xlfn.NUMBERVALUE(SUBSTITUTE(TRIM(E349),",","."),".")),0)))</f>
        <v/>
      </c>
    </row>
    <row r="350" customFormat="false" ht="15" hidden="false" customHeight="false" outlineLevel="0" collapsed="false">
      <c r="A350" s="5"/>
      <c r="B350" s="5"/>
      <c r="C350" s="5"/>
      <c r="D350" s="5"/>
      <c r="E350" s="13"/>
      <c r="F350" s="4" t="str">
        <f aca="false">IF(OR(G350="",H350="",N(G350)=0,N(H350)&lt;=0),"",ROUNDDOWN(1000*(G350/H350)^3,0))</f>
        <v/>
      </c>
      <c r="G350" s="11" t="str">
        <f aca="false">IF(D350="","",SUMIFS('Базовые времена'!$D$2:$D$71,'Базовые времена'!$A$2:$A$71,B350,'Базовые времена'!$B$2:$B$71,C350,'Базовые времена'!$C$2:$C$71,D350))</f>
        <v/>
      </c>
      <c r="H350" s="11" t="str">
        <f aca="false">IF(E350="","",IF(ISNUMBER(E350),IF(E350&lt;1,E350*86400,E350),IFERROR(IF(ISNUMBER(FIND(":",SUBSTITUTE(TRIM(E350),",","."))),VALUE(LEFT(SUBSTITUTE(TRIM(E350),",","."),FIND(":",SUBSTITUTE(TRIM(E350),",","."))-1))*60+_xlfn.NUMBERVALUE(MID(SUBSTITUTE(TRIM(E350),",","."),FIND(":",SUBSTITUTE(TRIM(E350),",","."))+1,99),"."),_xlfn.NUMBERVALUE(SUBSTITUTE(TRIM(E350),",","."),".")),0)))</f>
        <v/>
      </c>
    </row>
    <row r="351" customFormat="false" ht="15" hidden="false" customHeight="false" outlineLevel="0" collapsed="false">
      <c r="A351" s="5"/>
      <c r="B351" s="5"/>
      <c r="C351" s="5"/>
      <c r="D351" s="5"/>
      <c r="E351" s="13"/>
      <c r="F351" s="4" t="str">
        <f aca="false">IF(OR(G351="",H351="",N(G351)=0,N(H351)&lt;=0),"",ROUNDDOWN(1000*(G351/H351)^3,0))</f>
        <v/>
      </c>
      <c r="G351" s="11" t="str">
        <f aca="false">IF(D351="","",SUMIFS('Базовые времена'!$D$2:$D$71,'Базовые времена'!$A$2:$A$71,B351,'Базовые времена'!$B$2:$B$71,C351,'Базовые времена'!$C$2:$C$71,D351))</f>
        <v/>
      </c>
      <c r="H351" s="11" t="str">
        <f aca="false">IF(E351="","",IF(ISNUMBER(E351),IF(E351&lt;1,E351*86400,E351),IFERROR(IF(ISNUMBER(FIND(":",SUBSTITUTE(TRIM(E351),",","."))),VALUE(LEFT(SUBSTITUTE(TRIM(E351),",","."),FIND(":",SUBSTITUTE(TRIM(E351),",","."))-1))*60+_xlfn.NUMBERVALUE(MID(SUBSTITUTE(TRIM(E351),",","."),FIND(":",SUBSTITUTE(TRIM(E351),",","."))+1,99),"."),_xlfn.NUMBERVALUE(SUBSTITUTE(TRIM(E351),",","."),".")),0)))</f>
        <v/>
      </c>
    </row>
    <row r="352" customFormat="false" ht="15" hidden="false" customHeight="false" outlineLevel="0" collapsed="false">
      <c r="A352" s="5"/>
      <c r="B352" s="5"/>
      <c r="C352" s="5"/>
      <c r="D352" s="5"/>
      <c r="E352" s="13"/>
      <c r="F352" s="4" t="str">
        <f aca="false">IF(OR(G352="",H352="",N(G352)=0,N(H352)&lt;=0),"",ROUNDDOWN(1000*(G352/H352)^3,0))</f>
        <v/>
      </c>
      <c r="G352" s="11" t="str">
        <f aca="false">IF(D352="","",SUMIFS('Базовые времена'!$D$2:$D$71,'Базовые времена'!$A$2:$A$71,B352,'Базовые времена'!$B$2:$B$71,C352,'Базовые времена'!$C$2:$C$71,D352))</f>
        <v/>
      </c>
      <c r="H352" s="11" t="str">
        <f aca="false">IF(E352="","",IF(ISNUMBER(E352),IF(E352&lt;1,E352*86400,E352),IFERROR(IF(ISNUMBER(FIND(":",SUBSTITUTE(TRIM(E352),",","."))),VALUE(LEFT(SUBSTITUTE(TRIM(E352),",","."),FIND(":",SUBSTITUTE(TRIM(E352),",","."))-1))*60+_xlfn.NUMBERVALUE(MID(SUBSTITUTE(TRIM(E352),",","."),FIND(":",SUBSTITUTE(TRIM(E352),",","."))+1,99),"."),_xlfn.NUMBERVALUE(SUBSTITUTE(TRIM(E352),",","."),".")),0)))</f>
        <v/>
      </c>
    </row>
    <row r="353" customFormat="false" ht="15" hidden="false" customHeight="false" outlineLevel="0" collapsed="false">
      <c r="A353" s="5"/>
      <c r="B353" s="5"/>
      <c r="C353" s="5"/>
      <c r="D353" s="5"/>
      <c r="E353" s="13"/>
      <c r="F353" s="4" t="str">
        <f aca="false">IF(OR(G353="",H353="",N(G353)=0,N(H353)&lt;=0),"",ROUNDDOWN(1000*(G353/H353)^3,0))</f>
        <v/>
      </c>
      <c r="G353" s="11" t="str">
        <f aca="false">IF(D353="","",SUMIFS('Базовые времена'!$D$2:$D$71,'Базовые времена'!$A$2:$A$71,B353,'Базовые времена'!$B$2:$B$71,C353,'Базовые времена'!$C$2:$C$71,D353))</f>
        <v/>
      </c>
      <c r="H353" s="11" t="str">
        <f aca="false">IF(E353="","",IF(ISNUMBER(E353),IF(E353&lt;1,E353*86400,E353),IFERROR(IF(ISNUMBER(FIND(":",SUBSTITUTE(TRIM(E353),",","."))),VALUE(LEFT(SUBSTITUTE(TRIM(E353),",","."),FIND(":",SUBSTITUTE(TRIM(E353),",","."))-1))*60+_xlfn.NUMBERVALUE(MID(SUBSTITUTE(TRIM(E353),",","."),FIND(":",SUBSTITUTE(TRIM(E353),",","."))+1,99),"."),_xlfn.NUMBERVALUE(SUBSTITUTE(TRIM(E353),",","."),".")),0)))</f>
        <v/>
      </c>
    </row>
    <row r="354" customFormat="false" ht="15" hidden="false" customHeight="false" outlineLevel="0" collapsed="false">
      <c r="A354" s="5"/>
      <c r="B354" s="5"/>
      <c r="C354" s="5"/>
      <c r="D354" s="5"/>
      <c r="E354" s="13"/>
      <c r="F354" s="4" t="str">
        <f aca="false">IF(OR(G354="",H354="",N(G354)=0,N(H354)&lt;=0),"",ROUNDDOWN(1000*(G354/H354)^3,0))</f>
        <v/>
      </c>
      <c r="G354" s="11" t="str">
        <f aca="false">IF(D354="","",SUMIFS('Базовые времена'!$D$2:$D$71,'Базовые времена'!$A$2:$A$71,B354,'Базовые времена'!$B$2:$B$71,C354,'Базовые времена'!$C$2:$C$71,D354))</f>
        <v/>
      </c>
      <c r="H354" s="11" t="str">
        <f aca="false">IF(E354="","",IF(ISNUMBER(E354),IF(E354&lt;1,E354*86400,E354),IFERROR(IF(ISNUMBER(FIND(":",SUBSTITUTE(TRIM(E354),",","."))),VALUE(LEFT(SUBSTITUTE(TRIM(E354),",","."),FIND(":",SUBSTITUTE(TRIM(E354),",","."))-1))*60+_xlfn.NUMBERVALUE(MID(SUBSTITUTE(TRIM(E354),",","."),FIND(":",SUBSTITUTE(TRIM(E354),",","."))+1,99),"."),_xlfn.NUMBERVALUE(SUBSTITUTE(TRIM(E354),",","."),".")),0)))</f>
        <v/>
      </c>
    </row>
    <row r="355" customFormat="false" ht="15" hidden="false" customHeight="false" outlineLevel="0" collapsed="false">
      <c r="A355" s="5"/>
      <c r="B355" s="5"/>
      <c r="C355" s="5"/>
      <c r="D355" s="5"/>
      <c r="E355" s="13"/>
      <c r="F355" s="4" t="str">
        <f aca="false">IF(OR(G355="",H355="",N(G355)=0,N(H355)&lt;=0),"",ROUNDDOWN(1000*(G355/H355)^3,0))</f>
        <v/>
      </c>
      <c r="G355" s="11" t="str">
        <f aca="false">IF(D355="","",SUMIFS('Базовые времена'!$D$2:$D$71,'Базовые времена'!$A$2:$A$71,B355,'Базовые времена'!$B$2:$B$71,C355,'Базовые времена'!$C$2:$C$71,D355))</f>
        <v/>
      </c>
      <c r="H355" s="11" t="str">
        <f aca="false">IF(E355="","",IF(ISNUMBER(E355),IF(E355&lt;1,E355*86400,E355),IFERROR(IF(ISNUMBER(FIND(":",SUBSTITUTE(TRIM(E355),",","."))),VALUE(LEFT(SUBSTITUTE(TRIM(E355),",","."),FIND(":",SUBSTITUTE(TRIM(E355),",","."))-1))*60+_xlfn.NUMBERVALUE(MID(SUBSTITUTE(TRIM(E355),",","."),FIND(":",SUBSTITUTE(TRIM(E355),",","."))+1,99),"."),_xlfn.NUMBERVALUE(SUBSTITUTE(TRIM(E355),",","."),".")),0)))</f>
        <v/>
      </c>
    </row>
    <row r="356" customFormat="false" ht="15" hidden="false" customHeight="false" outlineLevel="0" collapsed="false">
      <c r="A356" s="5"/>
      <c r="B356" s="5"/>
      <c r="C356" s="5"/>
      <c r="D356" s="5"/>
      <c r="E356" s="13"/>
      <c r="F356" s="4" t="str">
        <f aca="false">IF(OR(G356="",H356="",N(G356)=0,N(H356)&lt;=0),"",ROUNDDOWN(1000*(G356/H356)^3,0))</f>
        <v/>
      </c>
      <c r="G356" s="11" t="str">
        <f aca="false">IF(D356="","",SUMIFS('Базовые времена'!$D$2:$D$71,'Базовые времена'!$A$2:$A$71,B356,'Базовые времена'!$B$2:$B$71,C356,'Базовые времена'!$C$2:$C$71,D356))</f>
        <v/>
      </c>
      <c r="H356" s="11" t="str">
        <f aca="false">IF(E356="","",IF(ISNUMBER(E356),IF(E356&lt;1,E356*86400,E356),IFERROR(IF(ISNUMBER(FIND(":",SUBSTITUTE(TRIM(E356),",","."))),VALUE(LEFT(SUBSTITUTE(TRIM(E356),",","."),FIND(":",SUBSTITUTE(TRIM(E356),",","."))-1))*60+_xlfn.NUMBERVALUE(MID(SUBSTITUTE(TRIM(E356),",","."),FIND(":",SUBSTITUTE(TRIM(E356),",","."))+1,99),"."),_xlfn.NUMBERVALUE(SUBSTITUTE(TRIM(E356),",","."),".")),0)))</f>
        <v/>
      </c>
    </row>
    <row r="357" customFormat="false" ht="15" hidden="false" customHeight="false" outlineLevel="0" collapsed="false">
      <c r="A357" s="5"/>
      <c r="B357" s="5"/>
      <c r="C357" s="5"/>
      <c r="D357" s="5"/>
      <c r="E357" s="13"/>
      <c r="F357" s="4" t="str">
        <f aca="false">IF(OR(G357="",H357="",N(G357)=0,N(H357)&lt;=0),"",ROUNDDOWN(1000*(G357/H357)^3,0))</f>
        <v/>
      </c>
      <c r="G357" s="11" t="str">
        <f aca="false">IF(D357="","",SUMIFS('Базовые времена'!$D$2:$D$71,'Базовые времена'!$A$2:$A$71,B357,'Базовые времена'!$B$2:$B$71,C357,'Базовые времена'!$C$2:$C$71,D357))</f>
        <v/>
      </c>
      <c r="H357" s="11" t="str">
        <f aca="false">IF(E357="","",IF(ISNUMBER(E357),IF(E357&lt;1,E357*86400,E357),IFERROR(IF(ISNUMBER(FIND(":",SUBSTITUTE(TRIM(E357),",","."))),VALUE(LEFT(SUBSTITUTE(TRIM(E357),",","."),FIND(":",SUBSTITUTE(TRIM(E357),",","."))-1))*60+_xlfn.NUMBERVALUE(MID(SUBSTITUTE(TRIM(E357),",","."),FIND(":",SUBSTITUTE(TRIM(E357),",","."))+1,99),"."),_xlfn.NUMBERVALUE(SUBSTITUTE(TRIM(E357),",","."),".")),0)))</f>
        <v/>
      </c>
    </row>
    <row r="358" customFormat="false" ht="15" hidden="false" customHeight="false" outlineLevel="0" collapsed="false">
      <c r="A358" s="5"/>
      <c r="B358" s="5"/>
      <c r="C358" s="5"/>
      <c r="D358" s="5"/>
      <c r="E358" s="13"/>
      <c r="F358" s="4" t="str">
        <f aca="false">IF(OR(G358="",H358="",N(G358)=0,N(H358)&lt;=0),"",ROUNDDOWN(1000*(G358/H358)^3,0))</f>
        <v/>
      </c>
      <c r="G358" s="11" t="str">
        <f aca="false">IF(D358="","",SUMIFS('Базовые времена'!$D$2:$D$71,'Базовые времена'!$A$2:$A$71,B358,'Базовые времена'!$B$2:$B$71,C358,'Базовые времена'!$C$2:$C$71,D358))</f>
        <v/>
      </c>
      <c r="H358" s="11" t="str">
        <f aca="false">IF(E358="","",IF(ISNUMBER(E358),IF(E358&lt;1,E358*86400,E358),IFERROR(IF(ISNUMBER(FIND(":",SUBSTITUTE(TRIM(E358),",","."))),VALUE(LEFT(SUBSTITUTE(TRIM(E358),",","."),FIND(":",SUBSTITUTE(TRIM(E358),",","."))-1))*60+_xlfn.NUMBERVALUE(MID(SUBSTITUTE(TRIM(E358),",","."),FIND(":",SUBSTITUTE(TRIM(E358),",","."))+1,99),"."),_xlfn.NUMBERVALUE(SUBSTITUTE(TRIM(E358),",","."),".")),0)))</f>
        <v/>
      </c>
    </row>
    <row r="359" customFormat="false" ht="15" hidden="false" customHeight="false" outlineLevel="0" collapsed="false">
      <c r="A359" s="5"/>
      <c r="B359" s="5"/>
      <c r="C359" s="5"/>
      <c r="D359" s="5"/>
      <c r="E359" s="13"/>
      <c r="F359" s="4" t="str">
        <f aca="false">IF(OR(G359="",H359="",N(G359)=0,N(H359)&lt;=0),"",ROUNDDOWN(1000*(G359/H359)^3,0))</f>
        <v/>
      </c>
      <c r="G359" s="11" t="str">
        <f aca="false">IF(D359="","",SUMIFS('Базовые времена'!$D$2:$D$71,'Базовые времена'!$A$2:$A$71,B359,'Базовые времена'!$B$2:$B$71,C359,'Базовые времена'!$C$2:$C$71,D359))</f>
        <v/>
      </c>
      <c r="H359" s="11" t="str">
        <f aca="false">IF(E359="","",IF(ISNUMBER(E359),IF(E359&lt;1,E359*86400,E359),IFERROR(IF(ISNUMBER(FIND(":",SUBSTITUTE(TRIM(E359),",","."))),VALUE(LEFT(SUBSTITUTE(TRIM(E359),",","."),FIND(":",SUBSTITUTE(TRIM(E359),",","."))-1))*60+_xlfn.NUMBERVALUE(MID(SUBSTITUTE(TRIM(E359),",","."),FIND(":",SUBSTITUTE(TRIM(E359),",","."))+1,99),"."),_xlfn.NUMBERVALUE(SUBSTITUTE(TRIM(E359),",","."),".")),0)))</f>
        <v/>
      </c>
    </row>
    <row r="360" customFormat="false" ht="15" hidden="false" customHeight="false" outlineLevel="0" collapsed="false">
      <c r="A360" s="5"/>
      <c r="B360" s="5"/>
      <c r="C360" s="5"/>
      <c r="D360" s="5"/>
      <c r="E360" s="13"/>
      <c r="F360" s="4" t="str">
        <f aca="false">IF(OR(G360="",H360="",N(G360)=0,N(H360)&lt;=0),"",ROUNDDOWN(1000*(G360/H360)^3,0))</f>
        <v/>
      </c>
      <c r="G360" s="11" t="str">
        <f aca="false">IF(D360="","",SUMIFS('Базовые времена'!$D$2:$D$71,'Базовые времена'!$A$2:$A$71,B360,'Базовые времена'!$B$2:$B$71,C360,'Базовые времена'!$C$2:$C$71,D360))</f>
        <v/>
      </c>
      <c r="H360" s="11" t="str">
        <f aca="false">IF(E360="","",IF(ISNUMBER(E360),IF(E360&lt;1,E360*86400,E360),IFERROR(IF(ISNUMBER(FIND(":",SUBSTITUTE(TRIM(E360),",","."))),VALUE(LEFT(SUBSTITUTE(TRIM(E360),",","."),FIND(":",SUBSTITUTE(TRIM(E360),",","."))-1))*60+_xlfn.NUMBERVALUE(MID(SUBSTITUTE(TRIM(E360),",","."),FIND(":",SUBSTITUTE(TRIM(E360),",","."))+1,99),"."),_xlfn.NUMBERVALUE(SUBSTITUTE(TRIM(E360),",","."),".")),0)))</f>
        <v/>
      </c>
    </row>
    <row r="361" customFormat="false" ht="15" hidden="false" customHeight="false" outlineLevel="0" collapsed="false">
      <c r="A361" s="5"/>
      <c r="B361" s="5"/>
      <c r="C361" s="5"/>
      <c r="D361" s="5"/>
      <c r="E361" s="13"/>
      <c r="F361" s="4" t="str">
        <f aca="false">IF(OR(G361="",H361="",N(G361)=0,N(H361)&lt;=0),"",ROUNDDOWN(1000*(G361/H361)^3,0))</f>
        <v/>
      </c>
      <c r="G361" s="11" t="str">
        <f aca="false">IF(D361="","",SUMIFS('Базовые времена'!$D$2:$D$71,'Базовые времена'!$A$2:$A$71,B361,'Базовые времена'!$B$2:$B$71,C361,'Базовые времена'!$C$2:$C$71,D361))</f>
        <v/>
      </c>
      <c r="H361" s="11" t="str">
        <f aca="false">IF(E361="","",IF(ISNUMBER(E361),IF(E361&lt;1,E361*86400,E361),IFERROR(IF(ISNUMBER(FIND(":",SUBSTITUTE(TRIM(E361),",","."))),VALUE(LEFT(SUBSTITUTE(TRIM(E361),",","."),FIND(":",SUBSTITUTE(TRIM(E361),",","."))-1))*60+_xlfn.NUMBERVALUE(MID(SUBSTITUTE(TRIM(E361),",","."),FIND(":",SUBSTITUTE(TRIM(E361),",","."))+1,99),"."),_xlfn.NUMBERVALUE(SUBSTITUTE(TRIM(E361),",","."),".")),0)))</f>
        <v/>
      </c>
    </row>
    <row r="362" customFormat="false" ht="15" hidden="false" customHeight="false" outlineLevel="0" collapsed="false">
      <c r="A362" s="5"/>
      <c r="B362" s="5"/>
      <c r="C362" s="5"/>
      <c r="D362" s="5"/>
      <c r="E362" s="13"/>
      <c r="F362" s="4" t="str">
        <f aca="false">IF(OR(G362="",H362="",N(G362)=0,N(H362)&lt;=0),"",ROUNDDOWN(1000*(G362/H362)^3,0))</f>
        <v/>
      </c>
      <c r="G362" s="11" t="str">
        <f aca="false">IF(D362="","",SUMIFS('Базовые времена'!$D$2:$D$71,'Базовые времена'!$A$2:$A$71,B362,'Базовые времена'!$B$2:$B$71,C362,'Базовые времена'!$C$2:$C$71,D362))</f>
        <v/>
      </c>
      <c r="H362" s="11" t="str">
        <f aca="false">IF(E362="","",IF(ISNUMBER(E362),IF(E362&lt;1,E362*86400,E362),IFERROR(IF(ISNUMBER(FIND(":",SUBSTITUTE(TRIM(E362),",","."))),VALUE(LEFT(SUBSTITUTE(TRIM(E362),",","."),FIND(":",SUBSTITUTE(TRIM(E362),",","."))-1))*60+_xlfn.NUMBERVALUE(MID(SUBSTITUTE(TRIM(E362),",","."),FIND(":",SUBSTITUTE(TRIM(E362),",","."))+1,99),"."),_xlfn.NUMBERVALUE(SUBSTITUTE(TRIM(E362),",","."),".")),0)))</f>
        <v/>
      </c>
    </row>
    <row r="363" customFormat="false" ht="15" hidden="false" customHeight="false" outlineLevel="0" collapsed="false">
      <c r="A363" s="5"/>
      <c r="B363" s="5"/>
      <c r="C363" s="5"/>
      <c r="D363" s="5"/>
      <c r="E363" s="13"/>
      <c r="F363" s="4" t="str">
        <f aca="false">IF(OR(G363="",H363="",N(G363)=0,N(H363)&lt;=0),"",ROUNDDOWN(1000*(G363/H363)^3,0))</f>
        <v/>
      </c>
      <c r="G363" s="11" t="str">
        <f aca="false">IF(D363="","",SUMIFS('Базовые времена'!$D$2:$D$71,'Базовые времена'!$A$2:$A$71,B363,'Базовые времена'!$B$2:$B$71,C363,'Базовые времена'!$C$2:$C$71,D363))</f>
        <v/>
      </c>
      <c r="H363" s="11" t="str">
        <f aca="false">IF(E363="","",IF(ISNUMBER(E363),IF(E363&lt;1,E363*86400,E363),IFERROR(IF(ISNUMBER(FIND(":",SUBSTITUTE(TRIM(E363),",","."))),VALUE(LEFT(SUBSTITUTE(TRIM(E363),",","."),FIND(":",SUBSTITUTE(TRIM(E363),",","."))-1))*60+_xlfn.NUMBERVALUE(MID(SUBSTITUTE(TRIM(E363),",","."),FIND(":",SUBSTITUTE(TRIM(E363),",","."))+1,99),"."),_xlfn.NUMBERVALUE(SUBSTITUTE(TRIM(E363),",","."),".")),0)))</f>
        <v/>
      </c>
    </row>
    <row r="364" customFormat="false" ht="15" hidden="false" customHeight="false" outlineLevel="0" collapsed="false">
      <c r="A364" s="5"/>
      <c r="B364" s="5"/>
      <c r="C364" s="5"/>
      <c r="D364" s="5"/>
      <c r="E364" s="13"/>
      <c r="F364" s="4" t="str">
        <f aca="false">IF(OR(G364="",H364="",N(G364)=0,N(H364)&lt;=0),"",ROUNDDOWN(1000*(G364/H364)^3,0))</f>
        <v/>
      </c>
      <c r="G364" s="11" t="str">
        <f aca="false">IF(D364="","",SUMIFS('Базовые времена'!$D$2:$D$71,'Базовые времена'!$A$2:$A$71,B364,'Базовые времена'!$B$2:$B$71,C364,'Базовые времена'!$C$2:$C$71,D364))</f>
        <v/>
      </c>
      <c r="H364" s="11" t="str">
        <f aca="false">IF(E364="","",IF(ISNUMBER(E364),IF(E364&lt;1,E364*86400,E364),IFERROR(IF(ISNUMBER(FIND(":",SUBSTITUTE(TRIM(E364),",","."))),VALUE(LEFT(SUBSTITUTE(TRIM(E364),",","."),FIND(":",SUBSTITUTE(TRIM(E364),",","."))-1))*60+_xlfn.NUMBERVALUE(MID(SUBSTITUTE(TRIM(E364),",","."),FIND(":",SUBSTITUTE(TRIM(E364),",","."))+1,99),"."),_xlfn.NUMBERVALUE(SUBSTITUTE(TRIM(E364),",","."),".")),0)))</f>
        <v/>
      </c>
    </row>
    <row r="365" customFormat="false" ht="15" hidden="false" customHeight="false" outlineLevel="0" collapsed="false">
      <c r="A365" s="5"/>
      <c r="B365" s="5"/>
      <c r="C365" s="5"/>
      <c r="D365" s="5"/>
      <c r="E365" s="13"/>
      <c r="F365" s="4" t="str">
        <f aca="false">IF(OR(G365="",H365="",N(G365)=0,N(H365)&lt;=0),"",ROUNDDOWN(1000*(G365/H365)^3,0))</f>
        <v/>
      </c>
      <c r="G365" s="11" t="str">
        <f aca="false">IF(D365="","",SUMIFS('Базовые времена'!$D$2:$D$71,'Базовые времена'!$A$2:$A$71,B365,'Базовые времена'!$B$2:$B$71,C365,'Базовые времена'!$C$2:$C$71,D365))</f>
        <v/>
      </c>
      <c r="H365" s="11" t="str">
        <f aca="false">IF(E365="","",IF(ISNUMBER(E365),IF(E365&lt;1,E365*86400,E365),IFERROR(IF(ISNUMBER(FIND(":",SUBSTITUTE(TRIM(E365),",","."))),VALUE(LEFT(SUBSTITUTE(TRIM(E365),",","."),FIND(":",SUBSTITUTE(TRIM(E365),",","."))-1))*60+_xlfn.NUMBERVALUE(MID(SUBSTITUTE(TRIM(E365),",","."),FIND(":",SUBSTITUTE(TRIM(E365),",","."))+1,99),"."),_xlfn.NUMBERVALUE(SUBSTITUTE(TRIM(E365),",","."),".")),0)))</f>
        <v/>
      </c>
    </row>
    <row r="366" customFormat="false" ht="15" hidden="false" customHeight="false" outlineLevel="0" collapsed="false">
      <c r="A366" s="5"/>
      <c r="B366" s="5"/>
      <c r="C366" s="5"/>
      <c r="D366" s="5"/>
      <c r="E366" s="13"/>
      <c r="F366" s="4" t="str">
        <f aca="false">IF(OR(G366="",H366="",N(G366)=0,N(H366)&lt;=0),"",ROUNDDOWN(1000*(G366/H366)^3,0))</f>
        <v/>
      </c>
      <c r="G366" s="11" t="str">
        <f aca="false">IF(D366="","",SUMIFS('Базовые времена'!$D$2:$D$71,'Базовые времена'!$A$2:$A$71,B366,'Базовые времена'!$B$2:$B$71,C366,'Базовые времена'!$C$2:$C$71,D366))</f>
        <v/>
      </c>
      <c r="H366" s="11" t="str">
        <f aca="false">IF(E366="","",IF(ISNUMBER(E366),IF(E366&lt;1,E366*86400,E366),IFERROR(IF(ISNUMBER(FIND(":",SUBSTITUTE(TRIM(E366),",","."))),VALUE(LEFT(SUBSTITUTE(TRIM(E366),",","."),FIND(":",SUBSTITUTE(TRIM(E366),",","."))-1))*60+_xlfn.NUMBERVALUE(MID(SUBSTITUTE(TRIM(E366),",","."),FIND(":",SUBSTITUTE(TRIM(E366),",","."))+1,99),"."),_xlfn.NUMBERVALUE(SUBSTITUTE(TRIM(E366),",","."),".")),0)))</f>
        <v/>
      </c>
    </row>
    <row r="367" customFormat="false" ht="15" hidden="false" customHeight="false" outlineLevel="0" collapsed="false">
      <c r="A367" s="5"/>
      <c r="B367" s="5"/>
      <c r="C367" s="5"/>
      <c r="D367" s="5"/>
      <c r="E367" s="13"/>
      <c r="F367" s="4" t="str">
        <f aca="false">IF(OR(G367="",H367="",N(G367)=0,N(H367)&lt;=0),"",ROUNDDOWN(1000*(G367/H367)^3,0))</f>
        <v/>
      </c>
      <c r="G367" s="11" t="str">
        <f aca="false">IF(D367="","",SUMIFS('Базовые времена'!$D$2:$D$71,'Базовые времена'!$A$2:$A$71,B367,'Базовые времена'!$B$2:$B$71,C367,'Базовые времена'!$C$2:$C$71,D367))</f>
        <v/>
      </c>
      <c r="H367" s="11" t="str">
        <f aca="false">IF(E367="","",IF(ISNUMBER(E367),IF(E367&lt;1,E367*86400,E367),IFERROR(IF(ISNUMBER(FIND(":",SUBSTITUTE(TRIM(E367),",","."))),VALUE(LEFT(SUBSTITUTE(TRIM(E367),",","."),FIND(":",SUBSTITUTE(TRIM(E367),",","."))-1))*60+_xlfn.NUMBERVALUE(MID(SUBSTITUTE(TRIM(E367),",","."),FIND(":",SUBSTITUTE(TRIM(E367),",","."))+1,99),"."),_xlfn.NUMBERVALUE(SUBSTITUTE(TRIM(E367),",","."),".")),0)))</f>
        <v/>
      </c>
    </row>
    <row r="368" customFormat="false" ht="15" hidden="false" customHeight="false" outlineLevel="0" collapsed="false">
      <c r="A368" s="5"/>
      <c r="B368" s="5"/>
      <c r="C368" s="5"/>
      <c r="D368" s="5"/>
      <c r="E368" s="13"/>
      <c r="F368" s="4" t="str">
        <f aca="false">IF(OR(G368="",H368="",N(G368)=0,N(H368)&lt;=0),"",ROUNDDOWN(1000*(G368/H368)^3,0))</f>
        <v/>
      </c>
      <c r="G368" s="11" t="str">
        <f aca="false">IF(D368="","",SUMIFS('Базовые времена'!$D$2:$D$71,'Базовые времена'!$A$2:$A$71,B368,'Базовые времена'!$B$2:$B$71,C368,'Базовые времена'!$C$2:$C$71,D368))</f>
        <v/>
      </c>
      <c r="H368" s="11" t="str">
        <f aca="false">IF(E368="","",IF(ISNUMBER(E368),IF(E368&lt;1,E368*86400,E368),IFERROR(IF(ISNUMBER(FIND(":",SUBSTITUTE(TRIM(E368),",","."))),VALUE(LEFT(SUBSTITUTE(TRIM(E368),",","."),FIND(":",SUBSTITUTE(TRIM(E368),",","."))-1))*60+_xlfn.NUMBERVALUE(MID(SUBSTITUTE(TRIM(E368),",","."),FIND(":",SUBSTITUTE(TRIM(E368),",","."))+1,99),"."),_xlfn.NUMBERVALUE(SUBSTITUTE(TRIM(E368),",","."),".")),0)))</f>
        <v/>
      </c>
    </row>
    <row r="369" customFormat="false" ht="15" hidden="false" customHeight="false" outlineLevel="0" collapsed="false">
      <c r="A369" s="5"/>
      <c r="B369" s="5"/>
      <c r="C369" s="5"/>
      <c r="D369" s="5"/>
      <c r="E369" s="13"/>
      <c r="F369" s="4" t="str">
        <f aca="false">IF(OR(G369="",H369="",N(G369)=0,N(H369)&lt;=0),"",ROUNDDOWN(1000*(G369/H369)^3,0))</f>
        <v/>
      </c>
      <c r="G369" s="11" t="str">
        <f aca="false">IF(D369="","",SUMIFS('Базовые времена'!$D$2:$D$71,'Базовые времена'!$A$2:$A$71,B369,'Базовые времена'!$B$2:$B$71,C369,'Базовые времена'!$C$2:$C$71,D369))</f>
        <v/>
      </c>
      <c r="H369" s="11" t="str">
        <f aca="false">IF(E369="","",IF(ISNUMBER(E369),IF(E369&lt;1,E369*86400,E369),IFERROR(IF(ISNUMBER(FIND(":",SUBSTITUTE(TRIM(E369),",","."))),VALUE(LEFT(SUBSTITUTE(TRIM(E369),",","."),FIND(":",SUBSTITUTE(TRIM(E369),",","."))-1))*60+_xlfn.NUMBERVALUE(MID(SUBSTITUTE(TRIM(E369),",","."),FIND(":",SUBSTITUTE(TRIM(E369),",","."))+1,99),"."),_xlfn.NUMBERVALUE(SUBSTITUTE(TRIM(E369),",","."),".")),0)))</f>
        <v/>
      </c>
    </row>
    <row r="370" customFormat="false" ht="15" hidden="false" customHeight="false" outlineLevel="0" collapsed="false">
      <c r="A370" s="5"/>
      <c r="B370" s="5"/>
      <c r="C370" s="5"/>
      <c r="D370" s="5"/>
      <c r="E370" s="13"/>
      <c r="F370" s="4" t="str">
        <f aca="false">IF(OR(G370="",H370="",N(G370)=0,N(H370)&lt;=0),"",ROUNDDOWN(1000*(G370/H370)^3,0))</f>
        <v/>
      </c>
      <c r="G370" s="11" t="str">
        <f aca="false">IF(D370="","",SUMIFS('Базовые времена'!$D$2:$D$71,'Базовые времена'!$A$2:$A$71,B370,'Базовые времена'!$B$2:$B$71,C370,'Базовые времена'!$C$2:$C$71,D370))</f>
        <v/>
      </c>
      <c r="H370" s="11" t="str">
        <f aca="false">IF(E370="","",IF(ISNUMBER(E370),IF(E370&lt;1,E370*86400,E370),IFERROR(IF(ISNUMBER(FIND(":",SUBSTITUTE(TRIM(E370),",","."))),VALUE(LEFT(SUBSTITUTE(TRIM(E370),",","."),FIND(":",SUBSTITUTE(TRIM(E370),",","."))-1))*60+_xlfn.NUMBERVALUE(MID(SUBSTITUTE(TRIM(E370),",","."),FIND(":",SUBSTITUTE(TRIM(E370),",","."))+1,99),"."),_xlfn.NUMBERVALUE(SUBSTITUTE(TRIM(E370),",","."),".")),0)))</f>
        <v/>
      </c>
    </row>
    <row r="371" customFormat="false" ht="15" hidden="false" customHeight="false" outlineLevel="0" collapsed="false">
      <c r="A371" s="5"/>
      <c r="B371" s="5"/>
      <c r="C371" s="5"/>
      <c r="D371" s="5"/>
      <c r="E371" s="13"/>
      <c r="F371" s="4" t="str">
        <f aca="false">IF(OR(G371="",H371="",N(G371)=0,N(H371)&lt;=0),"",ROUNDDOWN(1000*(G371/H371)^3,0))</f>
        <v/>
      </c>
      <c r="G371" s="11" t="str">
        <f aca="false">IF(D371="","",SUMIFS('Базовые времена'!$D$2:$D$71,'Базовые времена'!$A$2:$A$71,B371,'Базовые времена'!$B$2:$B$71,C371,'Базовые времена'!$C$2:$C$71,D371))</f>
        <v/>
      </c>
      <c r="H371" s="11" t="str">
        <f aca="false">IF(E371="","",IF(ISNUMBER(E371),IF(E371&lt;1,E371*86400,E371),IFERROR(IF(ISNUMBER(FIND(":",SUBSTITUTE(TRIM(E371),",","."))),VALUE(LEFT(SUBSTITUTE(TRIM(E371),",","."),FIND(":",SUBSTITUTE(TRIM(E371),",","."))-1))*60+_xlfn.NUMBERVALUE(MID(SUBSTITUTE(TRIM(E371),",","."),FIND(":",SUBSTITUTE(TRIM(E371),",","."))+1,99),"."),_xlfn.NUMBERVALUE(SUBSTITUTE(TRIM(E371),",","."),".")),0)))</f>
        <v/>
      </c>
    </row>
    <row r="372" customFormat="false" ht="15" hidden="false" customHeight="false" outlineLevel="0" collapsed="false">
      <c r="A372" s="5"/>
      <c r="B372" s="5"/>
      <c r="C372" s="5"/>
      <c r="D372" s="5"/>
      <c r="E372" s="13"/>
      <c r="F372" s="4" t="str">
        <f aca="false">IF(OR(G372="",H372="",N(G372)=0,N(H372)&lt;=0),"",ROUNDDOWN(1000*(G372/H372)^3,0))</f>
        <v/>
      </c>
      <c r="G372" s="11" t="str">
        <f aca="false">IF(D372="","",SUMIFS('Базовые времена'!$D$2:$D$71,'Базовые времена'!$A$2:$A$71,B372,'Базовые времена'!$B$2:$B$71,C372,'Базовые времена'!$C$2:$C$71,D372))</f>
        <v/>
      </c>
      <c r="H372" s="11" t="str">
        <f aca="false">IF(E372="","",IF(ISNUMBER(E372),IF(E372&lt;1,E372*86400,E372),IFERROR(IF(ISNUMBER(FIND(":",SUBSTITUTE(TRIM(E372),",","."))),VALUE(LEFT(SUBSTITUTE(TRIM(E372),",","."),FIND(":",SUBSTITUTE(TRIM(E372),",","."))-1))*60+_xlfn.NUMBERVALUE(MID(SUBSTITUTE(TRIM(E372),",","."),FIND(":",SUBSTITUTE(TRIM(E372),",","."))+1,99),"."),_xlfn.NUMBERVALUE(SUBSTITUTE(TRIM(E372),",","."),".")),0)))</f>
        <v/>
      </c>
    </row>
    <row r="373" customFormat="false" ht="15" hidden="false" customHeight="false" outlineLevel="0" collapsed="false">
      <c r="A373" s="5"/>
      <c r="B373" s="5"/>
      <c r="C373" s="5"/>
      <c r="D373" s="5"/>
      <c r="E373" s="13"/>
      <c r="F373" s="4" t="str">
        <f aca="false">IF(OR(G373="",H373="",N(G373)=0,N(H373)&lt;=0),"",ROUNDDOWN(1000*(G373/H373)^3,0))</f>
        <v/>
      </c>
      <c r="G373" s="11" t="str">
        <f aca="false">IF(D373="","",SUMIFS('Базовые времена'!$D$2:$D$71,'Базовые времена'!$A$2:$A$71,B373,'Базовые времена'!$B$2:$B$71,C373,'Базовые времена'!$C$2:$C$71,D373))</f>
        <v/>
      </c>
      <c r="H373" s="11" t="str">
        <f aca="false">IF(E373="","",IF(ISNUMBER(E373),IF(E373&lt;1,E373*86400,E373),IFERROR(IF(ISNUMBER(FIND(":",SUBSTITUTE(TRIM(E373),",","."))),VALUE(LEFT(SUBSTITUTE(TRIM(E373),",","."),FIND(":",SUBSTITUTE(TRIM(E373),",","."))-1))*60+_xlfn.NUMBERVALUE(MID(SUBSTITUTE(TRIM(E373),",","."),FIND(":",SUBSTITUTE(TRIM(E373),",","."))+1,99),"."),_xlfn.NUMBERVALUE(SUBSTITUTE(TRIM(E373),",","."),".")),0)))</f>
        <v/>
      </c>
    </row>
    <row r="374" customFormat="false" ht="15" hidden="false" customHeight="false" outlineLevel="0" collapsed="false">
      <c r="A374" s="5"/>
      <c r="B374" s="5"/>
      <c r="C374" s="5"/>
      <c r="D374" s="5"/>
      <c r="E374" s="13"/>
      <c r="F374" s="4" t="str">
        <f aca="false">IF(OR(G374="",H374="",N(G374)=0,N(H374)&lt;=0),"",ROUNDDOWN(1000*(G374/H374)^3,0))</f>
        <v/>
      </c>
      <c r="G374" s="11" t="str">
        <f aca="false">IF(D374="","",SUMIFS('Базовые времена'!$D$2:$D$71,'Базовые времена'!$A$2:$A$71,B374,'Базовые времена'!$B$2:$B$71,C374,'Базовые времена'!$C$2:$C$71,D374))</f>
        <v/>
      </c>
      <c r="H374" s="11" t="str">
        <f aca="false">IF(E374="","",IF(ISNUMBER(E374),IF(E374&lt;1,E374*86400,E374),IFERROR(IF(ISNUMBER(FIND(":",SUBSTITUTE(TRIM(E374),",","."))),VALUE(LEFT(SUBSTITUTE(TRIM(E374),",","."),FIND(":",SUBSTITUTE(TRIM(E374),",","."))-1))*60+_xlfn.NUMBERVALUE(MID(SUBSTITUTE(TRIM(E374),",","."),FIND(":",SUBSTITUTE(TRIM(E374),",","."))+1,99),"."),_xlfn.NUMBERVALUE(SUBSTITUTE(TRIM(E374),",","."),".")),0)))</f>
        <v/>
      </c>
    </row>
    <row r="375" customFormat="false" ht="15" hidden="false" customHeight="false" outlineLevel="0" collapsed="false">
      <c r="A375" s="5"/>
      <c r="B375" s="5"/>
      <c r="C375" s="5"/>
      <c r="D375" s="5"/>
      <c r="E375" s="13"/>
      <c r="F375" s="4" t="str">
        <f aca="false">IF(OR(G375="",H375="",N(G375)=0,N(H375)&lt;=0),"",ROUNDDOWN(1000*(G375/H375)^3,0))</f>
        <v/>
      </c>
      <c r="G375" s="11" t="str">
        <f aca="false">IF(D375="","",SUMIFS('Базовые времена'!$D$2:$D$71,'Базовые времена'!$A$2:$A$71,B375,'Базовые времена'!$B$2:$B$71,C375,'Базовые времена'!$C$2:$C$71,D375))</f>
        <v/>
      </c>
      <c r="H375" s="11" t="str">
        <f aca="false">IF(E375="","",IF(ISNUMBER(E375),IF(E375&lt;1,E375*86400,E375),IFERROR(IF(ISNUMBER(FIND(":",SUBSTITUTE(TRIM(E375),",","."))),VALUE(LEFT(SUBSTITUTE(TRIM(E375),",","."),FIND(":",SUBSTITUTE(TRIM(E375),",","."))-1))*60+_xlfn.NUMBERVALUE(MID(SUBSTITUTE(TRIM(E375),",","."),FIND(":",SUBSTITUTE(TRIM(E375),",","."))+1,99),"."),_xlfn.NUMBERVALUE(SUBSTITUTE(TRIM(E375),",","."),".")),0)))</f>
        <v/>
      </c>
    </row>
    <row r="376" customFormat="false" ht="15" hidden="false" customHeight="false" outlineLevel="0" collapsed="false">
      <c r="A376" s="5"/>
      <c r="B376" s="5"/>
      <c r="C376" s="5"/>
      <c r="D376" s="5"/>
      <c r="E376" s="13"/>
      <c r="F376" s="4" t="str">
        <f aca="false">IF(OR(G376="",H376="",N(G376)=0,N(H376)&lt;=0),"",ROUNDDOWN(1000*(G376/H376)^3,0))</f>
        <v/>
      </c>
      <c r="G376" s="11" t="str">
        <f aca="false">IF(D376="","",SUMIFS('Базовые времена'!$D$2:$D$71,'Базовые времена'!$A$2:$A$71,B376,'Базовые времена'!$B$2:$B$71,C376,'Базовые времена'!$C$2:$C$71,D376))</f>
        <v/>
      </c>
      <c r="H376" s="11" t="str">
        <f aca="false">IF(E376="","",IF(ISNUMBER(E376),IF(E376&lt;1,E376*86400,E376),IFERROR(IF(ISNUMBER(FIND(":",SUBSTITUTE(TRIM(E376),",","."))),VALUE(LEFT(SUBSTITUTE(TRIM(E376),",","."),FIND(":",SUBSTITUTE(TRIM(E376),",","."))-1))*60+_xlfn.NUMBERVALUE(MID(SUBSTITUTE(TRIM(E376),",","."),FIND(":",SUBSTITUTE(TRIM(E376),",","."))+1,99),"."),_xlfn.NUMBERVALUE(SUBSTITUTE(TRIM(E376),",","."),".")),0)))</f>
        <v/>
      </c>
    </row>
    <row r="377" customFormat="false" ht="15" hidden="false" customHeight="false" outlineLevel="0" collapsed="false">
      <c r="A377" s="5"/>
      <c r="B377" s="5"/>
      <c r="C377" s="5"/>
      <c r="D377" s="5"/>
      <c r="E377" s="13"/>
      <c r="F377" s="4" t="str">
        <f aca="false">IF(OR(G377="",H377="",N(G377)=0,N(H377)&lt;=0),"",ROUNDDOWN(1000*(G377/H377)^3,0))</f>
        <v/>
      </c>
      <c r="G377" s="11" t="str">
        <f aca="false">IF(D377="","",SUMIFS('Базовые времена'!$D$2:$D$71,'Базовые времена'!$A$2:$A$71,B377,'Базовые времена'!$B$2:$B$71,C377,'Базовые времена'!$C$2:$C$71,D377))</f>
        <v/>
      </c>
      <c r="H377" s="11" t="str">
        <f aca="false">IF(E377="","",IF(ISNUMBER(E377),IF(E377&lt;1,E377*86400,E377),IFERROR(IF(ISNUMBER(FIND(":",SUBSTITUTE(TRIM(E377),",","."))),VALUE(LEFT(SUBSTITUTE(TRIM(E377),",","."),FIND(":",SUBSTITUTE(TRIM(E377),",","."))-1))*60+_xlfn.NUMBERVALUE(MID(SUBSTITUTE(TRIM(E377),",","."),FIND(":",SUBSTITUTE(TRIM(E377),",","."))+1,99),"."),_xlfn.NUMBERVALUE(SUBSTITUTE(TRIM(E377),",","."),".")),0)))</f>
        <v/>
      </c>
    </row>
    <row r="378" customFormat="false" ht="15" hidden="false" customHeight="false" outlineLevel="0" collapsed="false">
      <c r="A378" s="5"/>
      <c r="B378" s="5"/>
      <c r="C378" s="5"/>
      <c r="D378" s="5"/>
      <c r="E378" s="13"/>
      <c r="F378" s="4" t="str">
        <f aca="false">IF(OR(G378="",H378="",N(G378)=0,N(H378)&lt;=0),"",ROUNDDOWN(1000*(G378/H378)^3,0))</f>
        <v/>
      </c>
      <c r="G378" s="11" t="str">
        <f aca="false">IF(D378="","",SUMIFS('Базовые времена'!$D$2:$D$71,'Базовые времена'!$A$2:$A$71,B378,'Базовые времена'!$B$2:$B$71,C378,'Базовые времена'!$C$2:$C$71,D378))</f>
        <v/>
      </c>
      <c r="H378" s="11" t="str">
        <f aca="false">IF(E378="","",IF(ISNUMBER(E378),IF(E378&lt;1,E378*86400,E378),IFERROR(IF(ISNUMBER(FIND(":",SUBSTITUTE(TRIM(E378),",","."))),VALUE(LEFT(SUBSTITUTE(TRIM(E378),",","."),FIND(":",SUBSTITUTE(TRIM(E378),",","."))-1))*60+_xlfn.NUMBERVALUE(MID(SUBSTITUTE(TRIM(E378),",","."),FIND(":",SUBSTITUTE(TRIM(E378),",","."))+1,99),"."),_xlfn.NUMBERVALUE(SUBSTITUTE(TRIM(E378),",","."),".")),0)))</f>
        <v/>
      </c>
    </row>
    <row r="379" customFormat="false" ht="15" hidden="false" customHeight="false" outlineLevel="0" collapsed="false">
      <c r="A379" s="5"/>
      <c r="B379" s="5"/>
      <c r="C379" s="5"/>
      <c r="D379" s="5"/>
      <c r="E379" s="13"/>
      <c r="F379" s="4" t="str">
        <f aca="false">IF(OR(G379="",H379="",N(G379)=0,N(H379)&lt;=0),"",ROUNDDOWN(1000*(G379/H379)^3,0))</f>
        <v/>
      </c>
      <c r="G379" s="11" t="str">
        <f aca="false">IF(D379="","",SUMIFS('Базовые времена'!$D$2:$D$71,'Базовые времена'!$A$2:$A$71,B379,'Базовые времена'!$B$2:$B$71,C379,'Базовые времена'!$C$2:$C$71,D379))</f>
        <v/>
      </c>
      <c r="H379" s="11" t="str">
        <f aca="false">IF(E379="","",IF(ISNUMBER(E379),IF(E379&lt;1,E379*86400,E379),IFERROR(IF(ISNUMBER(FIND(":",SUBSTITUTE(TRIM(E379),",","."))),VALUE(LEFT(SUBSTITUTE(TRIM(E379),",","."),FIND(":",SUBSTITUTE(TRIM(E379),",","."))-1))*60+_xlfn.NUMBERVALUE(MID(SUBSTITUTE(TRIM(E379),",","."),FIND(":",SUBSTITUTE(TRIM(E379),",","."))+1,99),"."),_xlfn.NUMBERVALUE(SUBSTITUTE(TRIM(E379),",","."),".")),0)))</f>
        <v/>
      </c>
    </row>
    <row r="380" customFormat="false" ht="15" hidden="false" customHeight="false" outlineLevel="0" collapsed="false">
      <c r="A380" s="5"/>
      <c r="B380" s="5"/>
      <c r="C380" s="5"/>
      <c r="D380" s="5"/>
      <c r="E380" s="13"/>
      <c r="F380" s="4" t="str">
        <f aca="false">IF(OR(G380="",H380="",N(G380)=0,N(H380)&lt;=0),"",ROUNDDOWN(1000*(G380/H380)^3,0))</f>
        <v/>
      </c>
      <c r="G380" s="11" t="str">
        <f aca="false">IF(D380="","",SUMIFS('Базовые времена'!$D$2:$D$71,'Базовые времена'!$A$2:$A$71,B380,'Базовые времена'!$B$2:$B$71,C380,'Базовые времена'!$C$2:$C$71,D380))</f>
        <v/>
      </c>
      <c r="H380" s="11" t="str">
        <f aca="false">IF(E380="","",IF(ISNUMBER(E380),IF(E380&lt;1,E380*86400,E380),IFERROR(IF(ISNUMBER(FIND(":",SUBSTITUTE(TRIM(E380),",","."))),VALUE(LEFT(SUBSTITUTE(TRIM(E380),",","."),FIND(":",SUBSTITUTE(TRIM(E380),",","."))-1))*60+_xlfn.NUMBERVALUE(MID(SUBSTITUTE(TRIM(E380),",","."),FIND(":",SUBSTITUTE(TRIM(E380),",","."))+1,99),"."),_xlfn.NUMBERVALUE(SUBSTITUTE(TRIM(E380),",","."),".")),0)))</f>
        <v/>
      </c>
    </row>
    <row r="381" customFormat="false" ht="15" hidden="false" customHeight="false" outlineLevel="0" collapsed="false">
      <c r="A381" s="5"/>
      <c r="B381" s="5"/>
      <c r="C381" s="5"/>
      <c r="D381" s="5"/>
      <c r="E381" s="13"/>
      <c r="F381" s="4" t="str">
        <f aca="false">IF(OR(G381="",H381="",N(G381)=0,N(H381)&lt;=0),"",ROUNDDOWN(1000*(G381/H381)^3,0))</f>
        <v/>
      </c>
      <c r="G381" s="11" t="str">
        <f aca="false">IF(D381="","",SUMIFS('Базовые времена'!$D$2:$D$71,'Базовые времена'!$A$2:$A$71,B381,'Базовые времена'!$B$2:$B$71,C381,'Базовые времена'!$C$2:$C$71,D381))</f>
        <v/>
      </c>
      <c r="H381" s="11" t="str">
        <f aca="false">IF(E381="","",IF(ISNUMBER(E381),IF(E381&lt;1,E381*86400,E381),IFERROR(IF(ISNUMBER(FIND(":",SUBSTITUTE(TRIM(E381),",","."))),VALUE(LEFT(SUBSTITUTE(TRIM(E381),",","."),FIND(":",SUBSTITUTE(TRIM(E381),",","."))-1))*60+_xlfn.NUMBERVALUE(MID(SUBSTITUTE(TRIM(E381),",","."),FIND(":",SUBSTITUTE(TRIM(E381),",","."))+1,99),"."),_xlfn.NUMBERVALUE(SUBSTITUTE(TRIM(E381),",","."),".")),0)))</f>
        <v/>
      </c>
    </row>
    <row r="382" customFormat="false" ht="15" hidden="false" customHeight="false" outlineLevel="0" collapsed="false">
      <c r="A382" s="5"/>
      <c r="B382" s="5"/>
      <c r="C382" s="5"/>
      <c r="D382" s="5"/>
      <c r="E382" s="13"/>
      <c r="F382" s="4" t="str">
        <f aca="false">IF(OR(G382="",H382="",N(G382)=0,N(H382)&lt;=0),"",ROUNDDOWN(1000*(G382/H382)^3,0))</f>
        <v/>
      </c>
      <c r="G382" s="11" t="str">
        <f aca="false">IF(D382="","",SUMIFS('Базовые времена'!$D$2:$D$71,'Базовые времена'!$A$2:$A$71,B382,'Базовые времена'!$B$2:$B$71,C382,'Базовые времена'!$C$2:$C$71,D382))</f>
        <v/>
      </c>
      <c r="H382" s="11" t="str">
        <f aca="false">IF(E382="","",IF(ISNUMBER(E382),IF(E382&lt;1,E382*86400,E382),IFERROR(IF(ISNUMBER(FIND(":",SUBSTITUTE(TRIM(E382),",","."))),VALUE(LEFT(SUBSTITUTE(TRIM(E382),",","."),FIND(":",SUBSTITUTE(TRIM(E382),",","."))-1))*60+_xlfn.NUMBERVALUE(MID(SUBSTITUTE(TRIM(E382),",","."),FIND(":",SUBSTITUTE(TRIM(E382),",","."))+1,99),"."),_xlfn.NUMBERVALUE(SUBSTITUTE(TRIM(E382),",","."),".")),0)))</f>
        <v/>
      </c>
    </row>
    <row r="383" customFormat="false" ht="15" hidden="false" customHeight="false" outlineLevel="0" collapsed="false">
      <c r="A383" s="5"/>
      <c r="B383" s="5"/>
      <c r="C383" s="5"/>
      <c r="D383" s="5"/>
      <c r="E383" s="13"/>
      <c r="F383" s="4" t="str">
        <f aca="false">IF(OR(G383="",H383="",N(G383)=0,N(H383)&lt;=0),"",ROUNDDOWN(1000*(G383/H383)^3,0))</f>
        <v/>
      </c>
      <c r="G383" s="11" t="str">
        <f aca="false">IF(D383="","",SUMIFS('Базовые времена'!$D$2:$D$71,'Базовые времена'!$A$2:$A$71,B383,'Базовые времена'!$B$2:$B$71,C383,'Базовые времена'!$C$2:$C$71,D383))</f>
        <v/>
      </c>
      <c r="H383" s="11" t="str">
        <f aca="false">IF(E383="","",IF(ISNUMBER(E383),IF(E383&lt;1,E383*86400,E383),IFERROR(IF(ISNUMBER(FIND(":",SUBSTITUTE(TRIM(E383),",","."))),VALUE(LEFT(SUBSTITUTE(TRIM(E383),",","."),FIND(":",SUBSTITUTE(TRIM(E383),",","."))-1))*60+_xlfn.NUMBERVALUE(MID(SUBSTITUTE(TRIM(E383),",","."),FIND(":",SUBSTITUTE(TRIM(E383),",","."))+1,99),"."),_xlfn.NUMBERVALUE(SUBSTITUTE(TRIM(E383),",","."),".")),0)))</f>
        <v/>
      </c>
    </row>
    <row r="384" customFormat="false" ht="15" hidden="false" customHeight="false" outlineLevel="0" collapsed="false">
      <c r="A384" s="5"/>
      <c r="B384" s="5"/>
      <c r="C384" s="5"/>
      <c r="D384" s="5"/>
      <c r="E384" s="13"/>
      <c r="F384" s="4" t="str">
        <f aca="false">IF(OR(G384="",H384="",N(G384)=0,N(H384)&lt;=0),"",ROUNDDOWN(1000*(G384/H384)^3,0))</f>
        <v/>
      </c>
      <c r="G384" s="11" t="str">
        <f aca="false">IF(D384="","",SUMIFS('Базовые времена'!$D$2:$D$71,'Базовые времена'!$A$2:$A$71,B384,'Базовые времена'!$B$2:$B$71,C384,'Базовые времена'!$C$2:$C$71,D384))</f>
        <v/>
      </c>
      <c r="H384" s="11" t="str">
        <f aca="false">IF(E384="","",IF(ISNUMBER(E384),IF(E384&lt;1,E384*86400,E384),IFERROR(IF(ISNUMBER(FIND(":",SUBSTITUTE(TRIM(E384),",","."))),VALUE(LEFT(SUBSTITUTE(TRIM(E384),",","."),FIND(":",SUBSTITUTE(TRIM(E384),",","."))-1))*60+_xlfn.NUMBERVALUE(MID(SUBSTITUTE(TRIM(E384),",","."),FIND(":",SUBSTITUTE(TRIM(E384),",","."))+1,99),"."),_xlfn.NUMBERVALUE(SUBSTITUTE(TRIM(E384),",","."),".")),0)))</f>
        <v/>
      </c>
    </row>
    <row r="385" customFormat="false" ht="15" hidden="false" customHeight="false" outlineLevel="0" collapsed="false">
      <c r="A385" s="5"/>
      <c r="B385" s="5"/>
      <c r="C385" s="5"/>
      <c r="D385" s="5"/>
      <c r="E385" s="13"/>
      <c r="F385" s="4" t="str">
        <f aca="false">IF(OR(G385="",H385="",N(G385)=0,N(H385)&lt;=0),"",ROUNDDOWN(1000*(G385/H385)^3,0))</f>
        <v/>
      </c>
      <c r="G385" s="11" t="str">
        <f aca="false">IF(D385="","",SUMIFS('Базовые времена'!$D$2:$D$71,'Базовые времена'!$A$2:$A$71,B385,'Базовые времена'!$B$2:$B$71,C385,'Базовые времена'!$C$2:$C$71,D385))</f>
        <v/>
      </c>
      <c r="H385" s="11" t="str">
        <f aca="false">IF(E385="","",IF(ISNUMBER(E385),IF(E385&lt;1,E385*86400,E385),IFERROR(IF(ISNUMBER(FIND(":",SUBSTITUTE(TRIM(E385),",","."))),VALUE(LEFT(SUBSTITUTE(TRIM(E385),",","."),FIND(":",SUBSTITUTE(TRIM(E385),",","."))-1))*60+_xlfn.NUMBERVALUE(MID(SUBSTITUTE(TRIM(E385),",","."),FIND(":",SUBSTITUTE(TRIM(E385),",","."))+1,99),"."),_xlfn.NUMBERVALUE(SUBSTITUTE(TRIM(E385),",","."),".")),0)))</f>
        <v/>
      </c>
    </row>
    <row r="386" customFormat="false" ht="15" hidden="false" customHeight="false" outlineLevel="0" collapsed="false">
      <c r="A386" s="5"/>
      <c r="B386" s="5"/>
      <c r="C386" s="5"/>
      <c r="D386" s="5"/>
      <c r="E386" s="13"/>
      <c r="F386" s="4" t="str">
        <f aca="false">IF(OR(G386="",H386="",N(G386)=0,N(H386)&lt;=0),"",ROUNDDOWN(1000*(G386/H386)^3,0))</f>
        <v/>
      </c>
      <c r="G386" s="11" t="str">
        <f aca="false">IF(D386="","",SUMIFS('Базовые времена'!$D$2:$D$71,'Базовые времена'!$A$2:$A$71,B386,'Базовые времена'!$B$2:$B$71,C386,'Базовые времена'!$C$2:$C$71,D386))</f>
        <v/>
      </c>
      <c r="H386" s="11" t="str">
        <f aca="false">IF(E386="","",IF(ISNUMBER(E386),IF(E386&lt;1,E386*86400,E386),IFERROR(IF(ISNUMBER(FIND(":",SUBSTITUTE(TRIM(E386),",","."))),VALUE(LEFT(SUBSTITUTE(TRIM(E386),",","."),FIND(":",SUBSTITUTE(TRIM(E386),",","."))-1))*60+_xlfn.NUMBERVALUE(MID(SUBSTITUTE(TRIM(E386),",","."),FIND(":",SUBSTITUTE(TRIM(E386),",","."))+1,99),"."),_xlfn.NUMBERVALUE(SUBSTITUTE(TRIM(E386),",","."),".")),0)))</f>
        <v/>
      </c>
    </row>
    <row r="387" customFormat="false" ht="15" hidden="false" customHeight="false" outlineLevel="0" collapsed="false">
      <c r="A387" s="5"/>
      <c r="B387" s="5"/>
      <c r="C387" s="5"/>
      <c r="D387" s="5"/>
      <c r="E387" s="13"/>
      <c r="F387" s="4" t="str">
        <f aca="false">IF(OR(G387="",H387="",N(G387)=0,N(H387)&lt;=0),"",ROUNDDOWN(1000*(G387/H387)^3,0))</f>
        <v/>
      </c>
      <c r="G387" s="11" t="str">
        <f aca="false">IF(D387="","",SUMIFS('Базовые времена'!$D$2:$D$71,'Базовые времена'!$A$2:$A$71,B387,'Базовые времена'!$B$2:$B$71,C387,'Базовые времена'!$C$2:$C$71,D387))</f>
        <v/>
      </c>
      <c r="H387" s="11" t="str">
        <f aca="false">IF(E387="","",IF(ISNUMBER(E387),IF(E387&lt;1,E387*86400,E387),IFERROR(IF(ISNUMBER(FIND(":",SUBSTITUTE(TRIM(E387),",","."))),VALUE(LEFT(SUBSTITUTE(TRIM(E387),",","."),FIND(":",SUBSTITUTE(TRIM(E387),",","."))-1))*60+_xlfn.NUMBERVALUE(MID(SUBSTITUTE(TRIM(E387),",","."),FIND(":",SUBSTITUTE(TRIM(E387),",","."))+1,99),"."),_xlfn.NUMBERVALUE(SUBSTITUTE(TRIM(E387),",","."),".")),0)))</f>
        <v/>
      </c>
    </row>
    <row r="388" customFormat="false" ht="15" hidden="false" customHeight="false" outlineLevel="0" collapsed="false">
      <c r="A388" s="5"/>
      <c r="B388" s="5"/>
      <c r="C388" s="5"/>
      <c r="D388" s="5"/>
      <c r="E388" s="13"/>
      <c r="F388" s="4" t="str">
        <f aca="false">IF(OR(G388="",H388="",N(G388)=0,N(H388)&lt;=0),"",ROUNDDOWN(1000*(G388/H388)^3,0))</f>
        <v/>
      </c>
      <c r="G388" s="11" t="str">
        <f aca="false">IF(D388="","",SUMIFS('Базовые времена'!$D$2:$D$71,'Базовые времена'!$A$2:$A$71,B388,'Базовые времена'!$B$2:$B$71,C388,'Базовые времена'!$C$2:$C$71,D388))</f>
        <v/>
      </c>
      <c r="H388" s="11" t="str">
        <f aca="false">IF(E388="","",IF(ISNUMBER(E388),IF(E388&lt;1,E388*86400,E388),IFERROR(IF(ISNUMBER(FIND(":",SUBSTITUTE(TRIM(E388),",","."))),VALUE(LEFT(SUBSTITUTE(TRIM(E388),",","."),FIND(":",SUBSTITUTE(TRIM(E388),",","."))-1))*60+_xlfn.NUMBERVALUE(MID(SUBSTITUTE(TRIM(E388),",","."),FIND(":",SUBSTITUTE(TRIM(E388),",","."))+1,99),"."),_xlfn.NUMBERVALUE(SUBSTITUTE(TRIM(E388),",","."),".")),0)))</f>
        <v/>
      </c>
    </row>
    <row r="389" customFormat="false" ht="15" hidden="false" customHeight="false" outlineLevel="0" collapsed="false">
      <c r="A389" s="5"/>
      <c r="B389" s="5"/>
      <c r="C389" s="5"/>
      <c r="D389" s="5"/>
      <c r="E389" s="13"/>
      <c r="F389" s="4" t="str">
        <f aca="false">IF(OR(G389="",H389="",N(G389)=0,N(H389)&lt;=0),"",ROUNDDOWN(1000*(G389/H389)^3,0))</f>
        <v/>
      </c>
      <c r="G389" s="11" t="str">
        <f aca="false">IF(D389="","",SUMIFS('Базовые времена'!$D$2:$D$71,'Базовые времена'!$A$2:$A$71,B389,'Базовые времена'!$B$2:$B$71,C389,'Базовые времена'!$C$2:$C$71,D389))</f>
        <v/>
      </c>
      <c r="H389" s="11" t="str">
        <f aca="false">IF(E389="","",IF(ISNUMBER(E389),IF(E389&lt;1,E389*86400,E389),IFERROR(IF(ISNUMBER(FIND(":",SUBSTITUTE(TRIM(E389),",","."))),VALUE(LEFT(SUBSTITUTE(TRIM(E389),",","."),FIND(":",SUBSTITUTE(TRIM(E389),",","."))-1))*60+_xlfn.NUMBERVALUE(MID(SUBSTITUTE(TRIM(E389),",","."),FIND(":",SUBSTITUTE(TRIM(E389),",","."))+1,99),"."),_xlfn.NUMBERVALUE(SUBSTITUTE(TRIM(E389),",","."),".")),0)))</f>
        <v/>
      </c>
    </row>
    <row r="390" customFormat="false" ht="15" hidden="false" customHeight="false" outlineLevel="0" collapsed="false">
      <c r="A390" s="5"/>
      <c r="B390" s="5"/>
      <c r="C390" s="5"/>
      <c r="D390" s="5"/>
      <c r="E390" s="13"/>
      <c r="F390" s="4" t="str">
        <f aca="false">IF(OR(G390="",H390="",N(G390)=0,N(H390)&lt;=0),"",ROUNDDOWN(1000*(G390/H390)^3,0))</f>
        <v/>
      </c>
      <c r="G390" s="11" t="str">
        <f aca="false">IF(D390="","",SUMIFS('Базовые времена'!$D$2:$D$71,'Базовые времена'!$A$2:$A$71,B390,'Базовые времена'!$B$2:$B$71,C390,'Базовые времена'!$C$2:$C$71,D390))</f>
        <v/>
      </c>
      <c r="H390" s="11" t="str">
        <f aca="false">IF(E390="","",IF(ISNUMBER(E390),IF(E390&lt;1,E390*86400,E390),IFERROR(IF(ISNUMBER(FIND(":",SUBSTITUTE(TRIM(E390),",","."))),VALUE(LEFT(SUBSTITUTE(TRIM(E390),",","."),FIND(":",SUBSTITUTE(TRIM(E390),",","."))-1))*60+_xlfn.NUMBERVALUE(MID(SUBSTITUTE(TRIM(E390),",","."),FIND(":",SUBSTITUTE(TRIM(E390),",","."))+1,99),"."),_xlfn.NUMBERVALUE(SUBSTITUTE(TRIM(E390),",","."),".")),0)))</f>
        <v/>
      </c>
    </row>
    <row r="391" customFormat="false" ht="15" hidden="false" customHeight="false" outlineLevel="0" collapsed="false">
      <c r="A391" s="5"/>
      <c r="B391" s="5"/>
      <c r="C391" s="5"/>
      <c r="D391" s="5"/>
      <c r="E391" s="13"/>
      <c r="F391" s="4" t="str">
        <f aca="false">IF(OR(G391="",H391="",N(G391)=0,N(H391)&lt;=0),"",ROUNDDOWN(1000*(G391/H391)^3,0))</f>
        <v/>
      </c>
      <c r="G391" s="11" t="str">
        <f aca="false">IF(D391="","",SUMIFS('Базовые времена'!$D$2:$D$71,'Базовые времена'!$A$2:$A$71,B391,'Базовые времена'!$B$2:$B$71,C391,'Базовые времена'!$C$2:$C$71,D391))</f>
        <v/>
      </c>
      <c r="H391" s="11" t="str">
        <f aca="false">IF(E391="","",IF(ISNUMBER(E391),IF(E391&lt;1,E391*86400,E391),IFERROR(IF(ISNUMBER(FIND(":",SUBSTITUTE(TRIM(E391),",","."))),VALUE(LEFT(SUBSTITUTE(TRIM(E391),",","."),FIND(":",SUBSTITUTE(TRIM(E391),",","."))-1))*60+_xlfn.NUMBERVALUE(MID(SUBSTITUTE(TRIM(E391),",","."),FIND(":",SUBSTITUTE(TRIM(E391),",","."))+1,99),"."),_xlfn.NUMBERVALUE(SUBSTITUTE(TRIM(E391),",","."),".")),0)))</f>
        <v/>
      </c>
    </row>
    <row r="392" customFormat="false" ht="15" hidden="false" customHeight="false" outlineLevel="0" collapsed="false">
      <c r="A392" s="5"/>
      <c r="B392" s="5"/>
      <c r="C392" s="5"/>
      <c r="D392" s="5"/>
      <c r="E392" s="13"/>
      <c r="F392" s="4" t="str">
        <f aca="false">IF(OR(G392="",H392="",N(G392)=0,N(H392)&lt;=0),"",ROUNDDOWN(1000*(G392/H392)^3,0))</f>
        <v/>
      </c>
      <c r="G392" s="11" t="str">
        <f aca="false">IF(D392="","",SUMIFS('Базовые времена'!$D$2:$D$71,'Базовые времена'!$A$2:$A$71,B392,'Базовые времена'!$B$2:$B$71,C392,'Базовые времена'!$C$2:$C$71,D392))</f>
        <v/>
      </c>
      <c r="H392" s="11" t="str">
        <f aca="false">IF(E392="","",IF(ISNUMBER(E392),IF(E392&lt;1,E392*86400,E392),IFERROR(IF(ISNUMBER(FIND(":",SUBSTITUTE(TRIM(E392),",","."))),VALUE(LEFT(SUBSTITUTE(TRIM(E392),",","."),FIND(":",SUBSTITUTE(TRIM(E392),",","."))-1))*60+_xlfn.NUMBERVALUE(MID(SUBSTITUTE(TRIM(E392),",","."),FIND(":",SUBSTITUTE(TRIM(E392),",","."))+1,99),"."),_xlfn.NUMBERVALUE(SUBSTITUTE(TRIM(E392),",","."),".")),0)))</f>
        <v/>
      </c>
    </row>
    <row r="393" customFormat="false" ht="15" hidden="false" customHeight="false" outlineLevel="0" collapsed="false">
      <c r="A393" s="5"/>
      <c r="B393" s="5"/>
      <c r="C393" s="5"/>
      <c r="D393" s="5"/>
      <c r="E393" s="13"/>
      <c r="F393" s="4" t="str">
        <f aca="false">IF(OR(G393="",H393="",N(G393)=0,N(H393)&lt;=0),"",ROUNDDOWN(1000*(G393/H393)^3,0))</f>
        <v/>
      </c>
      <c r="G393" s="11" t="str">
        <f aca="false">IF(D393="","",SUMIFS('Базовые времена'!$D$2:$D$71,'Базовые времена'!$A$2:$A$71,B393,'Базовые времена'!$B$2:$B$71,C393,'Базовые времена'!$C$2:$C$71,D393))</f>
        <v/>
      </c>
      <c r="H393" s="11" t="str">
        <f aca="false">IF(E393="","",IF(ISNUMBER(E393),IF(E393&lt;1,E393*86400,E393),IFERROR(IF(ISNUMBER(FIND(":",SUBSTITUTE(TRIM(E393),",","."))),VALUE(LEFT(SUBSTITUTE(TRIM(E393),",","."),FIND(":",SUBSTITUTE(TRIM(E393),",","."))-1))*60+_xlfn.NUMBERVALUE(MID(SUBSTITUTE(TRIM(E393),",","."),FIND(":",SUBSTITUTE(TRIM(E393),",","."))+1,99),"."),_xlfn.NUMBERVALUE(SUBSTITUTE(TRIM(E393),",","."),".")),0)))</f>
        <v/>
      </c>
    </row>
    <row r="394" customFormat="false" ht="15" hidden="false" customHeight="false" outlineLevel="0" collapsed="false">
      <c r="A394" s="5"/>
      <c r="B394" s="5"/>
      <c r="C394" s="5"/>
      <c r="D394" s="5"/>
      <c r="E394" s="13"/>
      <c r="F394" s="4" t="str">
        <f aca="false">IF(OR(G394="",H394="",N(G394)=0,N(H394)&lt;=0),"",ROUNDDOWN(1000*(G394/H394)^3,0))</f>
        <v/>
      </c>
      <c r="G394" s="11" t="str">
        <f aca="false">IF(D394="","",SUMIFS('Базовые времена'!$D$2:$D$71,'Базовые времена'!$A$2:$A$71,B394,'Базовые времена'!$B$2:$B$71,C394,'Базовые времена'!$C$2:$C$71,D394))</f>
        <v/>
      </c>
      <c r="H394" s="11" t="str">
        <f aca="false">IF(E394="","",IF(ISNUMBER(E394),IF(E394&lt;1,E394*86400,E394),IFERROR(IF(ISNUMBER(FIND(":",SUBSTITUTE(TRIM(E394),",","."))),VALUE(LEFT(SUBSTITUTE(TRIM(E394),",","."),FIND(":",SUBSTITUTE(TRIM(E394),",","."))-1))*60+_xlfn.NUMBERVALUE(MID(SUBSTITUTE(TRIM(E394),",","."),FIND(":",SUBSTITUTE(TRIM(E394),",","."))+1,99),"."),_xlfn.NUMBERVALUE(SUBSTITUTE(TRIM(E394),",","."),".")),0)))</f>
        <v/>
      </c>
    </row>
    <row r="395" customFormat="false" ht="15" hidden="false" customHeight="false" outlineLevel="0" collapsed="false">
      <c r="A395" s="5"/>
      <c r="B395" s="5"/>
      <c r="C395" s="5"/>
      <c r="D395" s="5"/>
      <c r="E395" s="13"/>
      <c r="F395" s="4" t="str">
        <f aca="false">IF(OR(G395="",H395="",N(G395)=0,N(H395)&lt;=0),"",ROUNDDOWN(1000*(G395/H395)^3,0))</f>
        <v/>
      </c>
      <c r="G395" s="11" t="str">
        <f aca="false">IF(D395="","",SUMIFS('Базовые времена'!$D$2:$D$71,'Базовые времена'!$A$2:$A$71,B395,'Базовые времена'!$B$2:$B$71,C395,'Базовые времена'!$C$2:$C$71,D395))</f>
        <v/>
      </c>
      <c r="H395" s="11" t="str">
        <f aca="false">IF(E395="","",IF(ISNUMBER(E395),IF(E395&lt;1,E395*86400,E395),IFERROR(IF(ISNUMBER(FIND(":",SUBSTITUTE(TRIM(E395),",","."))),VALUE(LEFT(SUBSTITUTE(TRIM(E395),",","."),FIND(":",SUBSTITUTE(TRIM(E395),",","."))-1))*60+_xlfn.NUMBERVALUE(MID(SUBSTITUTE(TRIM(E395),",","."),FIND(":",SUBSTITUTE(TRIM(E395),",","."))+1,99),"."),_xlfn.NUMBERVALUE(SUBSTITUTE(TRIM(E395),",","."),".")),0)))</f>
        <v/>
      </c>
    </row>
    <row r="396" customFormat="false" ht="15" hidden="false" customHeight="false" outlineLevel="0" collapsed="false">
      <c r="A396" s="5"/>
      <c r="B396" s="5"/>
      <c r="C396" s="5"/>
      <c r="D396" s="5"/>
      <c r="E396" s="13"/>
      <c r="F396" s="4" t="str">
        <f aca="false">IF(OR(G396="",H396="",N(G396)=0,N(H396)&lt;=0),"",ROUNDDOWN(1000*(G396/H396)^3,0))</f>
        <v/>
      </c>
      <c r="G396" s="11" t="str">
        <f aca="false">IF(D396="","",SUMIFS('Базовые времена'!$D$2:$D$71,'Базовые времена'!$A$2:$A$71,B396,'Базовые времена'!$B$2:$B$71,C396,'Базовые времена'!$C$2:$C$71,D396))</f>
        <v/>
      </c>
      <c r="H396" s="11" t="str">
        <f aca="false">IF(E396="","",IF(ISNUMBER(E396),IF(E396&lt;1,E396*86400,E396),IFERROR(IF(ISNUMBER(FIND(":",SUBSTITUTE(TRIM(E396),",","."))),VALUE(LEFT(SUBSTITUTE(TRIM(E396),",","."),FIND(":",SUBSTITUTE(TRIM(E396),",","."))-1))*60+_xlfn.NUMBERVALUE(MID(SUBSTITUTE(TRIM(E396),",","."),FIND(":",SUBSTITUTE(TRIM(E396),",","."))+1,99),"."),_xlfn.NUMBERVALUE(SUBSTITUTE(TRIM(E396),",","."),".")),0)))</f>
        <v/>
      </c>
    </row>
    <row r="397" customFormat="false" ht="15" hidden="false" customHeight="false" outlineLevel="0" collapsed="false">
      <c r="A397" s="5"/>
      <c r="B397" s="5"/>
      <c r="C397" s="5"/>
      <c r="D397" s="5"/>
      <c r="E397" s="13"/>
      <c r="F397" s="4" t="str">
        <f aca="false">IF(OR(G397="",H397="",N(G397)=0,N(H397)&lt;=0),"",ROUNDDOWN(1000*(G397/H397)^3,0))</f>
        <v/>
      </c>
      <c r="G397" s="11" t="str">
        <f aca="false">IF(D397="","",SUMIFS('Базовые времена'!$D$2:$D$71,'Базовые времена'!$A$2:$A$71,B397,'Базовые времена'!$B$2:$B$71,C397,'Базовые времена'!$C$2:$C$71,D397))</f>
        <v/>
      </c>
      <c r="H397" s="11" t="str">
        <f aca="false">IF(E397="","",IF(ISNUMBER(E397),IF(E397&lt;1,E397*86400,E397),IFERROR(IF(ISNUMBER(FIND(":",SUBSTITUTE(TRIM(E397),",","."))),VALUE(LEFT(SUBSTITUTE(TRIM(E397),",","."),FIND(":",SUBSTITUTE(TRIM(E397),",","."))-1))*60+_xlfn.NUMBERVALUE(MID(SUBSTITUTE(TRIM(E397),",","."),FIND(":",SUBSTITUTE(TRIM(E397),",","."))+1,99),"."),_xlfn.NUMBERVALUE(SUBSTITUTE(TRIM(E397),",","."),".")),0)))</f>
        <v/>
      </c>
    </row>
    <row r="398" customFormat="false" ht="15" hidden="false" customHeight="false" outlineLevel="0" collapsed="false">
      <c r="A398" s="5"/>
      <c r="B398" s="5"/>
      <c r="C398" s="5"/>
      <c r="D398" s="5"/>
      <c r="E398" s="13"/>
      <c r="F398" s="4" t="str">
        <f aca="false">IF(OR(G398="",H398="",N(G398)=0,N(H398)&lt;=0),"",ROUNDDOWN(1000*(G398/H398)^3,0))</f>
        <v/>
      </c>
      <c r="G398" s="11" t="str">
        <f aca="false">IF(D398="","",SUMIFS('Базовые времена'!$D$2:$D$71,'Базовые времена'!$A$2:$A$71,B398,'Базовые времена'!$B$2:$B$71,C398,'Базовые времена'!$C$2:$C$71,D398))</f>
        <v/>
      </c>
      <c r="H398" s="11" t="str">
        <f aca="false">IF(E398="","",IF(ISNUMBER(E398),IF(E398&lt;1,E398*86400,E398),IFERROR(IF(ISNUMBER(FIND(":",SUBSTITUTE(TRIM(E398),",","."))),VALUE(LEFT(SUBSTITUTE(TRIM(E398),",","."),FIND(":",SUBSTITUTE(TRIM(E398),",","."))-1))*60+_xlfn.NUMBERVALUE(MID(SUBSTITUTE(TRIM(E398),",","."),FIND(":",SUBSTITUTE(TRIM(E398),",","."))+1,99),"."),_xlfn.NUMBERVALUE(SUBSTITUTE(TRIM(E398),",","."),".")),0)))</f>
        <v/>
      </c>
    </row>
    <row r="399" customFormat="false" ht="15" hidden="false" customHeight="false" outlineLevel="0" collapsed="false">
      <c r="A399" s="5"/>
      <c r="B399" s="5"/>
      <c r="C399" s="5"/>
      <c r="D399" s="5"/>
      <c r="E399" s="13"/>
      <c r="F399" s="4" t="str">
        <f aca="false">IF(OR(G399="",H399="",N(G399)=0,N(H399)&lt;=0),"",ROUNDDOWN(1000*(G399/H399)^3,0))</f>
        <v/>
      </c>
      <c r="G399" s="11" t="str">
        <f aca="false">IF(D399="","",SUMIFS('Базовые времена'!$D$2:$D$71,'Базовые времена'!$A$2:$A$71,B399,'Базовые времена'!$B$2:$B$71,C399,'Базовые времена'!$C$2:$C$71,D399))</f>
        <v/>
      </c>
      <c r="H399" s="11" t="str">
        <f aca="false">IF(E399="","",IF(ISNUMBER(E399),IF(E399&lt;1,E399*86400,E399),IFERROR(IF(ISNUMBER(FIND(":",SUBSTITUTE(TRIM(E399),",","."))),VALUE(LEFT(SUBSTITUTE(TRIM(E399),",","."),FIND(":",SUBSTITUTE(TRIM(E399),",","."))-1))*60+_xlfn.NUMBERVALUE(MID(SUBSTITUTE(TRIM(E399),",","."),FIND(":",SUBSTITUTE(TRIM(E399),",","."))+1,99),"."),_xlfn.NUMBERVALUE(SUBSTITUTE(TRIM(E399),",","."),".")),0)))</f>
        <v/>
      </c>
    </row>
    <row r="400" customFormat="false" ht="15" hidden="false" customHeight="false" outlineLevel="0" collapsed="false">
      <c r="A400" s="5"/>
      <c r="B400" s="5"/>
      <c r="C400" s="5"/>
      <c r="D400" s="5"/>
      <c r="E400" s="13"/>
      <c r="F400" s="4" t="str">
        <f aca="false">IF(OR(G400="",H400="",N(G400)=0,N(H400)&lt;=0),"",ROUNDDOWN(1000*(G400/H400)^3,0))</f>
        <v/>
      </c>
      <c r="G400" s="11" t="str">
        <f aca="false">IF(D400="","",SUMIFS('Базовые времена'!$D$2:$D$71,'Базовые времена'!$A$2:$A$71,B400,'Базовые времена'!$B$2:$B$71,C400,'Базовые времена'!$C$2:$C$71,D400))</f>
        <v/>
      </c>
      <c r="H400" s="11" t="str">
        <f aca="false">IF(E400="","",IF(ISNUMBER(E400),IF(E400&lt;1,E400*86400,E400),IFERROR(IF(ISNUMBER(FIND(":",SUBSTITUTE(TRIM(E400),",","."))),VALUE(LEFT(SUBSTITUTE(TRIM(E400),",","."),FIND(":",SUBSTITUTE(TRIM(E400),",","."))-1))*60+_xlfn.NUMBERVALUE(MID(SUBSTITUTE(TRIM(E400),",","."),FIND(":",SUBSTITUTE(TRIM(E400),",","."))+1,99),"."),_xlfn.NUMBERVALUE(SUBSTITUTE(TRIM(E400),",","."),".")),0)))</f>
        <v/>
      </c>
    </row>
    <row r="401" customFormat="false" ht="15" hidden="false" customHeight="false" outlineLevel="0" collapsed="false">
      <c r="A401" s="5"/>
      <c r="B401" s="5"/>
      <c r="C401" s="5"/>
      <c r="D401" s="5"/>
      <c r="E401" s="13"/>
      <c r="F401" s="4" t="str">
        <f aca="false">IF(OR(G401="",H401="",N(G401)=0,N(H401)&lt;=0),"",ROUNDDOWN(1000*(G401/H401)^3,0))</f>
        <v/>
      </c>
      <c r="G401" s="11" t="str">
        <f aca="false">IF(D401="","",SUMIFS('Базовые времена'!$D$2:$D$71,'Базовые времена'!$A$2:$A$71,B401,'Базовые времена'!$B$2:$B$71,C401,'Базовые времена'!$C$2:$C$71,D401))</f>
        <v/>
      </c>
      <c r="H401" s="11" t="str">
        <f aca="false">IF(E401="","",IF(ISNUMBER(E401),IF(E401&lt;1,E401*86400,E401),IFERROR(IF(ISNUMBER(FIND(":",SUBSTITUTE(TRIM(E401),",","."))),VALUE(LEFT(SUBSTITUTE(TRIM(E401),",","."),FIND(":",SUBSTITUTE(TRIM(E401),",","."))-1))*60+_xlfn.NUMBERVALUE(MID(SUBSTITUTE(TRIM(E401),",","."),FIND(":",SUBSTITUTE(TRIM(E401),",","."))+1,99),"."),_xlfn.NUMBERVALUE(SUBSTITUTE(TRIM(E401),",","."),".")),0)))</f>
        <v/>
      </c>
    </row>
    <row r="402" customFormat="false" ht="15" hidden="false" customHeight="false" outlineLevel="0" collapsed="false">
      <c r="A402" s="5"/>
      <c r="B402" s="5"/>
      <c r="C402" s="5"/>
      <c r="D402" s="5"/>
      <c r="E402" s="13"/>
      <c r="F402" s="4" t="str">
        <f aca="false">IF(OR(G402="",H402="",N(G402)=0,N(H402)&lt;=0),"",ROUNDDOWN(1000*(G402/H402)^3,0))</f>
        <v/>
      </c>
      <c r="G402" s="11" t="str">
        <f aca="false">IF(D402="","",SUMIFS('Базовые времена'!$D$2:$D$71,'Базовые времена'!$A$2:$A$71,B402,'Базовые времена'!$B$2:$B$71,C402,'Базовые времена'!$C$2:$C$71,D402))</f>
        <v/>
      </c>
      <c r="H402" s="11" t="str">
        <f aca="false">IF(E402="","",IF(ISNUMBER(E402),IF(E402&lt;1,E402*86400,E402),IFERROR(IF(ISNUMBER(FIND(":",SUBSTITUTE(TRIM(E402),",","."))),VALUE(LEFT(SUBSTITUTE(TRIM(E402),",","."),FIND(":",SUBSTITUTE(TRIM(E402),",","."))-1))*60+_xlfn.NUMBERVALUE(MID(SUBSTITUTE(TRIM(E402),",","."),FIND(":",SUBSTITUTE(TRIM(E402),",","."))+1,99),"."),_xlfn.NUMBERVALUE(SUBSTITUTE(TRIM(E402),",","."),".")),0)))</f>
        <v/>
      </c>
    </row>
    <row r="403" customFormat="false" ht="15" hidden="false" customHeight="false" outlineLevel="0" collapsed="false">
      <c r="A403" s="5"/>
      <c r="B403" s="5"/>
      <c r="C403" s="5"/>
      <c r="D403" s="5"/>
      <c r="E403" s="13"/>
      <c r="F403" s="4" t="str">
        <f aca="false">IF(OR(G403="",H403="",N(G403)=0,N(H403)&lt;=0),"",ROUNDDOWN(1000*(G403/H403)^3,0))</f>
        <v/>
      </c>
      <c r="G403" s="11" t="str">
        <f aca="false">IF(D403="","",SUMIFS('Базовые времена'!$D$2:$D$71,'Базовые времена'!$A$2:$A$71,B403,'Базовые времена'!$B$2:$B$71,C403,'Базовые времена'!$C$2:$C$71,D403))</f>
        <v/>
      </c>
      <c r="H403" s="11" t="str">
        <f aca="false">IF(E403="","",IF(ISNUMBER(E403),IF(E403&lt;1,E403*86400,E403),IFERROR(IF(ISNUMBER(FIND(":",SUBSTITUTE(TRIM(E403),",","."))),VALUE(LEFT(SUBSTITUTE(TRIM(E403),",","."),FIND(":",SUBSTITUTE(TRIM(E403),",","."))-1))*60+_xlfn.NUMBERVALUE(MID(SUBSTITUTE(TRIM(E403),",","."),FIND(":",SUBSTITUTE(TRIM(E403),",","."))+1,99),"."),_xlfn.NUMBERVALUE(SUBSTITUTE(TRIM(E403),",","."),".")),0)))</f>
        <v/>
      </c>
    </row>
    <row r="404" customFormat="false" ht="15" hidden="false" customHeight="false" outlineLevel="0" collapsed="false">
      <c r="A404" s="5"/>
      <c r="B404" s="5"/>
      <c r="C404" s="5"/>
      <c r="D404" s="5"/>
      <c r="E404" s="13"/>
      <c r="F404" s="4" t="str">
        <f aca="false">IF(OR(G404="",H404="",N(G404)=0,N(H404)&lt;=0),"",ROUNDDOWN(1000*(G404/H404)^3,0))</f>
        <v/>
      </c>
      <c r="G404" s="11" t="str">
        <f aca="false">IF(D404="","",SUMIFS('Базовые времена'!$D$2:$D$71,'Базовые времена'!$A$2:$A$71,B404,'Базовые времена'!$B$2:$B$71,C404,'Базовые времена'!$C$2:$C$71,D404))</f>
        <v/>
      </c>
      <c r="H404" s="11" t="str">
        <f aca="false">IF(E404="","",IF(ISNUMBER(E404),IF(E404&lt;1,E404*86400,E404),IFERROR(IF(ISNUMBER(FIND(":",SUBSTITUTE(TRIM(E404),",","."))),VALUE(LEFT(SUBSTITUTE(TRIM(E404),",","."),FIND(":",SUBSTITUTE(TRIM(E404),",","."))-1))*60+_xlfn.NUMBERVALUE(MID(SUBSTITUTE(TRIM(E404),",","."),FIND(":",SUBSTITUTE(TRIM(E404),",","."))+1,99),"."),_xlfn.NUMBERVALUE(SUBSTITUTE(TRIM(E404),",","."),".")),0)))</f>
        <v/>
      </c>
    </row>
    <row r="405" customFormat="false" ht="15" hidden="false" customHeight="false" outlineLevel="0" collapsed="false">
      <c r="A405" s="5"/>
      <c r="B405" s="5"/>
      <c r="C405" s="5"/>
      <c r="D405" s="5"/>
      <c r="E405" s="13"/>
      <c r="F405" s="4" t="str">
        <f aca="false">IF(OR(G405="",H405="",N(G405)=0,N(H405)&lt;=0),"",ROUNDDOWN(1000*(G405/H405)^3,0))</f>
        <v/>
      </c>
      <c r="G405" s="11" t="str">
        <f aca="false">IF(D405="","",SUMIFS('Базовые времена'!$D$2:$D$71,'Базовые времена'!$A$2:$A$71,B405,'Базовые времена'!$B$2:$B$71,C405,'Базовые времена'!$C$2:$C$71,D405))</f>
        <v/>
      </c>
      <c r="H405" s="11" t="str">
        <f aca="false">IF(E405="","",IF(ISNUMBER(E405),IF(E405&lt;1,E405*86400,E405),IFERROR(IF(ISNUMBER(FIND(":",SUBSTITUTE(TRIM(E405),",","."))),VALUE(LEFT(SUBSTITUTE(TRIM(E405),",","."),FIND(":",SUBSTITUTE(TRIM(E405),",","."))-1))*60+_xlfn.NUMBERVALUE(MID(SUBSTITUTE(TRIM(E405),",","."),FIND(":",SUBSTITUTE(TRIM(E405),",","."))+1,99),"."),_xlfn.NUMBERVALUE(SUBSTITUTE(TRIM(E405),",","."),".")),0)))</f>
        <v/>
      </c>
    </row>
    <row r="406" customFormat="false" ht="15" hidden="false" customHeight="false" outlineLevel="0" collapsed="false">
      <c r="A406" s="5"/>
      <c r="B406" s="5"/>
      <c r="C406" s="5"/>
      <c r="D406" s="5"/>
      <c r="E406" s="13"/>
      <c r="F406" s="4" t="str">
        <f aca="false">IF(OR(G406="",H406="",N(G406)=0,N(H406)&lt;=0),"",ROUNDDOWN(1000*(G406/H406)^3,0))</f>
        <v/>
      </c>
      <c r="G406" s="11" t="str">
        <f aca="false">IF(D406="","",SUMIFS('Базовые времена'!$D$2:$D$71,'Базовые времена'!$A$2:$A$71,B406,'Базовые времена'!$B$2:$B$71,C406,'Базовые времена'!$C$2:$C$71,D406))</f>
        <v/>
      </c>
      <c r="H406" s="11" t="str">
        <f aca="false">IF(E406="","",IF(ISNUMBER(E406),IF(E406&lt;1,E406*86400,E406),IFERROR(IF(ISNUMBER(FIND(":",SUBSTITUTE(TRIM(E406),",","."))),VALUE(LEFT(SUBSTITUTE(TRIM(E406),",","."),FIND(":",SUBSTITUTE(TRIM(E406),",","."))-1))*60+_xlfn.NUMBERVALUE(MID(SUBSTITUTE(TRIM(E406),",","."),FIND(":",SUBSTITUTE(TRIM(E406),",","."))+1,99),"."),_xlfn.NUMBERVALUE(SUBSTITUTE(TRIM(E406),",","."),".")),0)))</f>
        <v/>
      </c>
    </row>
    <row r="407" customFormat="false" ht="15" hidden="false" customHeight="false" outlineLevel="0" collapsed="false">
      <c r="A407" s="5"/>
      <c r="B407" s="5"/>
      <c r="C407" s="5"/>
      <c r="D407" s="5"/>
      <c r="E407" s="13"/>
      <c r="F407" s="4" t="str">
        <f aca="false">IF(OR(G407="",H407="",N(G407)=0,N(H407)&lt;=0),"",ROUNDDOWN(1000*(G407/H407)^3,0))</f>
        <v/>
      </c>
      <c r="G407" s="11" t="str">
        <f aca="false">IF(D407="","",SUMIFS('Базовые времена'!$D$2:$D$71,'Базовые времена'!$A$2:$A$71,B407,'Базовые времена'!$B$2:$B$71,C407,'Базовые времена'!$C$2:$C$71,D407))</f>
        <v/>
      </c>
      <c r="H407" s="11" t="str">
        <f aca="false">IF(E407="","",IF(ISNUMBER(E407),IF(E407&lt;1,E407*86400,E407),IFERROR(IF(ISNUMBER(FIND(":",SUBSTITUTE(TRIM(E407),",","."))),VALUE(LEFT(SUBSTITUTE(TRIM(E407),",","."),FIND(":",SUBSTITUTE(TRIM(E407),",","."))-1))*60+_xlfn.NUMBERVALUE(MID(SUBSTITUTE(TRIM(E407),",","."),FIND(":",SUBSTITUTE(TRIM(E407),",","."))+1,99),"."),_xlfn.NUMBERVALUE(SUBSTITUTE(TRIM(E407),",","."),".")),0)))</f>
        <v/>
      </c>
    </row>
    <row r="408" customFormat="false" ht="15" hidden="false" customHeight="false" outlineLevel="0" collapsed="false">
      <c r="A408" s="5"/>
      <c r="B408" s="5"/>
      <c r="C408" s="5"/>
      <c r="D408" s="5"/>
      <c r="E408" s="13"/>
      <c r="F408" s="4" t="str">
        <f aca="false">IF(OR(G408="",H408="",N(G408)=0,N(H408)&lt;=0),"",ROUNDDOWN(1000*(G408/H408)^3,0))</f>
        <v/>
      </c>
      <c r="G408" s="11" t="str">
        <f aca="false">IF(D408="","",SUMIFS('Базовые времена'!$D$2:$D$71,'Базовые времена'!$A$2:$A$71,B408,'Базовые времена'!$B$2:$B$71,C408,'Базовые времена'!$C$2:$C$71,D408))</f>
        <v/>
      </c>
      <c r="H408" s="11" t="str">
        <f aca="false">IF(E408="","",IF(ISNUMBER(E408),IF(E408&lt;1,E408*86400,E408),IFERROR(IF(ISNUMBER(FIND(":",SUBSTITUTE(TRIM(E408),",","."))),VALUE(LEFT(SUBSTITUTE(TRIM(E408),",","."),FIND(":",SUBSTITUTE(TRIM(E408),",","."))-1))*60+_xlfn.NUMBERVALUE(MID(SUBSTITUTE(TRIM(E408),",","."),FIND(":",SUBSTITUTE(TRIM(E408),",","."))+1,99),"."),_xlfn.NUMBERVALUE(SUBSTITUTE(TRIM(E408),",","."),".")),0)))</f>
        <v/>
      </c>
    </row>
    <row r="409" customFormat="false" ht="15" hidden="false" customHeight="false" outlineLevel="0" collapsed="false">
      <c r="A409" s="5"/>
      <c r="B409" s="5"/>
      <c r="C409" s="5"/>
      <c r="D409" s="5"/>
      <c r="E409" s="13"/>
      <c r="F409" s="4" t="str">
        <f aca="false">IF(OR(G409="",H409="",N(G409)=0,N(H409)&lt;=0),"",ROUNDDOWN(1000*(G409/H409)^3,0))</f>
        <v/>
      </c>
      <c r="G409" s="11" t="str">
        <f aca="false">IF(D409="","",SUMIFS('Базовые времена'!$D$2:$D$71,'Базовые времена'!$A$2:$A$71,B409,'Базовые времена'!$B$2:$B$71,C409,'Базовые времена'!$C$2:$C$71,D409))</f>
        <v/>
      </c>
      <c r="H409" s="11" t="str">
        <f aca="false">IF(E409="","",IF(ISNUMBER(E409),IF(E409&lt;1,E409*86400,E409),IFERROR(IF(ISNUMBER(FIND(":",SUBSTITUTE(TRIM(E409),",","."))),VALUE(LEFT(SUBSTITUTE(TRIM(E409),",","."),FIND(":",SUBSTITUTE(TRIM(E409),",","."))-1))*60+_xlfn.NUMBERVALUE(MID(SUBSTITUTE(TRIM(E409),",","."),FIND(":",SUBSTITUTE(TRIM(E409),",","."))+1,99),"."),_xlfn.NUMBERVALUE(SUBSTITUTE(TRIM(E409),",","."),".")),0)))</f>
        <v/>
      </c>
    </row>
    <row r="410" customFormat="false" ht="15" hidden="false" customHeight="false" outlineLevel="0" collapsed="false">
      <c r="A410" s="5"/>
      <c r="B410" s="5"/>
      <c r="C410" s="5"/>
      <c r="D410" s="5"/>
      <c r="E410" s="13"/>
      <c r="F410" s="4" t="str">
        <f aca="false">IF(OR(G410="",H410="",N(G410)=0,N(H410)&lt;=0),"",ROUNDDOWN(1000*(G410/H410)^3,0))</f>
        <v/>
      </c>
      <c r="G410" s="11" t="str">
        <f aca="false">IF(D410="","",SUMIFS('Базовые времена'!$D$2:$D$71,'Базовые времена'!$A$2:$A$71,B410,'Базовые времена'!$B$2:$B$71,C410,'Базовые времена'!$C$2:$C$71,D410))</f>
        <v/>
      </c>
      <c r="H410" s="11" t="str">
        <f aca="false">IF(E410="","",IF(ISNUMBER(E410),IF(E410&lt;1,E410*86400,E410),IFERROR(IF(ISNUMBER(FIND(":",SUBSTITUTE(TRIM(E410),",","."))),VALUE(LEFT(SUBSTITUTE(TRIM(E410),",","."),FIND(":",SUBSTITUTE(TRIM(E410),",","."))-1))*60+_xlfn.NUMBERVALUE(MID(SUBSTITUTE(TRIM(E410),",","."),FIND(":",SUBSTITUTE(TRIM(E410),",","."))+1,99),"."),_xlfn.NUMBERVALUE(SUBSTITUTE(TRIM(E410),",","."),".")),0)))</f>
        <v/>
      </c>
    </row>
    <row r="411" customFormat="false" ht="15" hidden="false" customHeight="false" outlineLevel="0" collapsed="false">
      <c r="A411" s="5"/>
      <c r="B411" s="5"/>
      <c r="C411" s="5"/>
      <c r="D411" s="5"/>
      <c r="E411" s="13"/>
      <c r="F411" s="4" t="str">
        <f aca="false">IF(OR(G411="",H411="",N(G411)=0,N(H411)&lt;=0),"",ROUNDDOWN(1000*(G411/H411)^3,0))</f>
        <v/>
      </c>
      <c r="G411" s="11" t="str">
        <f aca="false">IF(D411="","",SUMIFS('Базовые времена'!$D$2:$D$71,'Базовые времена'!$A$2:$A$71,B411,'Базовые времена'!$B$2:$B$71,C411,'Базовые времена'!$C$2:$C$71,D411))</f>
        <v/>
      </c>
      <c r="H411" s="11" t="str">
        <f aca="false">IF(E411="","",IF(ISNUMBER(E411),IF(E411&lt;1,E411*86400,E411),IFERROR(IF(ISNUMBER(FIND(":",SUBSTITUTE(TRIM(E411),",","."))),VALUE(LEFT(SUBSTITUTE(TRIM(E411),",","."),FIND(":",SUBSTITUTE(TRIM(E411),",","."))-1))*60+_xlfn.NUMBERVALUE(MID(SUBSTITUTE(TRIM(E411),",","."),FIND(":",SUBSTITUTE(TRIM(E411),",","."))+1,99),"."),_xlfn.NUMBERVALUE(SUBSTITUTE(TRIM(E411),",","."),".")),0)))</f>
        <v/>
      </c>
    </row>
    <row r="412" customFormat="false" ht="15" hidden="false" customHeight="false" outlineLevel="0" collapsed="false">
      <c r="A412" s="5"/>
      <c r="B412" s="5"/>
      <c r="C412" s="5"/>
      <c r="D412" s="5"/>
      <c r="E412" s="13"/>
      <c r="F412" s="4" t="str">
        <f aca="false">IF(OR(G412="",H412="",N(G412)=0,N(H412)&lt;=0),"",ROUNDDOWN(1000*(G412/H412)^3,0))</f>
        <v/>
      </c>
      <c r="G412" s="11" t="str">
        <f aca="false">IF(D412="","",SUMIFS('Базовые времена'!$D$2:$D$71,'Базовые времена'!$A$2:$A$71,B412,'Базовые времена'!$B$2:$B$71,C412,'Базовые времена'!$C$2:$C$71,D412))</f>
        <v/>
      </c>
      <c r="H412" s="11" t="str">
        <f aca="false">IF(E412="","",IF(ISNUMBER(E412),IF(E412&lt;1,E412*86400,E412),IFERROR(IF(ISNUMBER(FIND(":",SUBSTITUTE(TRIM(E412),",","."))),VALUE(LEFT(SUBSTITUTE(TRIM(E412),",","."),FIND(":",SUBSTITUTE(TRIM(E412),",","."))-1))*60+_xlfn.NUMBERVALUE(MID(SUBSTITUTE(TRIM(E412),",","."),FIND(":",SUBSTITUTE(TRIM(E412),",","."))+1,99),"."),_xlfn.NUMBERVALUE(SUBSTITUTE(TRIM(E412),",","."),".")),0)))</f>
        <v/>
      </c>
    </row>
    <row r="413" customFormat="false" ht="15" hidden="false" customHeight="false" outlineLevel="0" collapsed="false">
      <c r="A413" s="5"/>
      <c r="B413" s="5"/>
      <c r="C413" s="5"/>
      <c r="D413" s="5"/>
      <c r="E413" s="13"/>
      <c r="F413" s="4" t="str">
        <f aca="false">IF(OR(G413="",H413="",N(G413)=0,N(H413)&lt;=0),"",ROUNDDOWN(1000*(G413/H413)^3,0))</f>
        <v/>
      </c>
      <c r="G413" s="11" t="str">
        <f aca="false">IF(D413="","",SUMIFS('Базовые времена'!$D$2:$D$71,'Базовые времена'!$A$2:$A$71,B413,'Базовые времена'!$B$2:$B$71,C413,'Базовые времена'!$C$2:$C$71,D413))</f>
        <v/>
      </c>
      <c r="H413" s="11" t="str">
        <f aca="false">IF(E413="","",IF(ISNUMBER(E413),IF(E413&lt;1,E413*86400,E413),IFERROR(IF(ISNUMBER(FIND(":",SUBSTITUTE(TRIM(E413),",","."))),VALUE(LEFT(SUBSTITUTE(TRIM(E413),",","."),FIND(":",SUBSTITUTE(TRIM(E413),",","."))-1))*60+_xlfn.NUMBERVALUE(MID(SUBSTITUTE(TRIM(E413),",","."),FIND(":",SUBSTITUTE(TRIM(E413),",","."))+1,99),"."),_xlfn.NUMBERVALUE(SUBSTITUTE(TRIM(E413),",","."),".")),0)))</f>
        <v/>
      </c>
    </row>
    <row r="414" customFormat="false" ht="15" hidden="false" customHeight="false" outlineLevel="0" collapsed="false">
      <c r="A414" s="5"/>
      <c r="B414" s="5"/>
      <c r="C414" s="5"/>
      <c r="D414" s="5"/>
      <c r="E414" s="13"/>
      <c r="F414" s="4" t="str">
        <f aca="false">IF(OR(G414="",H414="",N(G414)=0,N(H414)&lt;=0),"",ROUNDDOWN(1000*(G414/H414)^3,0))</f>
        <v/>
      </c>
      <c r="G414" s="11" t="str">
        <f aca="false">IF(D414="","",SUMIFS('Базовые времена'!$D$2:$D$71,'Базовые времена'!$A$2:$A$71,B414,'Базовые времена'!$B$2:$B$71,C414,'Базовые времена'!$C$2:$C$71,D414))</f>
        <v/>
      </c>
      <c r="H414" s="11" t="str">
        <f aca="false">IF(E414="","",IF(ISNUMBER(E414),IF(E414&lt;1,E414*86400,E414),IFERROR(IF(ISNUMBER(FIND(":",SUBSTITUTE(TRIM(E414),",","."))),VALUE(LEFT(SUBSTITUTE(TRIM(E414),",","."),FIND(":",SUBSTITUTE(TRIM(E414),",","."))-1))*60+_xlfn.NUMBERVALUE(MID(SUBSTITUTE(TRIM(E414),",","."),FIND(":",SUBSTITUTE(TRIM(E414),",","."))+1,99),"."),_xlfn.NUMBERVALUE(SUBSTITUTE(TRIM(E414),",","."),".")),0)))</f>
        <v/>
      </c>
    </row>
    <row r="415" customFormat="false" ht="15" hidden="false" customHeight="false" outlineLevel="0" collapsed="false">
      <c r="A415" s="5"/>
      <c r="B415" s="5"/>
      <c r="C415" s="5"/>
      <c r="D415" s="5"/>
      <c r="E415" s="13"/>
      <c r="F415" s="4" t="str">
        <f aca="false">IF(OR(G415="",H415="",N(G415)=0,N(H415)&lt;=0),"",ROUNDDOWN(1000*(G415/H415)^3,0))</f>
        <v/>
      </c>
      <c r="G415" s="11" t="str">
        <f aca="false">IF(D415="","",SUMIFS('Базовые времена'!$D$2:$D$71,'Базовые времена'!$A$2:$A$71,B415,'Базовые времена'!$B$2:$B$71,C415,'Базовые времена'!$C$2:$C$71,D415))</f>
        <v/>
      </c>
      <c r="H415" s="11" t="str">
        <f aca="false">IF(E415="","",IF(ISNUMBER(E415),IF(E415&lt;1,E415*86400,E415),IFERROR(IF(ISNUMBER(FIND(":",SUBSTITUTE(TRIM(E415),",","."))),VALUE(LEFT(SUBSTITUTE(TRIM(E415),",","."),FIND(":",SUBSTITUTE(TRIM(E415),",","."))-1))*60+_xlfn.NUMBERVALUE(MID(SUBSTITUTE(TRIM(E415),",","."),FIND(":",SUBSTITUTE(TRIM(E415),",","."))+1,99),"."),_xlfn.NUMBERVALUE(SUBSTITUTE(TRIM(E415),",","."),".")),0)))</f>
        <v/>
      </c>
    </row>
    <row r="416" customFormat="false" ht="15" hidden="false" customHeight="false" outlineLevel="0" collapsed="false">
      <c r="A416" s="5"/>
      <c r="B416" s="5"/>
      <c r="C416" s="5"/>
      <c r="D416" s="5"/>
      <c r="E416" s="13"/>
      <c r="F416" s="4" t="str">
        <f aca="false">IF(OR(G416="",H416="",N(G416)=0,N(H416)&lt;=0),"",ROUNDDOWN(1000*(G416/H416)^3,0))</f>
        <v/>
      </c>
      <c r="G416" s="11" t="str">
        <f aca="false">IF(D416="","",SUMIFS('Базовые времена'!$D$2:$D$71,'Базовые времена'!$A$2:$A$71,B416,'Базовые времена'!$B$2:$B$71,C416,'Базовые времена'!$C$2:$C$71,D416))</f>
        <v/>
      </c>
      <c r="H416" s="11" t="str">
        <f aca="false">IF(E416="","",IF(ISNUMBER(E416),IF(E416&lt;1,E416*86400,E416),IFERROR(IF(ISNUMBER(FIND(":",SUBSTITUTE(TRIM(E416),",","."))),VALUE(LEFT(SUBSTITUTE(TRIM(E416),",","."),FIND(":",SUBSTITUTE(TRIM(E416),",","."))-1))*60+_xlfn.NUMBERVALUE(MID(SUBSTITUTE(TRIM(E416),",","."),FIND(":",SUBSTITUTE(TRIM(E416),",","."))+1,99),"."),_xlfn.NUMBERVALUE(SUBSTITUTE(TRIM(E416),",","."),".")),0)))</f>
        <v/>
      </c>
    </row>
    <row r="417" customFormat="false" ht="15" hidden="false" customHeight="false" outlineLevel="0" collapsed="false">
      <c r="A417" s="5"/>
      <c r="B417" s="5"/>
      <c r="C417" s="5"/>
      <c r="D417" s="5"/>
      <c r="E417" s="13"/>
      <c r="F417" s="4" t="str">
        <f aca="false">IF(OR(G417="",H417="",N(G417)=0,N(H417)&lt;=0),"",ROUNDDOWN(1000*(G417/H417)^3,0))</f>
        <v/>
      </c>
      <c r="G417" s="11" t="str">
        <f aca="false">IF(D417="","",SUMIFS('Базовые времена'!$D$2:$D$71,'Базовые времена'!$A$2:$A$71,B417,'Базовые времена'!$B$2:$B$71,C417,'Базовые времена'!$C$2:$C$71,D417))</f>
        <v/>
      </c>
      <c r="H417" s="11" t="str">
        <f aca="false">IF(E417="","",IF(ISNUMBER(E417),IF(E417&lt;1,E417*86400,E417),IFERROR(IF(ISNUMBER(FIND(":",SUBSTITUTE(TRIM(E417),",","."))),VALUE(LEFT(SUBSTITUTE(TRIM(E417),",","."),FIND(":",SUBSTITUTE(TRIM(E417),",","."))-1))*60+_xlfn.NUMBERVALUE(MID(SUBSTITUTE(TRIM(E417),",","."),FIND(":",SUBSTITUTE(TRIM(E417),",","."))+1,99),"."),_xlfn.NUMBERVALUE(SUBSTITUTE(TRIM(E417),",","."),".")),0)))</f>
        <v/>
      </c>
    </row>
    <row r="418" customFormat="false" ht="15" hidden="false" customHeight="false" outlineLevel="0" collapsed="false">
      <c r="A418" s="5"/>
      <c r="B418" s="5"/>
      <c r="C418" s="5"/>
      <c r="D418" s="5"/>
      <c r="E418" s="13"/>
      <c r="F418" s="4" t="str">
        <f aca="false">IF(OR(G418="",H418="",N(G418)=0,N(H418)&lt;=0),"",ROUNDDOWN(1000*(G418/H418)^3,0))</f>
        <v/>
      </c>
      <c r="G418" s="11" t="str">
        <f aca="false">IF(D418="","",SUMIFS('Базовые времена'!$D$2:$D$71,'Базовые времена'!$A$2:$A$71,B418,'Базовые времена'!$B$2:$B$71,C418,'Базовые времена'!$C$2:$C$71,D418))</f>
        <v/>
      </c>
      <c r="H418" s="11" t="str">
        <f aca="false">IF(E418="","",IF(ISNUMBER(E418),IF(E418&lt;1,E418*86400,E418),IFERROR(IF(ISNUMBER(FIND(":",SUBSTITUTE(TRIM(E418),",","."))),VALUE(LEFT(SUBSTITUTE(TRIM(E418),",","."),FIND(":",SUBSTITUTE(TRIM(E418),",","."))-1))*60+_xlfn.NUMBERVALUE(MID(SUBSTITUTE(TRIM(E418),",","."),FIND(":",SUBSTITUTE(TRIM(E418),",","."))+1,99),"."),_xlfn.NUMBERVALUE(SUBSTITUTE(TRIM(E418),",","."),".")),0)))</f>
        <v/>
      </c>
    </row>
    <row r="419" customFormat="false" ht="15" hidden="false" customHeight="false" outlineLevel="0" collapsed="false">
      <c r="A419" s="5"/>
      <c r="B419" s="5"/>
      <c r="C419" s="5"/>
      <c r="D419" s="5"/>
      <c r="E419" s="13"/>
      <c r="F419" s="4" t="str">
        <f aca="false">IF(OR(G419="",H419="",N(G419)=0,N(H419)&lt;=0),"",ROUNDDOWN(1000*(G419/H419)^3,0))</f>
        <v/>
      </c>
      <c r="G419" s="11" t="str">
        <f aca="false">IF(D419="","",SUMIFS('Базовые времена'!$D$2:$D$71,'Базовые времена'!$A$2:$A$71,B419,'Базовые времена'!$B$2:$B$71,C419,'Базовые времена'!$C$2:$C$71,D419))</f>
        <v/>
      </c>
      <c r="H419" s="11" t="str">
        <f aca="false">IF(E419="","",IF(ISNUMBER(E419),IF(E419&lt;1,E419*86400,E419),IFERROR(IF(ISNUMBER(FIND(":",SUBSTITUTE(TRIM(E419),",","."))),VALUE(LEFT(SUBSTITUTE(TRIM(E419),",","."),FIND(":",SUBSTITUTE(TRIM(E419),",","."))-1))*60+_xlfn.NUMBERVALUE(MID(SUBSTITUTE(TRIM(E419),",","."),FIND(":",SUBSTITUTE(TRIM(E419),",","."))+1,99),"."),_xlfn.NUMBERVALUE(SUBSTITUTE(TRIM(E419),",","."),".")),0)))</f>
        <v/>
      </c>
    </row>
    <row r="420" customFormat="false" ht="15" hidden="false" customHeight="false" outlineLevel="0" collapsed="false">
      <c r="A420" s="5"/>
      <c r="B420" s="5"/>
      <c r="C420" s="5"/>
      <c r="D420" s="5"/>
      <c r="E420" s="13"/>
      <c r="F420" s="4" t="str">
        <f aca="false">IF(OR(G420="",H420="",N(G420)=0,N(H420)&lt;=0),"",ROUNDDOWN(1000*(G420/H420)^3,0))</f>
        <v/>
      </c>
      <c r="G420" s="11" t="str">
        <f aca="false">IF(D420="","",SUMIFS('Базовые времена'!$D$2:$D$71,'Базовые времена'!$A$2:$A$71,B420,'Базовые времена'!$B$2:$B$71,C420,'Базовые времена'!$C$2:$C$71,D420))</f>
        <v/>
      </c>
      <c r="H420" s="11" t="str">
        <f aca="false">IF(E420="","",IF(ISNUMBER(E420),IF(E420&lt;1,E420*86400,E420),IFERROR(IF(ISNUMBER(FIND(":",SUBSTITUTE(TRIM(E420),",","."))),VALUE(LEFT(SUBSTITUTE(TRIM(E420),",","."),FIND(":",SUBSTITUTE(TRIM(E420),",","."))-1))*60+_xlfn.NUMBERVALUE(MID(SUBSTITUTE(TRIM(E420),",","."),FIND(":",SUBSTITUTE(TRIM(E420),",","."))+1,99),"."),_xlfn.NUMBERVALUE(SUBSTITUTE(TRIM(E420),",","."),".")),0)))</f>
        <v/>
      </c>
    </row>
    <row r="421" customFormat="false" ht="15" hidden="false" customHeight="false" outlineLevel="0" collapsed="false">
      <c r="A421" s="5"/>
      <c r="B421" s="5"/>
      <c r="C421" s="5"/>
      <c r="D421" s="5"/>
      <c r="E421" s="13"/>
      <c r="F421" s="4" t="str">
        <f aca="false">IF(OR(G421="",H421="",N(G421)=0,N(H421)&lt;=0),"",ROUNDDOWN(1000*(G421/H421)^3,0))</f>
        <v/>
      </c>
      <c r="G421" s="11" t="str">
        <f aca="false">IF(D421="","",SUMIFS('Базовые времена'!$D$2:$D$71,'Базовые времена'!$A$2:$A$71,B421,'Базовые времена'!$B$2:$B$71,C421,'Базовые времена'!$C$2:$C$71,D421))</f>
        <v/>
      </c>
      <c r="H421" s="11" t="str">
        <f aca="false">IF(E421="","",IF(ISNUMBER(E421),IF(E421&lt;1,E421*86400,E421),IFERROR(IF(ISNUMBER(FIND(":",SUBSTITUTE(TRIM(E421),",","."))),VALUE(LEFT(SUBSTITUTE(TRIM(E421),",","."),FIND(":",SUBSTITUTE(TRIM(E421),",","."))-1))*60+_xlfn.NUMBERVALUE(MID(SUBSTITUTE(TRIM(E421),",","."),FIND(":",SUBSTITUTE(TRIM(E421),",","."))+1,99),"."),_xlfn.NUMBERVALUE(SUBSTITUTE(TRIM(E421),",","."),".")),0)))</f>
        <v/>
      </c>
    </row>
    <row r="422" customFormat="false" ht="15" hidden="false" customHeight="false" outlineLevel="0" collapsed="false">
      <c r="A422" s="5"/>
      <c r="B422" s="5"/>
      <c r="C422" s="5"/>
      <c r="D422" s="5"/>
      <c r="E422" s="13"/>
      <c r="F422" s="4" t="str">
        <f aca="false">IF(OR(G422="",H422="",N(G422)=0,N(H422)&lt;=0),"",ROUNDDOWN(1000*(G422/H422)^3,0))</f>
        <v/>
      </c>
      <c r="G422" s="11" t="str">
        <f aca="false">IF(D422="","",SUMIFS('Базовые времена'!$D$2:$D$71,'Базовые времена'!$A$2:$A$71,B422,'Базовые времена'!$B$2:$B$71,C422,'Базовые времена'!$C$2:$C$71,D422))</f>
        <v/>
      </c>
      <c r="H422" s="11" t="str">
        <f aca="false">IF(E422="","",IF(ISNUMBER(E422),IF(E422&lt;1,E422*86400,E422),IFERROR(IF(ISNUMBER(FIND(":",SUBSTITUTE(TRIM(E422),",","."))),VALUE(LEFT(SUBSTITUTE(TRIM(E422),",","."),FIND(":",SUBSTITUTE(TRIM(E422),",","."))-1))*60+_xlfn.NUMBERVALUE(MID(SUBSTITUTE(TRIM(E422),",","."),FIND(":",SUBSTITUTE(TRIM(E422),",","."))+1,99),"."),_xlfn.NUMBERVALUE(SUBSTITUTE(TRIM(E422),",","."),".")),0)))</f>
        <v/>
      </c>
    </row>
    <row r="423" customFormat="false" ht="15" hidden="false" customHeight="false" outlineLevel="0" collapsed="false">
      <c r="A423" s="5"/>
      <c r="B423" s="5"/>
      <c r="C423" s="5"/>
      <c r="D423" s="5"/>
      <c r="E423" s="13"/>
      <c r="F423" s="4" t="str">
        <f aca="false">IF(OR(G423="",H423="",N(G423)=0,N(H423)&lt;=0),"",ROUNDDOWN(1000*(G423/H423)^3,0))</f>
        <v/>
      </c>
      <c r="G423" s="11" t="str">
        <f aca="false">IF(D423="","",SUMIFS('Базовые времена'!$D$2:$D$71,'Базовые времена'!$A$2:$A$71,B423,'Базовые времена'!$B$2:$B$71,C423,'Базовые времена'!$C$2:$C$71,D423))</f>
        <v/>
      </c>
      <c r="H423" s="11" t="str">
        <f aca="false">IF(E423="","",IF(ISNUMBER(E423),IF(E423&lt;1,E423*86400,E423),IFERROR(IF(ISNUMBER(FIND(":",SUBSTITUTE(TRIM(E423),",","."))),VALUE(LEFT(SUBSTITUTE(TRIM(E423),",","."),FIND(":",SUBSTITUTE(TRIM(E423),",","."))-1))*60+_xlfn.NUMBERVALUE(MID(SUBSTITUTE(TRIM(E423),",","."),FIND(":",SUBSTITUTE(TRIM(E423),",","."))+1,99),"."),_xlfn.NUMBERVALUE(SUBSTITUTE(TRIM(E423),",","."),".")),0)))</f>
        <v/>
      </c>
    </row>
    <row r="424" customFormat="false" ht="15" hidden="false" customHeight="false" outlineLevel="0" collapsed="false">
      <c r="A424" s="5"/>
      <c r="B424" s="5"/>
      <c r="C424" s="5"/>
      <c r="D424" s="5"/>
      <c r="E424" s="13"/>
      <c r="F424" s="4" t="str">
        <f aca="false">IF(OR(G424="",H424="",N(G424)=0,N(H424)&lt;=0),"",ROUNDDOWN(1000*(G424/H424)^3,0))</f>
        <v/>
      </c>
      <c r="G424" s="11" t="str">
        <f aca="false">IF(D424="","",SUMIFS('Базовые времена'!$D$2:$D$71,'Базовые времена'!$A$2:$A$71,B424,'Базовые времена'!$B$2:$B$71,C424,'Базовые времена'!$C$2:$C$71,D424))</f>
        <v/>
      </c>
      <c r="H424" s="11" t="str">
        <f aca="false">IF(E424="","",IF(ISNUMBER(E424),IF(E424&lt;1,E424*86400,E424),IFERROR(IF(ISNUMBER(FIND(":",SUBSTITUTE(TRIM(E424),",","."))),VALUE(LEFT(SUBSTITUTE(TRIM(E424),",","."),FIND(":",SUBSTITUTE(TRIM(E424),",","."))-1))*60+_xlfn.NUMBERVALUE(MID(SUBSTITUTE(TRIM(E424),",","."),FIND(":",SUBSTITUTE(TRIM(E424),",","."))+1,99),"."),_xlfn.NUMBERVALUE(SUBSTITUTE(TRIM(E424),",","."),".")),0)))</f>
        <v/>
      </c>
    </row>
    <row r="425" customFormat="false" ht="15" hidden="false" customHeight="false" outlineLevel="0" collapsed="false">
      <c r="A425" s="5"/>
      <c r="B425" s="5"/>
      <c r="C425" s="5"/>
      <c r="D425" s="5"/>
      <c r="E425" s="13"/>
      <c r="F425" s="4" t="str">
        <f aca="false">IF(OR(G425="",H425="",N(G425)=0,N(H425)&lt;=0),"",ROUNDDOWN(1000*(G425/H425)^3,0))</f>
        <v/>
      </c>
      <c r="G425" s="11" t="str">
        <f aca="false">IF(D425="","",SUMIFS('Базовые времена'!$D$2:$D$71,'Базовые времена'!$A$2:$A$71,B425,'Базовые времена'!$B$2:$B$71,C425,'Базовые времена'!$C$2:$C$71,D425))</f>
        <v/>
      </c>
      <c r="H425" s="11" t="str">
        <f aca="false">IF(E425="","",IF(ISNUMBER(E425),IF(E425&lt;1,E425*86400,E425),IFERROR(IF(ISNUMBER(FIND(":",SUBSTITUTE(TRIM(E425),",","."))),VALUE(LEFT(SUBSTITUTE(TRIM(E425),",","."),FIND(":",SUBSTITUTE(TRIM(E425),",","."))-1))*60+_xlfn.NUMBERVALUE(MID(SUBSTITUTE(TRIM(E425),",","."),FIND(":",SUBSTITUTE(TRIM(E425),",","."))+1,99),"."),_xlfn.NUMBERVALUE(SUBSTITUTE(TRIM(E425),",","."),".")),0)))</f>
        <v/>
      </c>
    </row>
    <row r="426" customFormat="false" ht="15" hidden="false" customHeight="false" outlineLevel="0" collapsed="false">
      <c r="A426" s="5"/>
      <c r="B426" s="5"/>
      <c r="C426" s="5"/>
      <c r="D426" s="5"/>
      <c r="E426" s="13"/>
      <c r="F426" s="4" t="str">
        <f aca="false">IF(OR(G426="",H426="",N(G426)=0,N(H426)&lt;=0),"",ROUNDDOWN(1000*(G426/H426)^3,0))</f>
        <v/>
      </c>
      <c r="G426" s="11" t="str">
        <f aca="false">IF(D426="","",SUMIFS('Базовые времена'!$D$2:$D$71,'Базовые времена'!$A$2:$A$71,B426,'Базовые времена'!$B$2:$B$71,C426,'Базовые времена'!$C$2:$C$71,D426))</f>
        <v/>
      </c>
      <c r="H426" s="11" t="str">
        <f aca="false">IF(E426="","",IF(ISNUMBER(E426),IF(E426&lt;1,E426*86400,E426),IFERROR(IF(ISNUMBER(FIND(":",SUBSTITUTE(TRIM(E426),",","."))),VALUE(LEFT(SUBSTITUTE(TRIM(E426),",","."),FIND(":",SUBSTITUTE(TRIM(E426),",","."))-1))*60+_xlfn.NUMBERVALUE(MID(SUBSTITUTE(TRIM(E426),",","."),FIND(":",SUBSTITUTE(TRIM(E426),",","."))+1,99),"."),_xlfn.NUMBERVALUE(SUBSTITUTE(TRIM(E426),",","."),".")),0)))</f>
        <v/>
      </c>
    </row>
    <row r="427" customFormat="false" ht="15" hidden="false" customHeight="false" outlineLevel="0" collapsed="false">
      <c r="A427" s="5"/>
      <c r="B427" s="5"/>
      <c r="C427" s="5"/>
      <c r="D427" s="5"/>
      <c r="E427" s="13"/>
      <c r="F427" s="4" t="str">
        <f aca="false">IF(OR(G427="",H427="",N(G427)=0,N(H427)&lt;=0),"",ROUNDDOWN(1000*(G427/H427)^3,0))</f>
        <v/>
      </c>
      <c r="G427" s="11" t="str">
        <f aca="false">IF(D427="","",SUMIFS('Базовые времена'!$D$2:$D$71,'Базовые времена'!$A$2:$A$71,B427,'Базовые времена'!$B$2:$B$71,C427,'Базовые времена'!$C$2:$C$71,D427))</f>
        <v/>
      </c>
      <c r="H427" s="11" t="str">
        <f aca="false">IF(E427="","",IF(ISNUMBER(E427),IF(E427&lt;1,E427*86400,E427),IFERROR(IF(ISNUMBER(FIND(":",SUBSTITUTE(TRIM(E427),",","."))),VALUE(LEFT(SUBSTITUTE(TRIM(E427),",","."),FIND(":",SUBSTITUTE(TRIM(E427),",","."))-1))*60+_xlfn.NUMBERVALUE(MID(SUBSTITUTE(TRIM(E427),",","."),FIND(":",SUBSTITUTE(TRIM(E427),",","."))+1,99),"."),_xlfn.NUMBERVALUE(SUBSTITUTE(TRIM(E427),",","."),".")),0)))</f>
        <v/>
      </c>
    </row>
    <row r="428" customFormat="false" ht="15" hidden="false" customHeight="false" outlineLevel="0" collapsed="false">
      <c r="A428" s="5"/>
      <c r="B428" s="5"/>
      <c r="C428" s="5"/>
      <c r="D428" s="5"/>
      <c r="E428" s="13"/>
      <c r="F428" s="4" t="str">
        <f aca="false">IF(OR(G428="",H428="",N(G428)=0,N(H428)&lt;=0),"",ROUNDDOWN(1000*(G428/H428)^3,0))</f>
        <v/>
      </c>
      <c r="G428" s="11" t="str">
        <f aca="false">IF(D428="","",SUMIFS('Базовые времена'!$D$2:$D$71,'Базовые времена'!$A$2:$A$71,B428,'Базовые времена'!$B$2:$B$71,C428,'Базовые времена'!$C$2:$C$71,D428))</f>
        <v/>
      </c>
      <c r="H428" s="11" t="str">
        <f aca="false">IF(E428="","",IF(ISNUMBER(E428),IF(E428&lt;1,E428*86400,E428),IFERROR(IF(ISNUMBER(FIND(":",SUBSTITUTE(TRIM(E428),",","."))),VALUE(LEFT(SUBSTITUTE(TRIM(E428),",","."),FIND(":",SUBSTITUTE(TRIM(E428),",","."))-1))*60+_xlfn.NUMBERVALUE(MID(SUBSTITUTE(TRIM(E428),",","."),FIND(":",SUBSTITUTE(TRIM(E428),",","."))+1,99),"."),_xlfn.NUMBERVALUE(SUBSTITUTE(TRIM(E428),",","."),".")),0)))</f>
        <v/>
      </c>
    </row>
    <row r="429" customFormat="false" ht="15" hidden="false" customHeight="false" outlineLevel="0" collapsed="false">
      <c r="A429" s="5"/>
      <c r="B429" s="5"/>
      <c r="C429" s="5"/>
      <c r="D429" s="5"/>
      <c r="E429" s="13"/>
      <c r="F429" s="4" t="str">
        <f aca="false">IF(OR(G429="",H429="",N(G429)=0,N(H429)&lt;=0),"",ROUNDDOWN(1000*(G429/H429)^3,0))</f>
        <v/>
      </c>
      <c r="G429" s="11" t="str">
        <f aca="false">IF(D429="","",SUMIFS('Базовые времена'!$D$2:$D$71,'Базовые времена'!$A$2:$A$71,B429,'Базовые времена'!$B$2:$B$71,C429,'Базовые времена'!$C$2:$C$71,D429))</f>
        <v/>
      </c>
      <c r="H429" s="11" t="str">
        <f aca="false">IF(E429="","",IF(ISNUMBER(E429),IF(E429&lt;1,E429*86400,E429),IFERROR(IF(ISNUMBER(FIND(":",SUBSTITUTE(TRIM(E429),",","."))),VALUE(LEFT(SUBSTITUTE(TRIM(E429),",","."),FIND(":",SUBSTITUTE(TRIM(E429),",","."))-1))*60+_xlfn.NUMBERVALUE(MID(SUBSTITUTE(TRIM(E429),",","."),FIND(":",SUBSTITUTE(TRIM(E429),",","."))+1,99),"."),_xlfn.NUMBERVALUE(SUBSTITUTE(TRIM(E429),",","."),".")),0)))</f>
        <v/>
      </c>
    </row>
    <row r="430" customFormat="false" ht="15" hidden="false" customHeight="false" outlineLevel="0" collapsed="false">
      <c r="A430" s="5"/>
      <c r="B430" s="5"/>
      <c r="C430" s="5"/>
      <c r="D430" s="5"/>
      <c r="E430" s="13"/>
      <c r="F430" s="4" t="str">
        <f aca="false">IF(OR(G430="",H430="",N(G430)=0,N(H430)&lt;=0),"",ROUNDDOWN(1000*(G430/H430)^3,0))</f>
        <v/>
      </c>
      <c r="G430" s="11" t="str">
        <f aca="false">IF(D430="","",SUMIFS('Базовые времена'!$D$2:$D$71,'Базовые времена'!$A$2:$A$71,B430,'Базовые времена'!$B$2:$B$71,C430,'Базовые времена'!$C$2:$C$71,D430))</f>
        <v/>
      </c>
      <c r="H430" s="11" t="str">
        <f aca="false">IF(E430="","",IF(ISNUMBER(E430),IF(E430&lt;1,E430*86400,E430),IFERROR(IF(ISNUMBER(FIND(":",SUBSTITUTE(TRIM(E430),",","."))),VALUE(LEFT(SUBSTITUTE(TRIM(E430),",","."),FIND(":",SUBSTITUTE(TRIM(E430),",","."))-1))*60+_xlfn.NUMBERVALUE(MID(SUBSTITUTE(TRIM(E430),",","."),FIND(":",SUBSTITUTE(TRIM(E430),",","."))+1,99),"."),_xlfn.NUMBERVALUE(SUBSTITUTE(TRIM(E430),",","."),".")),0)))</f>
        <v/>
      </c>
    </row>
    <row r="431" customFormat="false" ht="15" hidden="false" customHeight="false" outlineLevel="0" collapsed="false">
      <c r="A431" s="5"/>
      <c r="B431" s="5"/>
      <c r="C431" s="5"/>
      <c r="D431" s="5"/>
      <c r="E431" s="13"/>
      <c r="F431" s="4" t="str">
        <f aca="false">IF(OR(G431="",H431="",N(G431)=0,N(H431)&lt;=0),"",ROUNDDOWN(1000*(G431/H431)^3,0))</f>
        <v/>
      </c>
      <c r="G431" s="11" t="str">
        <f aca="false">IF(D431="","",SUMIFS('Базовые времена'!$D$2:$D$71,'Базовые времена'!$A$2:$A$71,B431,'Базовые времена'!$B$2:$B$71,C431,'Базовые времена'!$C$2:$C$71,D431))</f>
        <v/>
      </c>
      <c r="H431" s="11" t="str">
        <f aca="false">IF(E431="","",IF(ISNUMBER(E431),IF(E431&lt;1,E431*86400,E431),IFERROR(IF(ISNUMBER(FIND(":",SUBSTITUTE(TRIM(E431),",","."))),VALUE(LEFT(SUBSTITUTE(TRIM(E431),",","."),FIND(":",SUBSTITUTE(TRIM(E431),",","."))-1))*60+_xlfn.NUMBERVALUE(MID(SUBSTITUTE(TRIM(E431),",","."),FIND(":",SUBSTITUTE(TRIM(E431),",","."))+1,99),"."),_xlfn.NUMBERVALUE(SUBSTITUTE(TRIM(E431),",","."),".")),0)))</f>
        <v/>
      </c>
    </row>
    <row r="432" customFormat="false" ht="15" hidden="false" customHeight="false" outlineLevel="0" collapsed="false">
      <c r="A432" s="5"/>
      <c r="B432" s="5"/>
      <c r="C432" s="5"/>
      <c r="D432" s="5"/>
      <c r="E432" s="13"/>
      <c r="F432" s="4" t="str">
        <f aca="false">IF(OR(G432="",H432="",N(G432)=0,N(H432)&lt;=0),"",ROUNDDOWN(1000*(G432/H432)^3,0))</f>
        <v/>
      </c>
      <c r="G432" s="11" t="str">
        <f aca="false">IF(D432="","",SUMIFS('Базовые времена'!$D$2:$D$71,'Базовые времена'!$A$2:$A$71,B432,'Базовые времена'!$B$2:$B$71,C432,'Базовые времена'!$C$2:$C$71,D432))</f>
        <v/>
      </c>
      <c r="H432" s="11" t="str">
        <f aca="false">IF(E432="","",IF(ISNUMBER(E432),IF(E432&lt;1,E432*86400,E432),IFERROR(IF(ISNUMBER(FIND(":",SUBSTITUTE(TRIM(E432),",","."))),VALUE(LEFT(SUBSTITUTE(TRIM(E432),",","."),FIND(":",SUBSTITUTE(TRIM(E432),",","."))-1))*60+_xlfn.NUMBERVALUE(MID(SUBSTITUTE(TRIM(E432),",","."),FIND(":",SUBSTITUTE(TRIM(E432),",","."))+1,99),"."),_xlfn.NUMBERVALUE(SUBSTITUTE(TRIM(E432),",","."),".")),0)))</f>
        <v/>
      </c>
    </row>
    <row r="433" customFormat="false" ht="15" hidden="false" customHeight="false" outlineLevel="0" collapsed="false">
      <c r="A433" s="5"/>
      <c r="B433" s="5"/>
      <c r="C433" s="5"/>
      <c r="D433" s="5"/>
      <c r="E433" s="13"/>
      <c r="F433" s="4" t="str">
        <f aca="false">IF(OR(G433="",H433="",N(G433)=0,N(H433)&lt;=0),"",ROUNDDOWN(1000*(G433/H433)^3,0))</f>
        <v/>
      </c>
      <c r="G433" s="11" t="str">
        <f aca="false">IF(D433="","",SUMIFS('Базовые времена'!$D$2:$D$71,'Базовые времена'!$A$2:$A$71,B433,'Базовые времена'!$B$2:$B$71,C433,'Базовые времена'!$C$2:$C$71,D433))</f>
        <v/>
      </c>
      <c r="H433" s="11" t="str">
        <f aca="false">IF(E433="","",IF(ISNUMBER(E433),IF(E433&lt;1,E433*86400,E433),IFERROR(IF(ISNUMBER(FIND(":",SUBSTITUTE(TRIM(E433),",","."))),VALUE(LEFT(SUBSTITUTE(TRIM(E433),",","."),FIND(":",SUBSTITUTE(TRIM(E433),",","."))-1))*60+_xlfn.NUMBERVALUE(MID(SUBSTITUTE(TRIM(E433),",","."),FIND(":",SUBSTITUTE(TRIM(E433),",","."))+1,99),"."),_xlfn.NUMBERVALUE(SUBSTITUTE(TRIM(E433),",","."),".")),0)))</f>
        <v/>
      </c>
    </row>
    <row r="434" customFormat="false" ht="15" hidden="false" customHeight="false" outlineLevel="0" collapsed="false">
      <c r="A434" s="5"/>
      <c r="B434" s="5"/>
      <c r="C434" s="5"/>
      <c r="D434" s="5"/>
      <c r="E434" s="13"/>
      <c r="F434" s="4" t="str">
        <f aca="false">IF(OR(G434="",H434="",N(G434)=0,N(H434)&lt;=0),"",ROUNDDOWN(1000*(G434/H434)^3,0))</f>
        <v/>
      </c>
      <c r="G434" s="11" t="str">
        <f aca="false">IF(D434="","",SUMIFS('Базовые времена'!$D$2:$D$71,'Базовые времена'!$A$2:$A$71,B434,'Базовые времена'!$B$2:$B$71,C434,'Базовые времена'!$C$2:$C$71,D434))</f>
        <v/>
      </c>
      <c r="H434" s="11" t="str">
        <f aca="false">IF(E434="","",IF(ISNUMBER(E434),IF(E434&lt;1,E434*86400,E434),IFERROR(IF(ISNUMBER(FIND(":",SUBSTITUTE(TRIM(E434),",","."))),VALUE(LEFT(SUBSTITUTE(TRIM(E434),",","."),FIND(":",SUBSTITUTE(TRIM(E434),",","."))-1))*60+_xlfn.NUMBERVALUE(MID(SUBSTITUTE(TRIM(E434),",","."),FIND(":",SUBSTITUTE(TRIM(E434),",","."))+1,99),"."),_xlfn.NUMBERVALUE(SUBSTITUTE(TRIM(E434),",","."),".")),0)))</f>
        <v/>
      </c>
    </row>
    <row r="435" customFormat="false" ht="15" hidden="false" customHeight="false" outlineLevel="0" collapsed="false">
      <c r="A435" s="5"/>
      <c r="B435" s="5"/>
      <c r="C435" s="5"/>
      <c r="D435" s="5"/>
      <c r="E435" s="13"/>
      <c r="F435" s="4" t="str">
        <f aca="false">IF(OR(G435="",H435="",N(G435)=0,N(H435)&lt;=0),"",ROUNDDOWN(1000*(G435/H435)^3,0))</f>
        <v/>
      </c>
      <c r="G435" s="11" t="str">
        <f aca="false">IF(D435="","",SUMIFS('Базовые времена'!$D$2:$D$71,'Базовые времена'!$A$2:$A$71,B435,'Базовые времена'!$B$2:$B$71,C435,'Базовые времена'!$C$2:$C$71,D435))</f>
        <v/>
      </c>
      <c r="H435" s="11" t="str">
        <f aca="false">IF(E435="","",IF(ISNUMBER(E435),IF(E435&lt;1,E435*86400,E435),IFERROR(IF(ISNUMBER(FIND(":",SUBSTITUTE(TRIM(E435),",","."))),VALUE(LEFT(SUBSTITUTE(TRIM(E435),",","."),FIND(":",SUBSTITUTE(TRIM(E435),",","."))-1))*60+_xlfn.NUMBERVALUE(MID(SUBSTITUTE(TRIM(E435),",","."),FIND(":",SUBSTITUTE(TRIM(E435),",","."))+1,99),"."),_xlfn.NUMBERVALUE(SUBSTITUTE(TRIM(E435),",","."),".")),0)))</f>
        <v/>
      </c>
    </row>
    <row r="436" customFormat="false" ht="15" hidden="false" customHeight="false" outlineLevel="0" collapsed="false">
      <c r="A436" s="5"/>
      <c r="B436" s="5"/>
      <c r="C436" s="5"/>
      <c r="D436" s="5"/>
      <c r="E436" s="13"/>
      <c r="F436" s="4" t="str">
        <f aca="false">IF(OR(G436="",H436="",N(G436)=0,N(H436)&lt;=0),"",ROUNDDOWN(1000*(G436/H436)^3,0))</f>
        <v/>
      </c>
      <c r="G436" s="11" t="str">
        <f aca="false">IF(D436="","",SUMIFS('Базовые времена'!$D$2:$D$71,'Базовые времена'!$A$2:$A$71,B436,'Базовые времена'!$B$2:$B$71,C436,'Базовые времена'!$C$2:$C$71,D436))</f>
        <v/>
      </c>
      <c r="H436" s="11" t="str">
        <f aca="false">IF(E436="","",IF(ISNUMBER(E436),IF(E436&lt;1,E436*86400,E436),IFERROR(IF(ISNUMBER(FIND(":",SUBSTITUTE(TRIM(E436),",","."))),VALUE(LEFT(SUBSTITUTE(TRIM(E436),",","."),FIND(":",SUBSTITUTE(TRIM(E436),",","."))-1))*60+_xlfn.NUMBERVALUE(MID(SUBSTITUTE(TRIM(E436),",","."),FIND(":",SUBSTITUTE(TRIM(E436),",","."))+1,99),"."),_xlfn.NUMBERVALUE(SUBSTITUTE(TRIM(E436),",","."),".")),0)))</f>
        <v/>
      </c>
    </row>
    <row r="437" customFormat="false" ht="15" hidden="false" customHeight="false" outlineLevel="0" collapsed="false">
      <c r="A437" s="5"/>
      <c r="B437" s="5"/>
      <c r="C437" s="5"/>
      <c r="D437" s="5"/>
      <c r="E437" s="13"/>
      <c r="F437" s="4" t="str">
        <f aca="false">IF(OR(G437="",H437="",N(G437)=0,N(H437)&lt;=0),"",ROUNDDOWN(1000*(G437/H437)^3,0))</f>
        <v/>
      </c>
      <c r="G437" s="11" t="str">
        <f aca="false">IF(D437="","",SUMIFS('Базовые времена'!$D$2:$D$71,'Базовые времена'!$A$2:$A$71,B437,'Базовые времена'!$B$2:$B$71,C437,'Базовые времена'!$C$2:$C$71,D437))</f>
        <v/>
      </c>
      <c r="H437" s="11" t="str">
        <f aca="false">IF(E437="","",IF(ISNUMBER(E437),IF(E437&lt;1,E437*86400,E437),IFERROR(IF(ISNUMBER(FIND(":",SUBSTITUTE(TRIM(E437),",","."))),VALUE(LEFT(SUBSTITUTE(TRIM(E437),",","."),FIND(":",SUBSTITUTE(TRIM(E437),",","."))-1))*60+_xlfn.NUMBERVALUE(MID(SUBSTITUTE(TRIM(E437),",","."),FIND(":",SUBSTITUTE(TRIM(E437),",","."))+1,99),"."),_xlfn.NUMBERVALUE(SUBSTITUTE(TRIM(E437),",","."),".")),0)))</f>
        <v/>
      </c>
    </row>
    <row r="438" customFormat="false" ht="15" hidden="false" customHeight="false" outlineLevel="0" collapsed="false">
      <c r="A438" s="5"/>
      <c r="B438" s="5"/>
      <c r="C438" s="5"/>
      <c r="D438" s="5"/>
      <c r="E438" s="13"/>
      <c r="F438" s="4" t="str">
        <f aca="false">IF(OR(G438="",H438="",N(G438)=0,N(H438)&lt;=0),"",ROUNDDOWN(1000*(G438/H438)^3,0))</f>
        <v/>
      </c>
      <c r="G438" s="11" t="str">
        <f aca="false">IF(D438="","",SUMIFS('Базовые времена'!$D$2:$D$71,'Базовые времена'!$A$2:$A$71,B438,'Базовые времена'!$B$2:$B$71,C438,'Базовые времена'!$C$2:$C$71,D438))</f>
        <v/>
      </c>
      <c r="H438" s="11" t="str">
        <f aca="false">IF(E438="","",IF(ISNUMBER(E438),IF(E438&lt;1,E438*86400,E438),IFERROR(IF(ISNUMBER(FIND(":",SUBSTITUTE(TRIM(E438),",","."))),VALUE(LEFT(SUBSTITUTE(TRIM(E438),",","."),FIND(":",SUBSTITUTE(TRIM(E438),",","."))-1))*60+_xlfn.NUMBERVALUE(MID(SUBSTITUTE(TRIM(E438),",","."),FIND(":",SUBSTITUTE(TRIM(E438),",","."))+1,99),"."),_xlfn.NUMBERVALUE(SUBSTITUTE(TRIM(E438),",","."),".")),0)))</f>
        <v/>
      </c>
    </row>
    <row r="439" customFormat="false" ht="15" hidden="false" customHeight="false" outlineLevel="0" collapsed="false">
      <c r="A439" s="5"/>
      <c r="B439" s="5"/>
      <c r="C439" s="5"/>
      <c r="D439" s="5"/>
      <c r="E439" s="13"/>
      <c r="F439" s="4" t="str">
        <f aca="false">IF(OR(G439="",H439="",N(G439)=0,N(H439)&lt;=0),"",ROUNDDOWN(1000*(G439/H439)^3,0))</f>
        <v/>
      </c>
      <c r="G439" s="11" t="str">
        <f aca="false">IF(D439="","",SUMIFS('Базовые времена'!$D$2:$D$71,'Базовые времена'!$A$2:$A$71,B439,'Базовые времена'!$B$2:$B$71,C439,'Базовые времена'!$C$2:$C$71,D439))</f>
        <v/>
      </c>
      <c r="H439" s="11" t="str">
        <f aca="false">IF(E439="","",IF(ISNUMBER(E439),IF(E439&lt;1,E439*86400,E439),IFERROR(IF(ISNUMBER(FIND(":",SUBSTITUTE(TRIM(E439),",","."))),VALUE(LEFT(SUBSTITUTE(TRIM(E439),",","."),FIND(":",SUBSTITUTE(TRIM(E439),",","."))-1))*60+_xlfn.NUMBERVALUE(MID(SUBSTITUTE(TRIM(E439),",","."),FIND(":",SUBSTITUTE(TRIM(E439),",","."))+1,99),"."),_xlfn.NUMBERVALUE(SUBSTITUTE(TRIM(E439),",","."),".")),0)))</f>
        <v/>
      </c>
    </row>
    <row r="440" customFormat="false" ht="15" hidden="false" customHeight="false" outlineLevel="0" collapsed="false">
      <c r="A440" s="5"/>
      <c r="B440" s="5"/>
      <c r="C440" s="5"/>
      <c r="D440" s="5"/>
      <c r="E440" s="13"/>
      <c r="F440" s="4" t="str">
        <f aca="false">IF(OR(G440="",H440="",N(G440)=0,N(H440)&lt;=0),"",ROUNDDOWN(1000*(G440/H440)^3,0))</f>
        <v/>
      </c>
      <c r="G440" s="11" t="str">
        <f aca="false">IF(D440="","",SUMIFS('Базовые времена'!$D$2:$D$71,'Базовые времена'!$A$2:$A$71,B440,'Базовые времена'!$B$2:$B$71,C440,'Базовые времена'!$C$2:$C$71,D440))</f>
        <v/>
      </c>
      <c r="H440" s="11" t="str">
        <f aca="false">IF(E440="","",IF(ISNUMBER(E440),IF(E440&lt;1,E440*86400,E440),IFERROR(IF(ISNUMBER(FIND(":",SUBSTITUTE(TRIM(E440),",","."))),VALUE(LEFT(SUBSTITUTE(TRIM(E440),",","."),FIND(":",SUBSTITUTE(TRIM(E440),",","."))-1))*60+_xlfn.NUMBERVALUE(MID(SUBSTITUTE(TRIM(E440),",","."),FIND(":",SUBSTITUTE(TRIM(E440),",","."))+1,99),"."),_xlfn.NUMBERVALUE(SUBSTITUTE(TRIM(E440),",","."),".")),0)))</f>
        <v/>
      </c>
    </row>
    <row r="441" customFormat="false" ht="15" hidden="false" customHeight="false" outlineLevel="0" collapsed="false">
      <c r="A441" s="5"/>
      <c r="B441" s="5"/>
      <c r="C441" s="5"/>
      <c r="D441" s="5"/>
      <c r="E441" s="13"/>
      <c r="F441" s="4" t="str">
        <f aca="false">IF(OR(G441="",H441="",N(G441)=0,N(H441)&lt;=0),"",ROUNDDOWN(1000*(G441/H441)^3,0))</f>
        <v/>
      </c>
      <c r="G441" s="11" t="str">
        <f aca="false">IF(D441="","",SUMIFS('Базовые времена'!$D$2:$D$71,'Базовые времена'!$A$2:$A$71,B441,'Базовые времена'!$B$2:$B$71,C441,'Базовые времена'!$C$2:$C$71,D441))</f>
        <v/>
      </c>
      <c r="H441" s="11" t="str">
        <f aca="false">IF(E441="","",IF(ISNUMBER(E441),IF(E441&lt;1,E441*86400,E441),IFERROR(IF(ISNUMBER(FIND(":",SUBSTITUTE(TRIM(E441),",","."))),VALUE(LEFT(SUBSTITUTE(TRIM(E441),",","."),FIND(":",SUBSTITUTE(TRIM(E441),",","."))-1))*60+_xlfn.NUMBERVALUE(MID(SUBSTITUTE(TRIM(E441),",","."),FIND(":",SUBSTITUTE(TRIM(E441),",","."))+1,99),"."),_xlfn.NUMBERVALUE(SUBSTITUTE(TRIM(E441),",","."),".")),0)))</f>
        <v/>
      </c>
    </row>
    <row r="442" customFormat="false" ht="15" hidden="false" customHeight="false" outlineLevel="0" collapsed="false">
      <c r="A442" s="5"/>
      <c r="B442" s="5"/>
      <c r="C442" s="5"/>
      <c r="D442" s="5"/>
      <c r="E442" s="13"/>
      <c r="F442" s="4" t="str">
        <f aca="false">IF(OR(G442="",H442="",N(G442)=0,N(H442)&lt;=0),"",ROUNDDOWN(1000*(G442/H442)^3,0))</f>
        <v/>
      </c>
      <c r="G442" s="11" t="str">
        <f aca="false">IF(D442="","",SUMIFS('Базовые времена'!$D$2:$D$71,'Базовые времена'!$A$2:$A$71,B442,'Базовые времена'!$B$2:$B$71,C442,'Базовые времена'!$C$2:$C$71,D442))</f>
        <v/>
      </c>
      <c r="H442" s="11" t="str">
        <f aca="false">IF(E442="","",IF(ISNUMBER(E442),IF(E442&lt;1,E442*86400,E442),IFERROR(IF(ISNUMBER(FIND(":",SUBSTITUTE(TRIM(E442),",","."))),VALUE(LEFT(SUBSTITUTE(TRIM(E442),",","."),FIND(":",SUBSTITUTE(TRIM(E442),",","."))-1))*60+_xlfn.NUMBERVALUE(MID(SUBSTITUTE(TRIM(E442),",","."),FIND(":",SUBSTITUTE(TRIM(E442),",","."))+1,99),"."),_xlfn.NUMBERVALUE(SUBSTITUTE(TRIM(E442),",","."),".")),0)))</f>
        <v/>
      </c>
    </row>
    <row r="443" customFormat="false" ht="15" hidden="false" customHeight="false" outlineLevel="0" collapsed="false">
      <c r="A443" s="5"/>
      <c r="B443" s="5"/>
      <c r="C443" s="5"/>
      <c r="D443" s="5"/>
      <c r="E443" s="13"/>
      <c r="F443" s="4" t="str">
        <f aca="false">IF(OR(G443="",H443="",N(G443)=0,N(H443)&lt;=0),"",ROUNDDOWN(1000*(G443/H443)^3,0))</f>
        <v/>
      </c>
      <c r="G443" s="11" t="str">
        <f aca="false">IF(D443="","",SUMIFS('Базовые времена'!$D$2:$D$71,'Базовые времена'!$A$2:$A$71,B443,'Базовые времена'!$B$2:$B$71,C443,'Базовые времена'!$C$2:$C$71,D443))</f>
        <v/>
      </c>
      <c r="H443" s="11" t="str">
        <f aca="false">IF(E443="","",IF(ISNUMBER(E443),IF(E443&lt;1,E443*86400,E443),IFERROR(IF(ISNUMBER(FIND(":",SUBSTITUTE(TRIM(E443),",","."))),VALUE(LEFT(SUBSTITUTE(TRIM(E443),",","."),FIND(":",SUBSTITUTE(TRIM(E443),",","."))-1))*60+_xlfn.NUMBERVALUE(MID(SUBSTITUTE(TRIM(E443),",","."),FIND(":",SUBSTITUTE(TRIM(E443),",","."))+1,99),"."),_xlfn.NUMBERVALUE(SUBSTITUTE(TRIM(E443),",","."),".")),0)))</f>
        <v/>
      </c>
    </row>
    <row r="444" customFormat="false" ht="15" hidden="false" customHeight="false" outlineLevel="0" collapsed="false">
      <c r="A444" s="5"/>
      <c r="B444" s="5"/>
      <c r="C444" s="5"/>
      <c r="D444" s="5"/>
      <c r="E444" s="13"/>
      <c r="F444" s="4" t="str">
        <f aca="false">IF(OR(G444="",H444="",N(G444)=0,N(H444)&lt;=0),"",ROUNDDOWN(1000*(G444/H444)^3,0))</f>
        <v/>
      </c>
      <c r="G444" s="11" t="str">
        <f aca="false">IF(D444="","",SUMIFS('Базовые времена'!$D$2:$D$71,'Базовые времена'!$A$2:$A$71,B444,'Базовые времена'!$B$2:$B$71,C444,'Базовые времена'!$C$2:$C$71,D444))</f>
        <v/>
      </c>
      <c r="H444" s="11" t="str">
        <f aca="false">IF(E444="","",IF(ISNUMBER(E444),IF(E444&lt;1,E444*86400,E444),IFERROR(IF(ISNUMBER(FIND(":",SUBSTITUTE(TRIM(E444),",","."))),VALUE(LEFT(SUBSTITUTE(TRIM(E444),",","."),FIND(":",SUBSTITUTE(TRIM(E444),",","."))-1))*60+_xlfn.NUMBERVALUE(MID(SUBSTITUTE(TRIM(E444),",","."),FIND(":",SUBSTITUTE(TRIM(E444),",","."))+1,99),"."),_xlfn.NUMBERVALUE(SUBSTITUTE(TRIM(E444),",","."),".")),0)))</f>
        <v/>
      </c>
    </row>
    <row r="445" customFormat="false" ht="15" hidden="false" customHeight="false" outlineLevel="0" collapsed="false">
      <c r="A445" s="5"/>
      <c r="B445" s="5"/>
      <c r="C445" s="5"/>
      <c r="D445" s="5"/>
      <c r="E445" s="13"/>
      <c r="F445" s="4" t="str">
        <f aca="false">IF(OR(G445="",H445="",N(G445)=0,N(H445)&lt;=0),"",ROUNDDOWN(1000*(G445/H445)^3,0))</f>
        <v/>
      </c>
      <c r="G445" s="11" t="str">
        <f aca="false">IF(D445="","",SUMIFS('Базовые времена'!$D$2:$D$71,'Базовые времена'!$A$2:$A$71,B445,'Базовые времена'!$B$2:$B$71,C445,'Базовые времена'!$C$2:$C$71,D445))</f>
        <v/>
      </c>
      <c r="H445" s="11" t="str">
        <f aca="false">IF(E445="","",IF(ISNUMBER(E445),IF(E445&lt;1,E445*86400,E445),IFERROR(IF(ISNUMBER(FIND(":",SUBSTITUTE(TRIM(E445),",","."))),VALUE(LEFT(SUBSTITUTE(TRIM(E445),",","."),FIND(":",SUBSTITUTE(TRIM(E445),",","."))-1))*60+_xlfn.NUMBERVALUE(MID(SUBSTITUTE(TRIM(E445),",","."),FIND(":",SUBSTITUTE(TRIM(E445),",","."))+1,99),"."),_xlfn.NUMBERVALUE(SUBSTITUTE(TRIM(E445),",","."),".")),0)))</f>
        <v/>
      </c>
    </row>
    <row r="446" customFormat="false" ht="15" hidden="false" customHeight="false" outlineLevel="0" collapsed="false">
      <c r="A446" s="5"/>
      <c r="B446" s="5"/>
      <c r="C446" s="5"/>
      <c r="D446" s="5"/>
      <c r="E446" s="13"/>
      <c r="F446" s="4" t="str">
        <f aca="false">IF(OR(G446="",H446="",N(G446)=0,N(H446)&lt;=0),"",ROUNDDOWN(1000*(G446/H446)^3,0))</f>
        <v/>
      </c>
      <c r="G446" s="11" t="str">
        <f aca="false">IF(D446="","",SUMIFS('Базовые времена'!$D$2:$D$71,'Базовые времена'!$A$2:$A$71,B446,'Базовые времена'!$B$2:$B$71,C446,'Базовые времена'!$C$2:$C$71,D446))</f>
        <v/>
      </c>
      <c r="H446" s="11" t="str">
        <f aca="false">IF(E446="","",IF(ISNUMBER(E446),IF(E446&lt;1,E446*86400,E446),IFERROR(IF(ISNUMBER(FIND(":",SUBSTITUTE(TRIM(E446),",","."))),VALUE(LEFT(SUBSTITUTE(TRIM(E446),",","."),FIND(":",SUBSTITUTE(TRIM(E446),",","."))-1))*60+_xlfn.NUMBERVALUE(MID(SUBSTITUTE(TRIM(E446),",","."),FIND(":",SUBSTITUTE(TRIM(E446),",","."))+1,99),"."),_xlfn.NUMBERVALUE(SUBSTITUTE(TRIM(E446),",","."),".")),0)))</f>
        <v/>
      </c>
    </row>
    <row r="447" customFormat="false" ht="15" hidden="false" customHeight="false" outlineLevel="0" collapsed="false">
      <c r="A447" s="5"/>
      <c r="B447" s="5"/>
      <c r="C447" s="5"/>
      <c r="D447" s="5"/>
      <c r="E447" s="13"/>
      <c r="F447" s="4" t="str">
        <f aca="false">IF(OR(G447="",H447="",N(G447)=0,N(H447)&lt;=0),"",ROUNDDOWN(1000*(G447/H447)^3,0))</f>
        <v/>
      </c>
      <c r="G447" s="11" t="str">
        <f aca="false">IF(D447="","",SUMIFS('Базовые времена'!$D$2:$D$71,'Базовые времена'!$A$2:$A$71,B447,'Базовые времена'!$B$2:$B$71,C447,'Базовые времена'!$C$2:$C$71,D447))</f>
        <v/>
      </c>
      <c r="H447" s="11" t="str">
        <f aca="false">IF(E447="","",IF(ISNUMBER(E447),IF(E447&lt;1,E447*86400,E447),IFERROR(IF(ISNUMBER(FIND(":",SUBSTITUTE(TRIM(E447),",","."))),VALUE(LEFT(SUBSTITUTE(TRIM(E447),",","."),FIND(":",SUBSTITUTE(TRIM(E447),",","."))-1))*60+_xlfn.NUMBERVALUE(MID(SUBSTITUTE(TRIM(E447),",","."),FIND(":",SUBSTITUTE(TRIM(E447),",","."))+1,99),"."),_xlfn.NUMBERVALUE(SUBSTITUTE(TRIM(E447),",","."),".")),0)))</f>
        <v/>
      </c>
    </row>
    <row r="448" customFormat="false" ht="15" hidden="false" customHeight="false" outlineLevel="0" collapsed="false">
      <c r="A448" s="5"/>
      <c r="B448" s="5"/>
      <c r="C448" s="5"/>
      <c r="D448" s="5"/>
      <c r="E448" s="13"/>
      <c r="F448" s="4" t="str">
        <f aca="false">IF(OR(G448="",H448="",N(G448)=0,N(H448)&lt;=0),"",ROUNDDOWN(1000*(G448/H448)^3,0))</f>
        <v/>
      </c>
      <c r="G448" s="11" t="str">
        <f aca="false">IF(D448="","",SUMIFS('Базовые времена'!$D$2:$D$71,'Базовые времена'!$A$2:$A$71,B448,'Базовые времена'!$B$2:$B$71,C448,'Базовые времена'!$C$2:$C$71,D448))</f>
        <v/>
      </c>
      <c r="H448" s="11" t="str">
        <f aca="false">IF(E448="","",IF(ISNUMBER(E448),IF(E448&lt;1,E448*86400,E448),IFERROR(IF(ISNUMBER(FIND(":",SUBSTITUTE(TRIM(E448),",","."))),VALUE(LEFT(SUBSTITUTE(TRIM(E448),",","."),FIND(":",SUBSTITUTE(TRIM(E448),",","."))-1))*60+_xlfn.NUMBERVALUE(MID(SUBSTITUTE(TRIM(E448),",","."),FIND(":",SUBSTITUTE(TRIM(E448),",","."))+1,99),"."),_xlfn.NUMBERVALUE(SUBSTITUTE(TRIM(E448),",","."),".")),0)))</f>
        <v/>
      </c>
    </row>
    <row r="449" customFormat="false" ht="15" hidden="false" customHeight="false" outlineLevel="0" collapsed="false">
      <c r="A449" s="5"/>
      <c r="B449" s="5"/>
      <c r="C449" s="5"/>
      <c r="D449" s="5"/>
      <c r="E449" s="13"/>
      <c r="F449" s="4" t="str">
        <f aca="false">IF(OR(G449="",H449="",N(G449)=0,N(H449)&lt;=0),"",ROUNDDOWN(1000*(G449/H449)^3,0))</f>
        <v/>
      </c>
      <c r="G449" s="11" t="str">
        <f aca="false">IF(D449="","",SUMIFS('Базовые времена'!$D$2:$D$71,'Базовые времена'!$A$2:$A$71,B449,'Базовые времена'!$B$2:$B$71,C449,'Базовые времена'!$C$2:$C$71,D449))</f>
        <v/>
      </c>
      <c r="H449" s="11" t="str">
        <f aca="false">IF(E449="","",IF(ISNUMBER(E449),IF(E449&lt;1,E449*86400,E449),IFERROR(IF(ISNUMBER(FIND(":",SUBSTITUTE(TRIM(E449),",","."))),VALUE(LEFT(SUBSTITUTE(TRIM(E449),",","."),FIND(":",SUBSTITUTE(TRIM(E449),",","."))-1))*60+_xlfn.NUMBERVALUE(MID(SUBSTITUTE(TRIM(E449),",","."),FIND(":",SUBSTITUTE(TRIM(E449),",","."))+1,99),"."),_xlfn.NUMBERVALUE(SUBSTITUTE(TRIM(E449),",","."),".")),0)))</f>
        <v/>
      </c>
    </row>
    <row r="450" customFormat="false" ht="15" hidden="false" customHeight="false" outlineLevel="0" collapsed="false">
      <c r="A450" s="5"/>
      <c r="B450" s="5"/>
      <c r="C450" s="5"/>
      <c r="D450" s="5"/>
      <c r="E450" s="13"/>
      <c r="F450" s="4" t="str">
        <f aca="false">IF(OR(G450="",H450="",N(G450)=0,N(H450)&lt;=0),"",ROUNDDOWN(1000*(G450/H450)^3,0))</f>
        <v/>
      </c>
      <c r="G450" s="11" t="str">
        <f aca="false">IF(D450="","",SUMIFS('Базовые времена'!$D$2:$D$71,'Базовые времена'!$A$2:$A$71,B450,'Базовые времена'!$B$2:$B$71,C450,'Базовые времена'!$C$2:$C$71,D450))</f>
        <v/>
      </c>
      <c r="H450" s="11" t="str">
        <f aca="false">IF(E450="","",IF(ISNUMBER(E450),IF(E450&lt;1,E450*86400,E450),IFERROR(IF(ISNUMBER(FIND(":",SUBSTITUTE(TRIM(E450),",","."))),VALUE(LEFT(SUBSTITUTE(TRIM(E450),",","."),FIND(":",SUBSTITUTE(TRIM(E450),",","."))-1))*60+_xlfn.NUMBERVALUE(MID(SUBSTITUTE(TRIM(E450),",","."),FIND(":",SUBSTITUTE(TRIM(E450),",","."))+1,99),"."),_xlfn.NUMBERVALUE(SUBSTITUTE(TRIM(E450),",","."),".")),0)))</f>
        <v/>
      </c>
    </row>
    <row r="451" customFormat="false" ht="15" hidden="false" customHeight="false" outlineLevel="0" collapsed="false">
      <c r="A451" s="5"/>
      <c r="B451" s="5"/>
      <c r="C451" s="5"/>
      <c r="D451" s="5"/>
      <c r="E451" s="13"/>
      <c r="F451" s="4" t="str">
        <f aca="false">IF(OR(G451="",H451="",N(G451)=0,N(H451)&lt;=0),"",ROUNDDOWN(1000*(G451/H451)^3,0))</f>
        <v/>
      </c>
      <c r="G451" s="11" t="str">
        <f aca="false">IF(D451="","",SUMIFS('Базовые времена'!$D$2:$D$71,'Базовые времена'!$A$2:$A$71,B451,'Базовые времена'!$B$2:$B$71,C451,'Базовые времена'!$C$2:$C$71,D451))</f>
        <v/>
      </c>
      <c r="H451" s="11" t="str">
        <f aca="false">IF(E451="","",IF(ISNUMBER(E451),IF(E451&lt;1,E451*86400,E451),IFERROR(IF(ISNUMBER(FIND(":",SUBSTITUTE(TRIM(E451),",","."))),VALUE(LEFT(SUBSTITUTE(TRIM(E451),",","."),FIND(":",SUBSTITUTE(TRIM(E451),",","."))-1))*60+_xlfn.NUMBERVALUE(MID(SUBSTITUTE(TRIM(E451),",","."),FIND(":",SUBSTITUTE(TRIM(E451),",","."))+1,99),"."),_xlfn.NUMBERVALUE(SUBSTITUTE(TRIM(E451),",","."),".")),0)))</f>
        <v/>
      </c>
    </row>
    <row r="452" customFormat="false" ht="15" hidden="false" customHeight="false" outlineLevel="0" collapsed="false">
      <c r="A452" s="5"/>
      <c r="B452" s="5"/>
      <c r="C452" s="5"/>
      <c r="D452" s="5"/>
      <c r="E452" s="13"/>
      <c r="F452" s="4" t="str">
        <f aca="false">IF(OR(G452="",H452="",N(G452)=0,N(H452)&lt;=0),"",ROUNDDOWN(1000*(G452/H452)^3,0))</f>
        <v/>
      </c>
      <c r="G452" s="11" t="str">
        <f aca="false">IF(D452="","",SUMIFS('Базовые времена'!$D$2:$D$71,'Базовые времена'!$A$2:$A$71,B452,'Базовые времена'!$B$2:$B$71,C452,'Базовые времена'!$C$2:$C$71,D452))</f>
        <v/>
      </c>
      <c r="H452" s="11" t="str">
        <f aca="false">IF(E452="","",IF(ISNUMBER(E452),IF(E452&lt;1,E452*86400,E452),IFERROR(IF(ISNUMBER(FIND(":",SUBSTITUTE(TRIM(E452),",","."))),VALUE(LEFT(SUBSTITUTE(TRIM(E452),",","."),FIND(":",SUBSTITUTE(TRIM(E452),",","."))-1))*60+_xlfn.NUMBERVALUE(MID(SUBSTITUTE(TRIM(E452),",","."),FIND(":",SUBSTITUTE(TRIM(E452),",","."))+1,99),"."),_xlfn.NUMBERVALUE(SUBSTITUTE(TRIM(E452),",","."),".")),0)))</f>
        <v/>
      </c>
    </row>
    <row r="453" customFormat="false" ht="15" hidden="false" customHeight="false" outlineLevel="0" collapsed="false">
      <c r="A453" s="5"/>
      <c r="B453" s="5"/>
      <c r="C453" s="5"/>
      <c r="D453" s="5"/>
      <c r="E453" s="13"/>
      <c r="F453" s="4" t="str">
        <f aca="false">IF(OR(G453="",H453="",N(G453)=0,N(H453)&lt;=0),"",ROUNDDOWN(1000*(G453/H453)^3,0))</f>
        <v/>
      </c>
      <c r="G453" s="11" t="str">
        <f aca="false">IF(D453="","",SUMIFS('Базовые времена'!$D$2:$D$71,'Базовые времена'!$A$2:$A$71,B453,'Базовые времена'!$B$2:$B$71,C453,'Базовые времена'!$C$2:$C$71,D453))</f>
        <v/>
      </c>
      <c r="H453" s="11" t="str">
        <f aca="false">IF(E453="","",IF(ISNUMBER(E453),IF(E453&lt;1,E453*86400,E453),IFERROR(IF(ISNUMBER(FIND(":",SUBSTITUTE(TRIM(E453),",","."))),VALUE(LEFT(SUBSTITUTE(TRIM(E453),",","."),FIND(":",SUBSTITUTE(TRIM(E453),",","."))-1))*60+_xlfn.NUMBERVALUE(MID(SUBSTITUTE(TRIM(E453),",","."),FIND(":",SUBSTITUTE(TRIM(E453),",","."))+1,99),"."),_xlfn.NUMBERVALUE(SUBSTITUTE(TRIM(E453),",","."),".")),0)))</f>
        <v/>
      </c>
    </row>
    <row r="454" customFormat="false" ht="15" hidden="false" customHeight="false" outlineLevel="0" collapsed="false">
      <c r="A454" s="5"/>
      <c r="B454" s="5"/>
      <c r="C454" s="5"/>
      <c r="D454" s="5"/>
      <c r="E454" s="13"/>
      <c r="F454" s="4" t="str">
        <f aca="false">IF(OR(G454="",H454="",N(G454)=0,N(H454)&lt;=0),"",ROUNDDOWN(1000*(G454/H454)^3,0))</f>
        <v/>
      </c>
      <c r="G454" s="11" t="str">
        <f aca="false">IF(D454="","",SUMIFS('Базовые времена'!$D$2:$D$71,'Базовые времена'!$A$2:$A$71,B454,'Базовые времена'!$B$2:$B$71,C454,'Базовые времена'!$C$2:$C$71,D454))</f>
        <v/>
      </c>
      <c r="H454" s="11" t="str">
        <f aca="false">IF(E454="","",IF(ISNUMBER(E454),IF(E454&lt;1,E454*86400,E454),IFERROR(IF(ISNUMBER(FIND(":",SUBSTITUTE(TRIM(E454),",","."))),VALUE(LEFT(SUBSTITUTE(TRIM(E454),",","."),FIND(":",SUBSTITUTE(TRIM(E454),",","."))-1))*60+_xlfn.NUMBERVALUE(MID(SUBSTITUTE(TRIM(E454),",","."),FIND(":",SUBSTITUTE(TRIM(E454),",","."))+1,99),"."),_xlfn.NUMBERVALUE(SUBSTITUTE(TRIM(E454),",","."),".")),0)))</f>
        <v/>
      </c>
    </row>
    <row r="455" customFormat="false" ht="15" hidden="false" customHeight="false" outlineLevel="0" collapsed="false">
      <c r="A455" s="5"/>
      <c r="B455" s="5"/>
      <c r="C455" s="5"/>
      <c r="D455" s="5"/>
      <c r="E455" s="13"/>
      <c r="F455" s="4" t="str">
        <f aca="false">IF(OR(G455="",H455="",N(G455)=0,N(H455)&lt;=0),"",ROUNDDOWN(1000*(G455/H455)^3,0))</f>
        <v/>
      </c>
      <c r="G455" s="11" t="str">
        <f aca="false">IF(D455="","",SUMIFS('Базовые времена'!$D$2:$D$71,'Базовые времена'!$A$2:$A$71,B455,'Базовые времена'!$B$2:$B$71,C455,'Базовые времена'!$C$2:$C$71,D455))</f>
        <v/>
      </c>
      <c r="H455" s="11" t="str">
        <f aca="false">IF(E455="","",IF(ISNUMBER(E455),IF(E455&lt;1,E455*86400,E455),IFERROR(IF(ISNUMBER(FIND(":",SUBSTITUTE(TRIM(E455),",","."))),VALUE(LEFT(SUBSTITUTE(TRIM(E455),",","."),FIND(":",SUBSTITUTE(TRIM(E455),",","."))-1))*60+_xlfn.NUMBERVALUE(MID(SUBSTITUTE(TRIM(E455),",","."),FIND(":",SUBSTITUTE(TRIM(E455),",","."))+1,99),"."),_xlfn.NUMBERVALUE(SUBSTITUTE(TRIM(E455),",","."),".")),0)))</f>
        <v/>
      </c>
    </row>
    <row r="456" customFormat="false" ht="15" hidden="false" customHeight="false" outlineLevel="0" collapsed="false">
      <c r="A456" s="5"/>
      <c r="B456" s="5"/>
      <c r="C456" s="5"/>
      <c r="D456" s="5"/>
      <c r="E456" s="13"/>
      <c r="F456" s="4" t="str">
        <f aca="false">IF(OR(G456="",H456="",N(G456)=0,N(H456)&lt;=0),"",ROUNDDOWN(1000*(G456/H456)^3,0))</f>
        <v/>
      </c>
      <c r="G456" s="11" t="str">
        <f aca="false">IF(D456="","",SUMIFS('Базовые времена'!$D$2:$D$71,'Базовые времена'!$A$2:$A$71,B456,'Базовые времена'!$B$2:$B$71,C456,'Базовые времена'!$C$2:$C$71,D456))</f>
        <v/>
      </c>
      <c r="H456" s="11" t="str">
        <f aca="false">IF(E456="","",IF(ISNUMBER(E456),IF(E456&lt;1,E456*86400,E456),IFERROR(IF(ISNUMBER(FIND(":",SUBSTITUTE(TRIM(E456),",","."))),VALUE(LEFT(SUBSTITUTE(TRIM(E456),",","."),FIND(":",SUBSTITUTE(TRIM(E456),",","."))-1))*60+_xlfn.NUMBERVALUE(MID(SUBSTITUTE(TRIM(E456),",","."),FIND(":",SUBSTITUTE(TRIM(E456),",","."))+1,99),"."),_xlfn.NUMBERVALUE(SUBSTITUTE(TRIM(E456),",","."),".")),0)))</f>
        <v/>
      </c>
    </row>
    <row r="457" customFormat="false" ht="15" hidden="false" customHeight="false" outlineLevel="0" collapsed="false">
      <c r="A457" s="5"/>
      <c r="B457" s="5"/>
      <c r="C457" s="5"/>
      <c r="D457" s="5"/>
      <c r="E457" s="13"/>
      <c r="F457" s="4" t="str">
        <f aca="false">IF(OR(G457="",H457="",N(G457)=0,N(H457)&lt;=0),"",ROUNDDOWN(1000*(G457/H457)^3,0))</f>
        <v/>
      </c>
      <c r="G457" s="11" t="str">
        <f aca="false">IF(D457="","",SUMIFS('Базовые времена'!$D$2:$D$71,'Базовые времена'!$A$2:$A$71,B457,'Базовые времена'!$B$2:$B$71,C457,'Базовые времена'!$C$2:$C$71,D457))</f>
        <v/>
      </c>
      <c r="H457" s="11" t="str">
        <f aca="false">IF(E457="","",IF(ISNUMBER(E457),IF(E457&lt;1,E457*86400,E457),IFERROR(IF(ISNUMBER(FIND(":",SUBSTITUTE(TRIM(E457),",","."))),VALUE(LEFT(SUBSTITUTE(TRIM(E457),",","."),FIND(":",SUBSTITUTE(TRIM(E457),",","."))-1))*60+_xlfn.NUMBERVALUE(MID(SUBSTITUTE(TRIM(E457),",","."),FIND(":",SUBSTITUTE(TRIM(E457),",","."))+1,99),"."),_xlfn.NUMBERVALUE(SUBSTITUTE(TRIM(E457),",","."),".")),0)))</f>
        <v/>
      </c>
    </row>
    <row r="458" customFormat="false" ht="15" hidden="false" customHeight="false" outlineLevel="0" collapsed="false">
      <c r="A458" s="5"/>
      <c r="B458" s="5"/>
      <c r="C458" s="5"/>
      <c r="D458" s="5"/>
      <c r="E458" s="13"/>
      <c r="F458" s="4" t="str">
        <f aca="false">IF(OR(G458="",H458="",N(G458)=0,N(H458)&lt;=0),"",ROUNDDOWN(1000*(G458/H458)^3,0))</f>
        <v/>
      </c>
      <c r="G458" s="11" t="str">
        <f aca="false">IF(D458="","",SUMIFS('Базовые времена'!$D$2:$D$71,'Базовые времена'!$A$2:$A$71,B458,'Базовые времена'!$B$2:$B$71,C458,'Базовые времена'!$C$2:$C$71,D458))</f>
        <v/>
      </c>
      <c r="H458" s="11" t="str">
        <f aca="false">IF(E458="","",IF(ISNUMBER(E458),IF(E458&lt;1,E458*86400,E458),IFERROR(IF(ISNUMBER(FIND(":",SUBSTITUTE(TRIM(E458),",","."))),VALUE(LEFT(SUBSTITUTE(TRIM(E458),",","."),FIND(":",SUBSTITUTE(TRIM(E458),",","."))-1))*60+_xlfn.NUMBERVALUE(MID(SUBSTITUTE(TRIM(E458),",","."),FIND(":",SUBSTITUTE(TRIM(E458),",","."))+1,99),"."),_xlfn.NUMBERVALUE(SUBSTITUTE(TRIM(E458),",","."),".")),0)))</f>
        <v/>
      </c>
    </row>
    <row r="459" customFormat="false" ht="15" hidden="false" customHeight="false" outlineLevel="0" collapsed="false">
      <c r="A459" s="5"/>
      <c r="B459" s="5"/>
      <c r="C459" s="5"/>
      <c r="D459" s="5"/>
      <c r="E459" s="13"/>
      <c r="F459" s="4" t="str">
        <f aca="false">IF(OR(G459="",H459="",N(G459)=0,N(H459)&lt;=0),"",ROUNDDOWN(1000*(G459/H459)^3,0))</f>
        <v/>
      </c>
      <c r="G459" s="11" t="str">
        <f aca="false">IF(D459="","",SUMIFS('Базовые времена'!$D$2:$D$71,'Базовые времена'!$A$2:$A$71,B459,'Базовые времена'!$B$2:$B$71,C459,'Базовые времена'!$C$2:$C$71,D459))</f>
        <v/>
      </c>
      <c r="H459" s="11" t="str">
        <f aca="false">IF(E459="","",IF(ISNUMBER(E459),IF(E459&lt;1,E459*86400,E459),IFERROR(IF(ISNUMBER(FIND(":",SUBSTITUTE(TRIM(E459),",","."))),VALUE(LEFT(SUBSTITUTE(TRIM(E459),",","."),FIND(":",SUBSTITUTE(TRIM(E459),",","."))-1))*60+_xlfn.NUMBERVALUE(MID(SUBSTITUTE(TRIM(E459),",","."),FIND(":",SUBSTITUTE(TRIM(E459),",","."))+1,99),"."),_xlfn.NUMBERVALUE(SUBSTITUTE(TRIM(E459),",","."),".")),0)))</f>
        <v/>
      </c>
    </row>
    <row r="460" customFormat="false" ht="15" hidden="false" customHeight="false" outlineLevel="0" collapsed="false">
      <c r="A460" s="5"/>
      <c r="B460" s="5"/>
      <c r="C460" s="5"/>
      <c r="D460" s="5"/>
      <c r="E460" s="13"/>
      <c r="F460" s="4" t="str">
        <f aca="false">IF(OR(G460="",H460="",N(G460)=0,N(H460)&lt;=0),"",ROUNDDOWN(1000*(G460/H460)^3,0))</f>
        <v/>
      </c>
      <c r="G460" s="11" t="str">
        <f aca="false">IF(D460="","",SUMIFS('Базовые времена'!$D$2:$D$71,'Базовые времена'!$A$2:$A$71,B460,'Базовые времена'!$B$2:$B$71,C460,'Базовые времена'!$C$2:$C$71,D460))</f>
        <v/>
      </c>
      <c r="H460" s="11" t="str">
        <f aca="false">IF(E460="","",IF(ISNUMBER(E460),IF(E460&lt;1,E460*86400,E460),IFERROR(IF(ISNUMBER(FIND(":",SUBSTITUTE(TRIM(E460),",","."))),VALUE(LEFT(SUBSTITUTE(TRIM(E460),",","."),FIND(":",SUBSTITUTE(TRIM(E460),",","."))-1))*60+_xlfn.NUMBERVALUE(MID(SUBSTITUTE(TRIM(E460),",","."),FIND(":",SUBSTITUTE(TRIM(E460),",","."))+1,99),"."),_xlfn.NUMBERVALUE(SUBSTITUTE(TRIM(E460),",","."),".")),0)))</f>
        <v/>
      </c>
    </row>
    <row r="461" customFormat="false" ht="15" hidden="false" customHeight="false" outlineLevel="0" collapsed="false">
      <c r="A461" s="5"/>
      <c r="B461" s="5"/>
      <c r="C461" s="5"/>
      <c r="D461" s="5"/>
      <c r="E461" s="13"/>
      <c r="F461" s="4" t="str">
        <f aca="false">IF(OR(G461="",H461="",N(G461)=0,N(H461)&lt;=0),"",ROUNDDOWN(1000*(G461/H461)^3,0))</f>
        <v/>
      </c>
      <c r="G461" s="11" t="str">
        <f aca="false">IF(D461="","",SUMIFS('Базовые времена'!$D$2:$D$71,'Базовые времена'!$A$2:$A$71,B461,'Базовые времена'!$B$2:$B$71,C461,'Базовые времена'!$C$2:$C$71,D461))</f>
        <v/>
      </c>
      <c r="H461" s="11" t="str">
        <f aca="false">IF(E461="","",IF(ISNUMBER(E461),IF(E461&lt;1,E461*86400,E461),IFERROR(IF(ISNUMBER(FIND(":",SUBSTITUTE(TRIM(E461),",","."))),VALUE(LEFT(SUBSTITUTE(TRIM(E461),",","."),FIND(":",SUBSTITUTE(TRIM(E461),",","."))-1))*60+_xlfn.NUMBERVALUE(MID(SUBSTITUTE(TRIM(E461),",","."),FIND(":",SUBSTITUTE(TRIM(E461),",","."))+1,99),"."),_xlfn.NUMBERVALUE(SUBSTITUTE(TRIM(E461),",","."),".")),0)))</f>
        <v/>
      </c>
    </row>
    <row r="462" customFormat="false" ht="15" hidden="false" customHeight="false" outlineLevel="0" collapsed="false">
      <c r="A462" s="5"/>
      <c r="B462" s="5"/>
      <c r="C462" s="5"/>
      <c r="D462" s="5"/>
      <c r="E462" s="13"/>
      <c r="F462" s="4" t="str">
        <f aca="false">IF(OR(G462="",H462="",N(G462)=0,N(H462)&lt;=0),"",ROUNDDOWN(1000*(G462/H462)^3,0))</f>
        <v/>
      </c>
      <c r="G462" s="11" t="str">
        <f aca="false">IF(D462="","",SUMIFS('Базовые времена'!$D$2:$D$71,'Базовые времена'!$A$2:$A$71,B462,'Базовые времена'!$B$2:$B$71,C462,'Базовые времена'!$C$2:$C$71,D462))</f>
        <v/>
      </c>
      <c r="H462" s="11" t="str">
        <f aca="false">IF(E462="","",IF(ISNUMBER(E462),IF(E462&lt;1,E462*86400,E462),IFERROR(IF(ISNUMBER(FIND(":",SUBSTITUTE(TRIM(E462),",","."))),VALUE(LEFT(SUBSTITUTE(TRIM(E462),",","."),FIND(":",SUBSTITUTE(TRIM(E462),",","."))-1))*60+_xlfn.NUMBERVALUE(MID(SUBSTITUTE(TRIM(E462),",","."),FIND(":",SUBSTITUTE(TRIM(E462),",","."))+1,99),"."),_xlfn.NUMBERVALUE(SUBSTITUTE(TRIM(E462),",","."),".")),0)))</f>
        <v/>
      </c>
    </row>
    <row r="463" customFormat="false" ht="15" hidden="false" customHeight="false" outlineLevel="0" collapsed="false">
      <c r="A463" s="5"/>
      <c r="B463" s="5"/>
      <c r="C463" s="5"/>
      <c r="D463" s="5"/>
      <c r="E463" s="13"/>
      <c r="F463" s="4" t="str">
        <f aca="false">IF(OR(G463="",H463="",N(G463)=0,N(H463)&lt;=0),"",ROUNDDOWN(1000*(G463/H463)^3,0))</f>
        <v/>
      </c>
      <c r="G463" s="11" t="str">
        <f aca="false">IF(D463="","",SUMIFS('Базовые времена'!$D$2:$D$71,'Базовые времена'!$A$2:$A$71,B463,'Базовые времена'!$B$2:$B$71,C463,'Базовые времена'!$C$2:$C$71,D463))</f>
        <v/>
      </c>
      <c r="H463" s="11" t="str">
        <f aca="false">IF(E463="","",IF(ISNUMBER(E463),IF(E463&lt;1,E463*86400,E463),IFERROR(IF(ISNUMBER(FIND(":",SUBSTITUTE(TRIM(E463),",","."))),VALUE(LEFT(SUBSTITUTE(TRIM(E463),",","."),FIND(":",SUBSTITUTE(TRIM(E463),",","."))-1))*60+_xlfn.NUMBERVALUE(MID(SUBSTITUTE(TRIM(E463),",","."),FIND(":",SUBSTITUTE(TRIM(E463),",","."))+1,99),"."),_xlfn.NUMBERVALUE(SUBSTITUTE(TRIM(E463),",","."),".")),0)))</f>
        <v/>
      </c>
    </row>
    <row r="464" customFormat="false" ht="15" hidden="false" customHeight="false" outlineLevel="0" collapsed="false">
      <c r="A464" s="5"/>
      <c r="B464" s="5"/>
      <c r="C464" s="5"/>
      <c r="D464" s="5"/>
      <c r="E464" s="13"/>
      <c r="F464" s="4" t="str">
        <f aca="false">IF(OR(G464="",H464="",N(G464)=0,N(H464)&lt;=0),"",ROUNDDOWN(1000*(G464/H464)^3,0))</f>
        <v/>
      </c>
      <c r="G464" s="11" t="str">
        <f aca="false">IF(D464="","",SUMIFS('Базовые времена'!$D$2:$D$71,'Базовые времена'!$A$2:$A$71,B464,'Базовые времена'!$B$2:$B$71,C464,'Базовые времена'!$C$2:$C$71,D464))</f>
        <v/>
      </c>
      <c r="H464" s="11" t="str">
        <f aca="false">IF(E464="","",IF(ISNUMBER(E464),IF(E464&lt;1,E464*86400,E464),IFERROR(IF(ISNUMBER(FIND(":",SUBSTITUTE(TRIM(E464),",","."))),VALUE(LEFT(SUBSTITUTE(TRIM(E464),",","."),FIND(":",SUBSTITUTE(TRIM(E464),",","."))-1))*60+_xlfn.NUMBERVALUE(MID(SUBSTITUTE(TRIM(E464),",","."),FIND(":",SUBSTITUTE(TRIM(E464),",","."))+1,99),"."),_xlfn.NUMBERVALUE(SUBSTITUTE(TRIM(E464),",","."),".")),0)))</f>
        <v/>
      </c>
    </row>
    <row r="465" customFormat="false" ht="15" hidden="false" customHeight="false" outlineLevel="0" collapsed="false">
      <c r="A465" s="5"/>
      <c r="B465" s="5"/>
      <c r="C465" s="5"/>
      <c r="D465" s="5"/>
      <c r="E465" s="13"/>
      <c r="F465" s="4" t="str">
        <f aca="false">IF(OR(G465="",H465="",N(G465)=0,N(H465)&lt;=0),"",ROUNDDOWN(1000*(G465/H465)^3,0))</f>
        <v/>
      </c>
      <c r="G465" s="11" t="str">
        <f aca="false">IF(D465="","",SUMIFS('Базовые времена'!$D$2:$D$71,'Базовые времена'!$A$2:$A$71,B465,'Базовые времена'!$B$2:$B$71,C465,'Базовые времена'!$C$2:$C$71,D465))</f>
        <v/>
      </c>
      <c r="H465" s="11" t="str">
        <f aca="false">IF(E465="","",IF(ISNUMBER(E465),IF(E465&lt;1,E465*86400,E465),IFERROR(IF(ISNUMBER(FIND(":",SUBSTITUTE(TRIM(E465),",","."))),VALUE(LEFT(SUBSTITUTE(TRIM(E465),",","."),FIND(":",SUBSTITUTE(TRIM(E465),",","."))-1))*60+_xlfn.NUMBERVALUE(MID(SUBSTITUTE(TRIM(E465),",","."),FIND(":",SUBSTITUTE(TRIM(E465),",","."))+1,99),"."),_xlfn.NUMBERVALUE(SUBSTITUTE(TRIM(E465),",","."),".")),0)))</f>
        <v/>
      </c>
    </row>
    <row r="466" customFormat="false" ht="15" hidden="false" customHeight="false" outlineLevel="0" collapsed="false">
      <c r="A466" s="5"/>
      <c r="B466" s="5"/>
      <c r="C466" s="5"/>
      <c r="D466" s="5"/>
      <c r="E466" s="13"/>
      <c r="F466" s="4" t="str">
        <f aca="false">IF(OR(G466="",H466="",N(G466)=0,N(H466)&lt;=0),"",ROUNDDOWN(1000*(G466/H466)^3,0))</f>
        <v/>
      </c>
      <c r="G466" s="11" t="str">
        <f aca="false">IF(D466="","",SUMIFS('Базовые времена'!$D$2:$D$71,'Базовые времена'!$A$2:$A$71,B466,'Базовые времена'!$B$2:$B$71,C466,'Базовые времена'!$C$2:$C$71,D466))</f>
        <v/>
      </c>
      <c r="H466" s="11" t="str">
        <f aca="false">IF(E466="","",IF(ISNUMBER(E466),IF(E466&lt;1,E466*86400,E466),IFERROR(IF(ISNUMBER(FIND(":",SUBSTITUTE(TRIM(E466),",","."))),VALUE(LEFT(SUBSTITUTE(TRIM(E466),",","."),FIND(":",SUBSTITUTE(TRIM(E466),",","."))-1))*60+_xlfn.NUMBERVALUE(MID(SUBSTITUTE(TRIM(E466),",","."),FIND(":",SUBSTITUTE(TRIM(E466),",","."))+1,99),"."),_xlfn.NUMBERVALUE(SUBSTITUTE(TRIM(E466),",","."),".")),0)))</f>
        <v/>
      </c>
    </row>
    <row r="467" customFormat="false" ht="15" hidden="false" customHeight="false" outlineLevel="0" collapsed="false">
      <c r="A467" s="5"/>
      <c r="B467" s="5"/>
      <c r="C467" s="5"/>
      <c r="D467" s="5"/>
      <c r="E467" s="13"/>
      <c r="F467" s="4" t="str">
        <f aca="false">IF(OR(G467="",H467="",N(G467)=0,N(H467)&lt;=0),"",ROUNDDOWN(1000*(G467/H467)^3,0))</f>
        <v/>
      </c>
      <c r="G467" s="11" t="str">
        <f aca="false">IF(D467="","",SUMIFS('Базовые времена'!$D$2:$D$71,'Базовые времена'!$A$2:$A$71,B467,'Базовые времена'!$B$2:$B$71,C467,'Базовые времена'!$C$2:$C$71,D467))</f>
        <v/>
      </c>
      <c r="H467" s="11" t="str">
        <f aca="false">IF(E467="","",IF(ISNUMBER(E467),IF(E467&lt;1,E467*86400,E467),IFERROR(IF(ISNUMBER(FIND(":",SUBSTITUTE(TRIM(E467),",","."))),VALUE(LEFT(SUBSTITUTE(TRIM(E467),",","."),FIND(":",SUBSTITUTE(TRIM(E467),",","."))-1))*60+_xlfn.NUMBERVALUE(MID(SUBSTITUTE(TRIM(E467),",","."),FIND(":",SUBSTITUTE(TRIM(E467),",","."))+1,99),"."),_xlfn.NUMBERVALUE(SUBSTITUTE(TRIM(E467),",","."),".")),0)))</f>
        <v/>
      </c>
    </row>
    <row r="468" customFormat="false" ht="15" hidden="false" customHeight="false" outlineLevel="0" collapsed="false">
      <c r="A468" s="5"/>
      <c r="B468" s="5"/>
      <c r="C468" s="5"/>
      <c r="D468" s="5"/>
      <c r="E468" s="13"/>
      <c r="F468" s="4" t="str">
        <f aca="false">IF(OR(G468="",H468="",N(G468)=0,N(H468)&lt;=0),"",ROUNDDOWN(1000*(G468/H468)^3,0))</f>
        <v/>
      </c>
      <c r="G468" s="11" t="str">
        <f aca="false">IF(D468="","",SUMIFS('Базовые времена'!$D$2:$D$71,'Базовые времена'!$A$2:$A$71,B468,'Базовые времена'!$B$2:$B$71,C468,'Базовые времена'!$C$2:$C$71,D468))</f>
        <v/>
      </c>
      <c r="H468" s="11" t="str">
        <f aca="false">IF(E468="","",IF(ISNUMBER(E468),IF(E468&lt;1,E468*86400,E468),IFERROR(IF(ISNUMBER(FIND(":",SUBSTITUTE(TRIM(E468),",","."))),VALUE(LEFT(SUBSTITUTE(TRIM(E468),",","."),FIND(":",SUBSTITUTE(TRIM(E468),",","."))-1))*60+_xlfn.NUMBERVALUE(MID(SUBSTITUTE(TRIM(E468),",","."),FIND(":",SUBSTITUTE(TRIM(E468),",","."))+1,99),"."),_xlfn.NUMBERVALUE(SUBSTITUTE(TRIM(E468),",","."),".")),0)))</f>
        <v/>
      </c>
    </row>
    <row r="469" customFormat="false" ht="15" hidden="false" customHeight="false" outlineLevel="0" collapsed="false">
      <c r="A469" s="5"/>
      <c r="B469" s="5"/>
      <c r="C469" s="5"/>
      <c r="D469" s="5"/>
      <c r="E469" s="13"/>
      <c r="F469" s="4" t="str">
        <f aca="false">IF(OR(G469="",H469="",N(G469)=0,N(H469)&lt;=0),"",ROUNDDOWN(1000*(G469/H469)^3,0))</f>
        <v/>
      </c>
      <c r="G469" s="11" t="str">
        <f aca="false">IF(D469="","",SUMIFS('Базовые времена'!$D$2:$D$71,'Базовые времена'!$A$2:$A$71,B469,'Базовые времена'!$B$2:$B$71,C469,'Базовые времена'!$C$2:$C$71,D469))</f>
        <v/>
      </c>
      <c r="H469" s="11" t="str">
        <f aca="false">IF(E469="","",IF(ISNUMBER(E469),IF(E469&lt;1,E469*86400,E469),IFERROR(IF(ISNUMBER(FIND(":",SUBSTITUTE(TRIM(E469),",","."))),VALUE(LEFT(SUBSTITUTE(TRIM(E469),",","."),FIND(":",SUBSTITUTE(TRIM(E469),",","."))-1))*60+_xlfn.NUMBERVALUE(MID(SUBSTITUTE(TRIM(E469),",","."),FIND(":",SUBSTITUTE(TRIM(E469),",","."))+1,99),"."),_xlfn.NUMBERVALUE(SUBSTITUTE(TRIM(E469),",","."),".")),0)))</f>
        <v/>
      </c>
    </row>
    <row r="470" customFormat="false" ht="15" hidden="false" customHeight="false" outlineLevel="0" collapsed="false">
      <c r="A470" s="5"/>
      <c r="B470" s="5"/>
      <c r="C470" s="5"/>
      <c r="D470" s="5"/>
      <c r="E470" s="13"/>
      <c r="F470" s="4" t="str">
        <f aca="false">IF(OR(G470="",H470="",N(G470)=0,N(H470)&lt;=0),"",ROUNDDOWN(1000*(G470/H470)^3,0))</f>
        <v/>
      </c>
      <c r="G470" s="11" t="str">
        <f aca="false">IF(D470="","",SUMIFS('Базовые времена'!$D$2:$D$71,'Базовые времена'!$A$2:$A$71,B470,'Базовые времена'!$B$2:$B$71,C470,'Базовые времена'!$C$2:$C$71,D470))</f>
        <v/>
      </c>
      <c r="H470" s="11" t="str">
        <f aca="false">IF(E470="","",IF(ISNUMBER(E470),IF(E470&lt;1,E470*86400,E470),IFERROR(IF(ISNUMBER(FIND(":",SUBSTITUTE(TRIM(E470),",","."))),VALUE(LEFT(SUBSTITUTE(TRIM(E470),",","."),FIND(":",SUBSTITUTE(TRIM(E470),",","."))-1))*60+_xlfn.NUMBERVALUE(MID(SUBSTITUTE(TRIM(E470),",","."),FIND(":",SUBSTITUTE(TRIM(E470),",","."))+1,99),"."),_xlfn.NUMBERVALUE(SUBSTITUTE(TRIM(E470),",","."),".")),0)))</f>
        <v/>
      </c>
    </row>
    <row r="471" customFormat="false" ht="15" hidden="false" customHeight="false" outlineLevel="0" collapsed="false">
      <c r="A471" s="5"/>
      <c r="B471" s="5"/>
      <c r="C471" s="5"/>
      <c r="D471" s="5"/>
      <c r="E471" s="13"/>
      <c r="F471" s="4" t="str">
        <f aca="false">IF(OR(G471="",H471="",N(G471)=0,N(H471)&lt;=0),"",ROUNDDOWN(1000*(G471/H471)^3,0))</f>
        <v/>
      </c>
      <c r="G471" s="11" t="str">
        <f aca="false">IF(D471="","",SUMIFS('Базовые времена'!$D$2:$D$71,'Базовые времена'!$A$2:$A$71,B471,'Базовые времена'!$B$2:$B$71,C471,'Базовые времена'!$C$2:$C$71,D471))</f>
        <v/>
      </c>
      <c r="H471" s="11" t="str">
        <f aca="false">IF(E471="","",IF(ISNUMBER(E471),IF(E471&lt;1,E471*86400,E471),IFERROR(IF(ISNUMBER(FIND(":",SUBSTITUTE(TRIM(E471),",","."))),VALUE(LEFT(SUBSTITUTE(TRIM(E471),",","."),FIND(":",SUBSTITUTE(TRIM(E471),",","."))-1))*60+_xlfn.NUMBERVALUE(MID(SUBSTITUTE(TRIM(E471),",","."),FIND(":",SUBSTITUTE(TRIM(E471),",","."))+1,99),"."),_xlfn.NUMBERVALUE(SUBSTITUTE(TRIM(E471),",","."),".")),0)))</f>
        <v/>
      </c>
    </row>
    <row r="472" customFormat="false" ht="15" hidden="false" customHeight="false" outlineLevel="0" collapsed="false">
      <c r="A472" s="5"/>
      <c r="B472" s="5"/>
      <c r="C472" s="5"/>
      <c r="D472" s="5"/>
      <c r="E472" s="13"/>
      <c r="F472" s="4" t="str">
        <f aca="false">IF(OR(G472="",H472="",N(G472)=0,N(H472)&lt;=0),"",ROUNDDOWN(1000*(G472/H472)^3,0))</f>
        <v/>
      </c>
      <c r="G472" s="11" t="str">
        <f aca="false">IF(D472="","",SUMIFS('Базовые времена'!$D$2:$D$71,'Базовые времена'!$A$2:$A$71,B472,'Базовые времена'!$B$2:$B$71,C472,'Базовые времена'!$C$2:$C$71,D472))</f>
        <v/>
      </c>
      <c r="H472" s="11" t="str">
        <f aca="false">IF(E472="","",IF(ISNUMBER(E472),IF(E472&lt;1,E472*86400,E472),IFERROR(IF(ISNUMBER(FIND(":",SUBSTITUTE(TRIM(E472),",","."))),VALUE(LEFT(SUBSTITUTE(TRIM(E472),",","."),FIND(":",SUBSTITUTE(TRIM(E472),",","."))-1))*60+_xlfn.NUMBERVALUE(MID(SUBSTITUTE(TRIM(E472),",","."),FIND(":",SUBSTITUTE(TRIM(E472),",","."))+1,99),"."),_xlfn.NUMBERVALUE(SUBSTITUTE(TRIM(E472),",","."),".")),0)))</f>
        <v/>
      </c>
    </row>
    <row r="473" customFormat="false" ht="15" hidden="false" customHeight="false" outlineLevel="0" collapsed="false">
      <c r="A473" s="5"/>
      <c r="B473" s="5"/>
      <c r="C473" s="5"/>
      <c r="D473" s="5"/>
      <c r="E473" s="13"/>
      <c r="F473" s="4" t="str">
        <f aca="false">IF(OR(G473="",H473="",N(G473)=0,N(H473)&lt;=0),"",ROUNDDOWN(1000*(G473/H473)^3,0))</f>
        <v/>
      </c>
      <c r="G473" s="11" t="str">
        <f aca="false">IF(D473="","",SUMIFS('Базовые времена'!$D$2:$D$71,'Базовые времена'!$A$2:$A$71,B473,'Базовые времена'!$B$2:$B$71,C473,'Базовые времена'!$C$2:$C$71,D473))</f>
        <v/>
      </c>
      <c r="H473" s="11" t="str">
        <f aca="false">IF(E473="","",IF(ISNUMBER(E473),IF(E473&lt;1,E473*86400,E473),IFERROR(IF(ISNUMBER(FIND(":",SUBSTITUTE(TRIM(E473),",","."))),VALUE(LEFT(SUBSTITUTE(TRIM(E473),",","."),FIND(":",SUBSTITUTE(TRIM(E473),",","."))-1))*60+_xlfn.NUMBERVALUE(MID(SUBSTITUTE(TRIM(E473),",","."),FIND(":",SUBSTITUTE(TRIM(E473),",","."))+1,99),"."),_xlfn.NUMBERVALUE(SUBSTITUTE(TRIM(E473),",","."),".")),0)))</f>
        <v/>
      </c>
    </row>
    <row r="474" customFormat="false" ht="15" hidden="false" customHeight="false" outlineLevel="0" collapsed="false">
      <c r="A474" s="5"/>
      <c r="B474" s="5"/>
      <c r="C474" s="5"/>
      <c r="D474" s="5"/>
      <c r="E474" s="13"/>
      <c r="F474" s="4" t="str">
        <f aca="false">IF(OR(G474="",H474="",N(G474)=0,N(H474)&lt;=0),"",ROUNDDOWN(1000*(G474/H474)^3,0))</f>
        <v/>
      </c>
      <c r="G474" s="11" t="str">
        <f aca="false">IF(D474="","",SUMIFS('Базовые времена'!$D$2:$D$71,'Базовые времена'!$A$2:$A$71,B474,'Базовые времена'!$B$2:$B$71,C474,'Базовые времена'!$C$2:$C$71,D474))</f>
        <v/>
      </c>
      <c r="H474" s="11" t="str">
        <f aca="false">IF(E474="","",IF(ISNUMBER(E474),IF(E474&lt;1,E474*86400,E474),IFERROR(IF(ISNUMBER(FIND(":",SUBSTITUTE(TRIM(E474),",","."))),VALUE(LEFT(SUBSTITUTE(TRIM(E474),",","."),FIND(":",SUBSTITUTE(TRIM(E474),",","."))-1))*60+_xlfn.NUMBERVALUE(MID(SUBSTITUTE(TRIM(E474),",","."),FIND(":",SUBSTITUTE(TRIM(E474),",","."))+1,99),"."),_xlfn.NUMBERVALUE(SUBSTITUTE(TRIM(E474),",","."),".")),0)))</f>
        <v/>
      </c>
    </row>
    <row r="475" customFormat="false" ht="15" hidden="false" customHeight="false" outlineLevel="0" collapsed="false">
      <c r="A475" s="5"/>
      <c r="B475" s="5"/>
      <c r="C475" s="5"/>
      <c r="D475" s="5"/>
      <c r="E475" s="13"/>
      <c r="F475" s="4" t="str">
        <f aca="false">IF(OR(G475="",H475="",N(G475)=0,N(H475)&lt;=0),"",ROUNDDOWN(1000*(G475/H475)^3,0))</f>
        <v/>
      </c>
      <c r="G475" s="11" t="str">
        <f aca="false">IF(D475="","",SUMIFS('Базовые времена'!$D$2:$D$71,'Базовые времена'!$A$2:$A$71,B475,'Базовые времена'!$B$2:$B$71,C475,'Базовые времена'!$C$2:$C$71,D475))</f>
        <v/>
      </c>
      <c r="H475" s="11" t="str">
        <f aca="false">IF(E475="","",IF(ISNUMBER(E475),IF(E475&lt;1,E475*86400,E475),IFERROR(IF(ISNUMBER(FIND(":",SUBSTITUTE(TRIM(E475),",","."))),VALUE(LEFT(SUBSTITUTE(TRIM(E475),",","."),FIND(":",SUBSTITUTE(TRIM(E475),",","."))-1))*60+_xlfn.NUMBERVALUE(MID(SUBSTITUTE(TRIM(E475),",","."),FIND(":",SUBSTITUTE(TRIM(E475),",","."))+1,99),"."),_xlfn.NUMBERVALUE(SUBSTITUTE(TRIM(E475),",","."),".")),0)))</f>
        <v/>
      </c>
    </row>
    <row r="476" customFormat="false" ht="15" hidden="false" customHeight="false" outlineLevel="0" collapsed="false">
      <c r="A476" s="5"/>
      <c r="B476" s="5"/>
      <c r="C476" s="5"/>
      <c r="D476" s="5"/>
      <c r="E476" s="13"/>
      <c r="F476" s="4" t="str">
        <f aca="false">IF(OR(G476="",H476="",N(G476)=0,N(H476)&lt;=0),"",ROUNDDOWN(1000*(G476/H476)^3,0))</f>
        <v/>
      </c>
      <c r="G476" s="11" t="str">
        <f aca="false">IF(D476="","",SUMIFS('Базовые времена'!$D$2:$D$71,'Базовые времена'!$A$2:$A$71,B476,'Базовые времена'!$B$2:$B$71,C476,'Базовые времена'!$C$2:$C$71,D476))</f>
        <v/>
      </c>
      <c r="H476" s="11" t="str">
        <f aca="false">IF(E476="","",IF(ISNUMBER(E476),IF(E476&lt;1,E476*86400,E476),IFERROR(IF(ISNUMBER(FIND(":",SUBSTITUTE(TRIM(E476),",","."))),VALUE(LEFT(SUBSTITUTE(TRIM(E476),",","."),FIND(":",SUBSTITUTE(TRIM(E476),",","."))-1))*60+_xlfn.NUMBERVALUE(MID(SUBSTITUTE(TRIM(E476),",","."),FIND(":",SUBSTITUTE(TRIM(E476),",","."))+1,99),"."),_xlfn.NUMBERVALUE(SUBSTITUTE(TRIM(E476),",","."),".")),0)))</f>
        <v/>
      </c>
    </row>
    <row r="477" customFormat="false" ht="15" hidden="false" customHeight="false" outlineLevel="0" collapsed="false">
      <c r="A477" s="5"/>
      <c r="B477" s="5"/>
      <c r="C477" s="5"/>
      <c r="D477" s="5"/>
      <c r="E477" s="13"/>
      <c r="F477" s="4" t="str">
        <f aca="false">IF(OR(G477="",H477="",N(G477)=0,N(H477)&lt;=0),"",ROUNDDOWN(1000*(G477/H477)^3,0))</f>
        <v/>
      </c>
      <c r="G477" s="11" t="str">
        <f aca="false">IF(D477="","",SUMIFS('Базовые времена'!$D$2:$D$71,'Базовые времена'!$A$2:$A$71,B477,'Базовые времена'!$B$2:$B$71,C477,'Базовые времена'!$C$2:$C$71,D477))</f>
        <v/>
      </c>
      <c r="H477" s="11" t="str">
        <f aca="false">IF(E477="","",IF(ISNUMBER(E477),IF(E477&lt;1,E477*86400,E477),IFERROR(IF(ISNUMBER(FIND(":",SUBSTITUTE(TRIM(E477),",","."))),VALUE(LEFT(SUBSTITUTE(TRIM(E477),",","."),FIND(":",SUBSTITUTE(TRIM(E477),",","."))-1))*60+_xlfn.NUMBERVALUE(MID(SUBSTITUTE(TRIM(E477),",","."),FIND(":",SUBSTITUTE(TRIM(E477),",","."))+1,99),"."),_xlfn.NUMBERVALUE(SUBSTITUTE(TRIM(E477),",","."),".")),0)))</f>
        <v/>
      </c>
    </row>
    <row r="478" customFormat="false" ht="15" hidden="false" customHeight="false" outlineLevel="0" collapsed="false">
      <c r="A478" s="5"/>
      <c r="B478" s="5"/>
      <c r="C478" s="5"/>
      <c r="D478" s="5"/>
      <c r="E478" s="13"/>
      <c r="F478" s="4" t="str">
        <f aca="false">IF(OR(G478="",H478="",N(G478)=0,N(H478)&lt;=0),"",ROUNDDOWN(1000*(G478/H478)^3,0))</f>
        <v/>
      </c>
      <c r="G478" s="11" t="str">
        <f aca="false">IF(D478="","",SUMIFS('Базовые времена'!$D$2:$D$71,'Базовые времена'!$A$2:$A$71,B478,'Базовые времена'!$B$2:$B$71,C478,'Базовые времена'!$C$2:$C$71,D478))</f>
        <v/>
      </c>
      <c r="H478" s="11" t="str">
        <f aca="false">IF(E478="","",IF(ISNUMBER(E478),IF(E478&lt;1,E478*86400,E478),IFERROR(IF(ISNUMBER(FIND(":",SUBSTITUTE(TRIM(E478),",","."))),VALUE(LEFT(SUBSTITUTE(TRIM(E478),",","."),FIND(":",SUBSTITUTE(TRIM(E478),",","."))-1))*60+_xlfn.NUMBERVALUE(MID(SUBSTITUTE(TRIM(E478),",","."),FIND(":",SUBSTITUTE(TRIM(E478),",","."))+1,99),"."),_xlfn.NUMBERVALUE(SUBSTITUTE(TRIM(E478),",","."),".")),0)))</f>
        <v/>
      </c>
    </row>
    <row r="479" customFormat="false" ht="15" hidden="false" customHeight="false" outlineLevel="0" collapsed="false">
      <c r="A479" s="5"/>
      <c r="B479" s="5"/>
      <c r="C479" s="5"/>
      <c r="D479" s="5"/>
      <c r="E479" s="13"/>
      <c r="F479" s="4" t="str">
        <f aca="false">IF(OR(G479="",H479="",N(G479)=0,N(H479)&lt;=0),"",ROUNDDOWN(1000*(G479/H479)^3,0))</f>
        <v/>
      </c>
      <c r="G479" s="11" t="str">
        <f aca="false">IF(D479="","",SUMIFS('Базовые времена'!$D$2:$D$71,'Базовые времена'!$A$2:$A$71,B479,'Базовые времена'!$B$2:$B$71,C479,'Базовые времена'!$C$2:$C$71,D479))</f>
        <v/>
      </c>
      <c r="H479" s="11" t="str">
        <f aca="false">IF(E479="","",IF(ISNUMBER(E479),IF(E479&lt;1,E479*86400,E479),IFERROR(IF(ISNUMBER(FIND(":",SUBSTITUTE(TRIM(E479),",","."))),VALUE(LEFT(SUBSTITUTE(TRIM(E479),",","."),FIND(":",SUBSTITUTE(TRIM(E479),",","."))-1))*60+_xlfn.NUMBERVALUE(MID(SUBSTITUTE(TRIM(E479),",","."),FIND(":",SUBSTITUTE(TRIM(E479),",","."))+1,99),"."),_xlfn.NUMBERVALUE(SUBSTITUTE(TRIM(E479),",","."),".")),0)))</f>
        <v/>
      </c>
    </row>
    <row r="480" customFormat="false" ht="15" hidden="false" customHeight="false" outlineLevel="0" collapsed="false">
      <c r="A480" s="5"/>
      <c r="B480" s="5"/>
      <c r="C480" s="5"/>
      <c r="D480" s="5"/>
      <c r="E480" s="13"/>
      <c r="F480" s="4" t="str">
        <f aca="false">IF(OR(G480="",H480="",N(G480)=0,N(H480)&lt;=0),"",ROUNDDOWN(1000*(G480/H480)^3,0))</f>
        <v/>
      </c>
      <c r="G480" s="11" t="str">
        <f aca="false">IF(D480="","",SUMIFS('Базовые времена'!$D$2:$D$71,'Базовые времена'!$A$2:$A$71,B480,'Базовые времена'!$B$2:$B$71,C480,'Базовые времена'!$C$2:$C$71,D480))</f>
        <v/>
      </c>
      <c r="H480" s="11" t="str">
        <f aca="false">IF(E480="","",IF(ISNUMBER(E480),IF(E480&lt;1,E480*86400,E480),IFERROR(IF(ISNUMBER(FIND(":",SUBSTITUTE(TRIM(E480),",","."))),VALUE(LEFT(SUBSTITUTE(TRIM(E480),",","."),FIND(":",SUBSTITUTE(TRIM(E480),",","."))-1))*60+_xlfn.NUMBERVALUE(MID(SUBSTITUTE(TRIM(E480),",","."),FIND(":",SUBSTITUTE(TRIM(E480),",","."))+1,99),"."),_xlfn.NUMBERVALUE(SUBSTITUTE(TRIM(E480),",","."),".")),0)))</f>
        <v/>
      </c>
    </row>
    <row r="481" customFormat="false" ht="15" hidden="false" customHeight="false" outlineLevel="0" collapsed="false">
      <c r="A481" s="5"/>
      <c r="B481" s="5"/>
      <c r="C481" s="5"/>
      <c r="D481" s="5"/>
      <c r="E481" s="13"/>
      <c r="F481" s="4" t="str">
        <f aca="false">IF(OR(G481="",H481="",N(G481)=0,N(H481)&lt;=0),"",ROUNDDOWN(1000*(G481/H481)^3,0))</f>
        <v/>
      </c>
      <c r="G481" s="11" t="str">
        <f aca="false">IF(D481="","",SUMIFS('Базовые времена'!$D$2:$D$71,'Базовые времена'!$A$2:$A$71,B481,'Базовые времена'!$B$2:$B$71,C481,'Базовые времена'!$C$2:$C$71,D481))</f>
        <v/>
      </c>
      <c r="H481" s="11" t="str">
        <f aca="false">IF(E481="","",IF(ISNUMBER(E481),IF(E481&lt;1,E481*86400,E481),IFERROR(IF(ISNUMBER(FIND(":",SUBSTITUTE(TRIM(E481),",","."))),VALUE(LEFT(SUBSTITUTE(TRIM(E481),",","."),FIND(":",SUBSTITUTE(TRIM(E481),",","."))-1))*60+_xlfn.NUMBERVALUE(MID(SUBSTITUTE(TRIM(E481),",","."),FIND(":",SUBSTITUTE(TRIM(E481),",","."))+1,99),"."),_xlfn.NUMBERVALUE(SUBSTITUTE(TRIM(E481),",","."),".")),0)))</f>
        <v/>
      </c>
    </row>
    <row r="482" customFormat="false" ht="15" hidden="false" customHeight="false" outlineLevel="0" collapsed="false">
      <c r="A482" s="5"/>
      <c r="B482" s="5"/>
      <c r="C482" s="5"/>
      <c r="D482" s="5"/>
      <c r="E482" s="13"/>
      <c r="F482" s="4" t="str">
        <f aca="false">IF(OR(G482="",H482="",N(G482)=0,N(H482)&lt;=0),"",ROUNDDOWN(1000*(G482/H482)^3,0))</f>
        <v/>
      </c>
      <c r="G482" s="11" t="str">
        <f aca="false">IF(D482="","",SUMIFS('Базовые времена'!$D$2:$D$71,'Базовые времена'!$A$2:$A$71,B482,'Базовые времена'!$B$2:$B$71,C482,'Базовые времена'!$C$2:$C$71,D482))</f>
        <v/>
      </c>
      <c r="H482" s="11" t="str">
        <f aca="false">IF(E482="","",IF(ISNUMBER(E482),IF(E482&lt;1,E482*86400,E482),IFERROR(IF(ISNUMBER(FIND(":",SUBSTITUTE(TRIM(E482),",","."))),VALUE(LEFT(SUBSTITUTE(TRIM(E482),",","."),FIND(":",SUBSTITUTE(TRIM(E482),",","."))-1))*60+_xlfn.NUMBERVALUE(MID(SUBSTITUTE(TRIM(E482),",","."),FIND(":",SUBSTITUTE(TRIM(E482),",","."))+1,99),"."),_xlfn.NUMBERVALUE(SUBSTITUTE(TRIM(E482),",","."),".")),0)))</f>
        <v/>
      </c>
    </row>
    <row r="483" customFormat="false" ht="15" hidden="false" customHeight="false" outlineLevel="0" collapsed="false">
      <c r="A483" s="5"/>
      <c r="B483" s="5"/>
      <c r="C483" s="5"/>
      <c r="D483" s="5"/>
      <c r="E483" s="13"/>
      <c r="F483" s="4" t="str">
        <f aca="false">IF(OR(G483="",H483="",N(G483)=0,N(H483)&lt;=0),"",ROUNDDOWN(1000*(G483/H483)^3,0))</f>
        <v/>
      </c>
      <c r="G483" s="11" t="str">
        <f aca="false">IF(D483="","",SUMIFS('Базовые времена'!$D$2:$D$71,'Базовые времена'!$A$2:$A$71,B483,'Базовые времена'!$B$2:$B$71,C483,'Базовые времена'!$C$2:$C$71,D483))</f>
        <v/>
      </c>
      <c r="H483" s="11" t="str">
        <f aca="false">IF(E483="","",IF(ISNUMBER(E483),IF(E483&lt;1,E483*86400,E483),IFERROR(IF(ISNUMBER(FIND(":",SUBSTITUTE(TRIM(E483),",","."))),VALUE(LEFT(SUBSTITUTE(TRIM(E483),",","."),FIND(":",SUBSTITUTE(TRIM(E483),",","."))-1))*60+_xlfn.NUMBERVALUE(MID(SUBSTITUTE(TRIM(E483),",","."),FIND(":",SUBSTITUTE(TRIM(E483),",","."))+1,99),"."),_xlfn.NUMBERVALUE(SUBSTITUTE(TRIM(E483),",","."),".")),0)))</f>
        <v/>
      </c>
    </row>
    <row r="484" customFormat="false" ht="15" hidden="false" customHeight="false" outlineLevel="0" collapsed="false">
      <c r="A484" s="5"/>
      <c r="B484" s="5"/>
      <c r="C484" s="5"/>
      <c r="D484" s="5"/>
      <c r="E484" s="13"/>
      <c r="F484" s="4" t="str">
        <f aca="false">IF(OR(G484="",H484="",N(G484)=0,N(H484)&lt;=0),"",ROUNDDOWN(1000*(G484/H484)^3,0))</f>
        <v/>
      </c>
      <c r="G484" s="11" t="str">
        <f aca="false">IF(D484="","",SUMIFS('Базовые времена'!$D$2:$D$71,'Базовые времена'!$A$2:$A$71,B484,'Базовые времена'!$B$2:$B$71,C484,'Базовые времена'!$C$2:$C$71,D484))</f>
        <v/>
      </c>
      <c r="H484" s="11" t="str">
        <f aca="false">IF(E484="","",IF(ISNUMBER(E484),IF(E484&lt;1,E484*86400,E484),IFERROR(IF(ISNUMBER(FIND(":",SUBSTITUTE(TRIM(E484),",","."))),VALUE(LEFT(SUBSTITUTE(TRIM(E484),",","."),FIND(":",SUBSTITUTE(TRIM(E484),",","."))-1))*60+_xlfn.NUMBERVALUE(MID(SUBSTITUTE(TRIM(E484),",","."),FIND(":",SUBSTITUTE(TRIM(E484),",","."))+1,99),"."),_xlfn.NUMBERVALUE(SUBSTITUTE(TRIM(E484),",","."),".")),0)))</f>
        <v/>
      </c>
    </row>
    <row r="485" customFormat="false" ht="15" hidden="false" customHeight="false" outlineLevel="0" collapsed="false">
      <c r="A485" s="5"/>
      <c r="B485" s="5"/>
      <c r="C485" s="5"/>
      <c r="D485" s="5"/>
      <c r="E485" s="13"/>
      <c r="F485" s="4" t="str">
        <f aca="false">IF(OR(G485="",H485="",N(G485)=0,N(H485)&lt;=0),"",ROUNDDOWN(1000*(G485/H485)^3,0))</f>
        <v/>
      </c>
      <c r="G485" s="11" t="str">
        <f aca="false">IF(D485="","",SUMIFS('Базовые времена'!$D$2:$D$71,'Базовые времена'!$A$2:$A$71,B485,'Базовые времена'!$B$2:$B$71,C485,'Базовые времена'!$C$2:$C$71,D485))</f>
        <v/>
      </c>
      <c r="H485" s="11" t="str">
        <f aca="false">IF(E485="","",IF(ISNUMBER(E485),IF(E485&lt;1,E485*86400,E485),IFERROR(IF(ISNUMBER(FIND(":",SUBSTITUTE(TRIM(E485),",","."))),VALUE(LEFT(SUBSTITUTE(TRIM(E485),",","."),FIND(":",SUBSTITUTE(TRIM(E485),",","."))-1))*60+_xlfn.NUMBERVALUE(MID(SUBSTITUTE(TRIM(E485),",","."),FIND(":",SUBSTITUTE(TRIM(E485),",","."))+1,99),"."),_xlfn.NUMBERVALUE(SUBSTITUTE(TRIM(E485),",","."),".")),0)))</f>
        <v/>
      </c>
    </row>
    <row r="486" customFormat="false" ht="15" hidden="false" customHeight="false" outlineLevel="0" collapsed="false">
      <c r="A486" s="5"/>
      <c r="B486" s="5"/>
      <c r="C486" s="5"/>
      <c r="D486" s="5"/>
      <c r="E486" s="13"/>
      <c r="F486" s="4" t="str">
        <f aca="false">IF(OR(G486="",H486="",N(G486)=0,N(H486)&lt;=0),"",ROUNDDOWN(1000*(G486/H486)^3,0))</f>
        <v/>
      </c>
      <c r="G486" s="11" t="str">
        <f aca="false">IF(D486="","",SUMIFS('Базовые времена'!$D$2:$D$71,'Базовые времена'!$A$2:$A$71,B486,'Базовые времена'!$B$2:$B$71,C486,'Базовые времена'!$C$2:$C$71,D486))</f>
        <v/>
      </c>
      <c r="H486" s="11" t="str">
        <f aca="false">IF(E486="","",IF(ISNUMBER(E486),IF(E486&lt;1,E486*86400,E486),IFERROR(IF(ISNUMBER(FIND(":",SUBSTITUTE(TRIM(E486),",","."))),VALUE(LEFT(SUBSTITUTE(TRIM(E486),",","."),FIND(":",SUBSTITUTE(TRIM(E486),",","."))-1))*60+_xlfn.NUMBERVALUE(MID(SUBSTITUTE(TRIM(E486),",","."),FIND(":",SUBSTITUTE(TRIM(E486),",","."))+1,99),"."),_xlfn.NUMBERVALUE(SUBSTITUTE(TRIM(E486),",","."),".")),0)))</f>
        <v/>
      </c>
    </row>
    <row r="487" customFormat="false" ht="15" hidden="false" customHeight="false" outlineLevel="0" collapsed="false">
      <c r="A487" s="5"/>
      <c r="B487" s="5"/>
      <c r="C487" s="5"/>
      <c r="D487" s="5"/>
      <c r="E487" s="13"/>
      <c r="F487" s="4" t="str">
        <f aca="false">IF(OR(G487="",H487="",N(G487)=0,N(H487)&lt;=0),"",ROUNDDOWN(1000*(G487/H487)^3,0))</f>
        <v/>
      </c>
      <c r="G487" s="11" t="str">
        <f aca="false">IF(D487="","",SUMIFS('Базовые времена'!$D$2:$D$71,'Базовые времена'!$A$2:$A$71,B487,'Базовые времена'!$B$2:$B$71,C487,'Базовые времена'!$C$2:$C$71,D487))</f>
        <v/>
      </c>
      <c r="H487" s="11" t="str">
        <f aca="false">IF(E487="","",IF(ISNUMBER(E487),IF(E487&lt;1,E487*86400,E487),IFERROR(IF(ISNUMBER(FIND(":",SUBSTITUTE(TRIM(E487),",","."))),VALUE(LEFT(SUBSTITUTE(TRIM(E487),",","."),FIND(":",SUBSTITUTE(TRIM(E487),",","."))-1))*60+_xlfn.NUMBERVALUE(MID(SUBSTITUTE(TRIM(E487),",","."),FIND(":",SUBSTITUTE(TRIM(E487),",","."))+1,99),"."),_xlfn.NUMBERVALUE(SUBSTITUTE(TRIM(E487),",","."),".")),0)))</f>
        <v/>
      </c>
    </row>
    <row r="488" customFormat="false" ht="15" hidden="false" customHeight="false" outlineLevel="0" collapsed="false">
      <c r="A488" s="5"/>
      <c r="B488" s="5"/>
      <c r="C488" s="5"/>
      <c r="D488" s="5"/>
      <c r="E488" s="13"/>
      <c r="F488" s="4" t="str">
        <f aca="false">IF(OR(G488="",H488="",N(G488)=0,N(H488)&lt;=0),"",ROUNDDOWN(1000*(G488/H488)^3,0))</f>
        <v/>
      </c>
      <c r="G488" s="11" t="str">
        <f aca="false">IF(D488="","",SUMIFS('Базовые времена'!$D$2:$D$71,'Базовые времена'!$A$2:$A$71,B488,'Базовые времена'!$B$2:$B$71,C488,'Базовые времена'!$C$2:$C$71,D488))</f>
        <v/>
      </c>
      <c r="H488" s="11" t="str">
        <f aca="false">IF(E488="","",IF(ISNUMBER(E488),IF(E488&lt;1,E488*86400,E488),IFERROR(IF(ISNUMBER(FIND(":",SUBSTITUTE(TRIM(E488),",","."))),VALUE(LEFT(SUBSTITUTE(TRIM(E488),",","."),FIND(":",SUBSTITUTE(TRIM(E488),",","."))-1))*60+_xlfn.NUMBERVALUE(MID(SUBSTITUTE(TRIM(E488),",","."),FIND(":",SUBSTITUTE(TRIM(E488),",","."))+1,99),"."),_xlfn.NUMBERVALUE(SUBSTITUTE(TRIM(E488),",","."),".")),0)))</f>
        <v/>
      </c>
    </row>
    <row r="489" customFormat="false" ht="15" hidden="false" customHeight="false" outlineLevel="0" collapsed="false">
      <c r="A489" s="5"/>
      <c r="B489" s="5"/>
      <c r="C489" s="5"/>
      <c r="D489" s="5"/>
      <c r="E489" s="13"/>
      <c r="F489" s="4" t="str">
        <f aca="false">IF(OR(G489="",H489="",N(G489)=0,N(H489)&lt;=0),"",ROUNDDOWN(1000*(G489/H489)^3,0))</f>
        <v/>
      </c>
      <c r="G489" s="11" t="str">
        <f aca="false">IF(D489="","",SUMIFS('Базовые времена'!$D$2:$D$71,'Базовые времена'!$A$2:$A$71,B489,'Базовые времена'!$B$2:$B$71,C489,'Базовые времена'!$C$2:$C$71,D489))</f>
        <v/>
      </c>
      <c r="H489" s="11" t="str">
        <f aca="false">IF(E489="","",IF(ISNUMBER(E489),IF(E489&lt;1,E489*86400,E489),IFERROR(IF(ISNUMBER(FIND(":",SUBSTITUTE(TRIM(E489),",","."))),VALUE(LEFT(SUBSTITUTE(TRIM(E489),",","."),FIND(":",SUBSTITUTE(TRIM(E489),",","."))-1))*60+_xlfn.NUMBERVALUE(MID(SUBSTITUTE(TRIM(E489),",","."),FIND(":",SUBSTITUTE(TRIM(E489),",","."))+1,99),"."),_xlfn.NUMBERVALUE(SUBSTITUTE(TRIM(E489),",","."),".")),0)))</f>
        <v/>
      </c>
    </row>
    <row r="490" customFormat="false" ht="15" hidden="false" customHeight="false" outlineLevel="0" collapsed="false">
      <c r="A490" s="5"/>
      <c r="B490" s="5"/>
      <c r="C490" s="5"/>
      <c r="D490" s="5"/>
      <c r="E490" s="13"/>
      <c r="F490" s="4" t="str">
        <f aca="false">IF(OR(G490="",H490="",N(G490)=0,N(H490)&lt;=0),"",ROUNDDOWN(1000*(G490/H490)^3,0))</f>
        <v/>
      </c>
      <c r="G490" s="11" t="str">
        <f aca="false">IF(D490="","",SUMIFS('Базовые времена'!$D$2:$D$71,'Базовые времена'!$A$2:$A$71,B490,'Базовые времена'!$B$2:$B$71,C490,'Базовые времена'!$C$2:$C$71,D490))</f>
        <v/>
      </c>
      <c r="H490" s="11" t="str">
        <f aca="false">IF(E490="","",IF(ISNUMBER(E490),IF(E490&lt;1,E490*86400,E490),IFERROR(IF(ISNUMBER(FIND(":",SUBSTITUTE(TRIM(E490),",","."))),VALUE(LEFT(SUBSTITUTE(TRIM(E490),",","."),FIND(":",SUBSTITUTE(TRIM(E490),",","."))-1))*60+_xlfn.NUMBERVALUE(MID(SUBSTITUTE(TRIM(E490),",","."),FIND(":",SUBSTITUTE(TRIM(E490),",","."))+1,99),"."),_xlfn.NUMBERVALUE(SUBSTITUTE(TRIM(E490),",","."),".")),0)))</f>
        <v/>
      </c>
    </row>
    <row r="491" customFormat="false" ht="15" hidden="false" customHeight="false" outlineLevel="0" collapsed="false">
      <c r="A491" s="5"/>
      <c r="B491" s="5"/>
      <c r="C491" s="5"/>
      <c r="D491" s="5"/>
      <c r="E491" s="13"/>
      <c r="F491" s="4" t="str">
        <f aca="false">IF(OR(G491="",H491="",N(G491)=0,N(H491)&lt;=0),"",ROUNDDOWN(1000*(G491/H491)^3,0))</f>
        <v/>
      </c>
      <c r="G491" s="11" t="str">
        <f aca="false">IF(D491="","",SUMIFS('Базовые времена'!$D$2:$D$71,'Базовые времена'!$A$2:$A$71,B491,'Базовые времена'!$B$2:$B$71,C491,'Базовые времена'!$C$2:$C$71,D491))</f>
        <v/>
      </c>
      <c r="H491" s="11" t="str">
        <f aca="false">IF(E491="","",IF(ISNUMBER(E491),IF(E491&lt;1,E491*86400,E491),IFERROR(IF(ISNUMBER(FIND(":",SUBSTITUTE(TRIM(E491),",","."))),VALUE(LEFT(SUBSTITUTE(TRIM(E491),",","."),FIND(":",SUBSTITUTE(TRIM(E491),",","."))-1))*60+_xlfn.NUMBERVALUE(MID(SUBSTITUTE(TRIM(E491),",","."),FIND(":",SUBSTITUTE(TRIM(E491),",","."))+1,99),"."),_xlfn.NUMBERVALUE(SUBSTITUTE(TRIM(E491),",","."),".")),0)))</f>
        <v/>
      </c>
    </row>
    <row r="492" customFormat="false" ht="15" hidden="false" customHeight="false" outlineLevel="0" collapsed="false">
      <c r="A492" s="5"/>
      <c r="B492" s="5"/>
      <c r="C492" s="5"/>
      <c r="D492" s="5"/>
      <c r="E492" s="13"/>
      <c r="F492" s="4" t="str">
        <f aca="false">IF(OR(G492="",H492="",N(G492)=0,N(H492)&lt;=0),"",ROUNDDOWN(1000*(G492/H492)^3,0))</f>
        <v/>
      </c>
      <c r="G492" s="11" t="str">
        <f aca="false">IF(D492="","",SUMIFS('Базовые времена'!$D$2:$D$71,'Базовые времена'!$A$2:$A$71,B492,'Базовые времена'!$B$2:$B$71,C492,'Базовые времена'!$C$2:$C$71,D492))</f>
        <v/>
      </c>
      <c r="H492" s="11" t="str">
        <f aca="false">IF(E492="","",IF(ISNUMBER(E492),IF(E492&lt;1,E492*86400,E492),IFERROR(IF(ISNUMBER(FIND(":",SUBSTITUTE(TRIM(E492),",","."))),VALUE(LEFT(SUBSTITUTE(TRIM(E492),",","."),FIND(":",SUBSTITUTE(TRIM(E492),",","."))-1))*60+_xlfn.NUMBERVALUE(MID(SUBSTITUTE(TRIM(E492),",","."),FIND(":",SUBSTITUTE(TRIM(E492),",","."))+1,99),"."),_xlfn.NUMBERVALUE(SUBSTITUTE(TRIM(E492),",","."),".")),0)))</f>
        <v/>
      </c>
    </row>
    <row r="493" customFormat="false" ht="15" hidden="false" customHeight="false" outlineLevel="0" collapsed="false">
      <c r="A493" s="5"/>
      <c r="B493" s="5"/>
      <c r="C493" s="5"/>
      <c r="D493" s="5"/>
      <c r="E493" s="13"/>
      <c r="F493" s="4" t="str">
        <f aca="false">IF(OR(G493="",H493="",N(G493)=0,N(H493)&lt;=0),"",ROUNDDOWN(1000*(G493/H493)^3,0))</f>
        <v/>
      </c>
      <c r="G493" s="11" t="str">
        <f aca="false">IF(D493="","",SUMIFS('Базовые времена'!$D$2:$D$71,'Базовые времена'!$A$2:$A$71,B493,'Базовые времена'!$B$2:$B$71,C493,'Базовые времена'!$C$2:$C$71,D493))</f>
        <v/>
      </c>
      <c r="H493" s="11" t="str">
        <f aca="false">IF(E493="","",IF(ISNUMBER(E493),IF(E493&lt;1,E493*86400,E493),IFERROR(IF(ISNUMBER(FIND(":",SUBSTITUTE(TRIM(E493),",","."))),VALUE(LEFT(SUBSTITUTE(TRIM(E493),",","."),FIND(":",SUBSTITUTE(TRIM(E493),",","."))-1))*60+_xlfn.NUMBERVALUE(MID(SUBSTITUTE(TRIM(E493),",","."),FIND(":",SUBSTITUTE(TRIM(E493),",","."))+1,99),"."),_xlfn.NUMBERVALUE(SUBSTITUTE(TRIM(E493),",","."),".")),0)))</f>
        <v/>
      </c>
    </row>
    <row r="494" customFormat="false" ht="15" hidden="false" customHeight="false" outlineLevel="0" collapsed="false">
      <c r="A494" s="5"/>
      <c r="B494" s="5"/>
      <c r="C494" s="5"/>
      <c r="D494" s="5"/>
      <c r="E494" s="13"/>
      <c r="F494" s="4" t="str">
        <f aca="false">IF(OR(G494="",H494="",N(G494)=0,N(H494)&lt;=0),"",ROUNDDOWN(1000*(G494/H494)^3,0))</f>
        <v/>
      </c>
      <c r="G494" s="11" t="str">
        <f aca="false">IF(D494="","",SUMIFS('Базовые времена'!$D$2:$D$71,'Базовые времена'!$A$2:$A$71,B494,'Базовые времена'!$B$2:$B$71,C494,'Базовые времена'!$C$2:$C$71,D494))</f>
        <v/>
      </c>
      <c r="H494" s="11" t="str">
        <f aca="false">IF(E494="","",IF(ISNUMBER(E494),IF(E494&lt;1,E494*86400,E494),IFERROR(IF(ISNUMBER(FIND(":",SUBSTITUTE(TRIM(E494),",","."))),VALUE(LEFT(SUBSTITUTE(TRIM(E494),",","."),FIND(":",SUBSTITUTE(TRIM(E494),",","."))-1))*60+_xlfn.NUMBERVALUE(MID(SUBSTITUTE(TRIM(E494),",","."),FIND(":",SUBSTITUTE(TRIM(E494),",","."))+1,99),"."),_xlfn.NUMBERVALUE(SUBSTITUTE(TRIM(E494),",","."),".")),0)))</f>
        <v/>
      </c>
    </row>
    <row r="495" customFormat="false" ht="15" hidden="false" customHeight="false" outlineLevel="0" collapsed="false">
      <c r="A495" s="5"/>
      <c r="B495" s="5"/>
      <c r="C495" s="5"/>
      <c r="D495" s="5"/>
      <c r="E495" s="13"/>
      <c r="F495" s="4" t="str">
        <f aca="false">IF(OR(G495="",H495="",N(G495)=0,N(H495)&lt;=0),"",ROUNDDOWN(1000*(G495/H495)^3,0))</f>
        <v/>
      </c>
      <c r="G495" s="11" t="str">
        <f aca="false">IF(D495="","",SUMIFS('Базовые времена'!$D$2:$D$71,'Базовые времена'!$A$2:$A$71,B495,'Базовые времена'!$B$2:$B$71,C495,'Базовые времена'!$C$2:$C$71,D495))</f>
        <v/>
      </c>
      <c r="H495" s="11" t="str">
        <f aca="false">IF(E495="","",IF(ISNUMBER(E495),IF(E495&lt;1,E495*86400,E495),IFERROR(IF(ISNUMBER(FIND(":",SUBSTITUTE(TRIM(E495),",","."))),VALUE(LEFT(SUBSTITUTE(TRIM(E495),",","."),FIND(":",SUBSTITUTE(TRIM(E495),",","."))-1))*60+_xlfn.NUMBERVALUE(MID(SUBSTITUTE(TRIM(E495),",","."),FIND(":",SUBSTITUTE(TRIM(E495),",","."))+1,99),"."),_xlfn.NUMBERVALUE(SUBSTITUTE(TRIM(E495),",","."),".")),0)))</f>
        <v/>
      </c>
    </row>
    <row r="496" customFormat="false" ht="15" hidden="false" customHeight="false" outlineLevel="0" collapsed="false">
      <c r="A496" s="5"/>
      <c r="B496" s="5"/>
      <c r="C496" s="5"/>
      <c r="D496" s="5"/>
      <c r="E496" s="13"/>
      <c r="F496" s="4" t="str">
        <f aca="false">IF(OR(G496="",H496="",N(G496)=0,N(H496)&lt;=0),"",ROUNDDOWN(1000*(G496/H496)^3,0))</f>
        <v/>
      </c>
      <c r="G496" s="11" t="str">
        <f aca="false">IF(D496="","",SUMIFS('Базовые времена'!$D$2:$D$71,'Базовые времена'!$A$2:$A$71,B496,'Базовые времена'!$B$2:$B$71,C496,'Базовые времена'!$C$2:$C$71,D496))</f>
        <v/>
      </c>
      <c r="H496" s="11" t="str">
        <f aca="false">IF(E496="","",IF(ISNUMBER(E496),IF(E496&lt;1,E496*86400,E496),IFERROR(IF(ISNUMBER(FIND(":",SUBSTITUTE(TRIM(E496),",","."))),VALUE(LEFT(SUBSTITUTE(TRIM(E496),",","."),FIND(":",SUBSTITUTE(TRIM(E496),",","."))-1))*60+_xlfn.NUMBERVALUE(MID(SUBSTITUTE(TRIM(E496),",","."),FIND(":",SUBSTITUTE(TRIM(E496),",","."))+1,99),"."),_xlfn.NUMBERVALUE(SUBSTITUTE(TRIM(E496),",","."),".")),0)))</f>
        <v/>
      </c>
    </row>
    <row r="497" customFormat="false" ht="15" hidden="false" customHeight="false" outlineLevel="0" collapsed="false">
      <c r="A497" s="5"/>
      <c r="B497" s="5"/>
      <c r="C497" s="5"/>
      <c r="D497" s="5"/>
      <c r="E497" s="13"/>
      <c r="F497" s="4" t="str">
        <f aca="false">IF(OR(G497="",H497="",N(G497)=0,N(H497)&lt;=0),"",ROUNDDOWN(1000*(G497/H497)^3,0))</f>
        <v/>
      </c>
      <c r="G497" s="11" t="str">
        <f aca="false">IF(D497="","",SUMIFS('Базовые времена'!$D$2:$D$71,'Базовые времена'!$A$2:$A$71,B497,'Базовые времена'!$B$2:$B$71,C497,'Базовые времена'!$C$2:$C$71,D497))</f>
        <v/>
      </c>
      <c r="H497" s="11" t="str">
        <f aca="false">IF(E497="","",IF(ISNUMBER(E497),IF(E497&lt;1,E497*86400,E497),IFERROR(IF(ISNUMBER(FIND(":",SUBSTITUTE(TRIM(E497),",","."))),VALUE(LEFT(SUBSTITUTE(TRIM(E497),",","."),FIND(":",SUBSTITUTE(TRIM(E497),",","."))-1))*60+_xlfn.NUMBERVALUE(MID(SUBSTITUTE(TRIM(E497),",","."),FIND(":",SUBSTITUTE(TRIM(E497),",","."))+1,99),"."),_xlfn.NUMBERVALUE(SUBSTITUTE(TRIM(E497),",","."),".")),0)))</f>
        <v/>
      </c>
    </row>
    <row r="498" customFormat="false" ht="15" hidden="false" customHeight="false" outlineLevel="0" collapsed="false">
      <c r="A498" s="5"/>
      <c r="B498" s="5"/>
      <c r="C498" s="5"/>
      <c r="D498" s="5"/>
      <c r="E498" s="13"/>
      <c r="F498" s="4" t="str">
        <f aca="false">IF(OR(G498="",H498="",N(G498)=0,N(H498)&lt;=0),"",ROUNDDOWN(1000*(G498/H498)^3,0))</f>
        <v/>
      </c>
      <c r="G498" s="11" t="str">
        <f aca="false">IF(D498="","",SUMIFS('Базовые времена'!$D$2:$D$71,'Базовые времена'!$A$2:$A$71,B498,'Базовые времена'!$B$2:$B$71,C498,'Базовые времена'!$C$2:$C$71,D498))</f>
        <v/>
      </c>
      <c r="H498" s="11" t="str">
        <f aca="false">IF(E498="","",IF(ISNUMBER(E498),IF(E498&lt;1,E498*86400,E498),IFERROR(IF(ISNUMBER(FIND(":",SUBSTITUTE(TRIM(E498),",","."))),VALUE(LEFT(SUBSTITUTE(TRIM(E498),",","."),FIND(":",SUBSTITUTE(TRIM(E498),",","."))-1))*60+_xlfn.NUMBERVALUE(MID(SUBSTITUTE(TRIM(E498),",","."),FIND(":",SUBSTITUTE(TRIM(E498),",","."))+1,99),"."),_xlfn.NUMBERVALUE(SUBSTITUTE(TRIM(E498),",","."),".")),0)))</f>
        <v/>
      </c>
    </row>
    <row r="499" customFormat="false" ht="15" hidden="false" customHeight="false" outlineLevel="0" collapsed="false">
      <c r="A499" s="5"/>
      <c r="B499" s="5"/>
      <c r="C499" s="5"/>
      <c r="D499" s="5"/>
      <c r="E499" s="13"/>
      <c r="F499" s="4" t="str">
        <f aca="false">IF(OR(G499="",H499="",N(G499)=0,N(H499)&lt;=0),"",ROUNDDOWN(1000*(G499/H499)^3,0))</f>
        <v/>
      </c>
      <c r="G499" s="11" t="str">
        <f aca="false">IF(D499="","",SUMIFS('Базовые времена'!$D$2:$D$71,'Базовые времена'!$A$2:$A$71,B499,'Базовые времена'!$B$2:$B$71,C499,'Базовые времена'!$C$2:$C$71,D499))</f>
        <v/>
      </c>
      <c r="H499" s="11" t="str">
        <f aca="false">IF(E499="","",IF(ISNUMBER(E499),IF(E499&lt;1,E499*86400,E499),IFERROR(IF(ISNUMBER(FIND(":",SUBSTITUTE(TRIM(E499),",","."))),VALUE(LEFT(SUBSTITUTE(TRIM(E499),",","."),FIND(":",SUBSTITUTE(TRIM(E499),",","."))-1))*60+_xlfn.NUMBERVALUE(MID(SUBSTITUTE(TRIM(E499),",","."),FIND(":",SUBSTITUTE(TRIM(E499),",","."))+1,99),"."),_xlfn.NUMBERVALUE(SUBSTITUTE(TRIM(E499),",","."),".")),0)))</f>
        <v/>
      </c>
    </row>
    <row r="500" customFormat="false" ht="15" hidden="false" customHeight="false" outlineLevel="0" collapsed="false">
      <c r="A500" s="5"/>
      <c r="B500" s="5"/>
      <c r="C500" s="5"/>
      <c r="D500" s="5"/>
      <c r="E500" s="13"/>
      <c r="F500" s="4" t="str">
        <f aca="false">IF(OR(G500="",H500="",N(G500)=0,N(H500)&lt;=0),"",ROUNDDOWN(1000*(G500/H500)^3,0))</f>
        <v/>
      </c>
      <c r="G500" s="11" t="str">
        <f aca="false">IF(D500="","",SUMIFS('Базовые времена'!$D$2:$D$71,'Базовые времена'!$A$2:$A$71,B500,'Базовые времена'!$B$2:$B$71,C500,'Базовые времена'!$C$2:$C$71,D500))</f>
        <v/>
      </c>
      <c r="H500" s="11" t="str">
        <f aca="false">IF(E500="","",IF(ISNUMBER(E500),IF(E500&lt;1,E500*86400,E500),IFERROR(IF(ISNUMBER(FIND(":",SUBSTITUTE(TRIM(E500),",","."))),VALUE(LEFT(SUBSTITUTE(TRIM(E500),",","."),FIND(":",SUBSTITUTE(TRIM(E500),",","."))-1))*60+_xlfn.NUMBERVALUE(MID(SUBSTITUTE(TRIM(E500),",","."),FIND(":",SUBSTITUTE(TRIM(E500),",","."))+1,99),"."),_xlfn.NUMBERVALUE(SUBSTITUTE(TRIM(E500),",","."),".")),0)))</f>
        <v/>
      </c>
    </row>
    <row r="501" customFormat="false" ht="15" hidden="false" customHeight="false" outlineLevel="0" collapsed="false">
      <c r="A501" s="5"/>
      <c r="B501" s="5"/>
      <c r="C501" s="5"/>
      <c r="D501" s="5"/>
      <c r="E501" s="13"/>
      <c r="F501" s="4" t="str">
        <f aca="false">IF(OR(G501="",H501="",N(G501)=0,N(H501)&lt;=0),"",ROUNDDOWN(1000*(G501/H501)^3,0))</f>
        <v/>
      </c>
      <c r="G501" s="11" t="str">
        <f aca="false">IF(D501="","",SUMIFS('Базовые времена'!$D$2:$D$71,'Базовые времена'!$A$2:$A$71,B501,'Базовые времена'!$B$2:$B$71,C501,'Базовые времена'!$C$2:$C$71,D501))</f>
        <v/>
      </c>
      <c r="H501" s="11" t="str">
        <f aca="false">IF(E501="","",IF(ISNUMBER(E501),IF(E501&lt;1,E501*86400,E501),IFERROR(IF(ISNUMBER(FIND(":",SUBSTITUTE(TRIM(E501),",","."))),VALUE(LEFT(SUBSTITUTE(TRIM(E501),",","."),FIND(":",SUBSTITUTE(TRIM(E501),",","."))-1))*60+_xlfn.NUMBERVALUE(MID(SUBSTITUTE(TRIM(E501),",","."),FIND(":",SUBSTITUTE(TRIM(E501),",","."))+1,99),"."),_xlfn.NUMBERVALUE(SUBSTITUTE(TRIM(E501),",","."),".")),0)))</f>
        <v/>
      </c>
    </row>
  </sheetData>
  <autoFilter ref="A1:H501"/>
  <dataValidations count="3">
    <dataValidation allowBlank="true" errorStyle="stop" operator="between" showDropDown="false" showErrorMessage="false" showInputMessage="false" sqref="B2:B501" type="list">
      <formula1>Списки!$A$2:$A$3</formula1>
      <formula2>0</formula2>
    </dataValidation>
    <dataValidation allowBlank="true" errorStyle="stop" operator="between" showDropDown="false" showErrorMessage="false" showInputMessage="false" sqref="C2:C501" type="list">
      <formula1>Списки!$B$2:$B$3</formula1>
      <formula2>0</formula2>
    </dataValidation>
    <dataValidation allowBlank="true" errorStyle="stop" operator="between" showDropDown="false" showErrorMessage="false" showInputMessage="false" sqref="D2:D501" type="list">
      <formula1>Списки!$C$2:$C$19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2" t="s">
        <v>2</v>
      </c>
      <c r="B1" s="12" t="s">
        <v>4</v>
      </c>
      <c r="C1" s="12" t="s">
        <v>6</v>
      </c>
      <c r="D1" s="12" t="s">
        <v>12</v>
      </c>
      <c r="E1" s="12" t="s">
        <v>28</v>
      </c>
    </row>
    <row r="2" customFormat="false" ht="15" hidden="false" customHeight="false" outlineLevel="0" collapsed="false">
      <c r="A2" s="2" t="s">
        <v>3</v>
      </c>
      <c r="B2" s="2" t="s">
        <v>5</v>
      </c>
      <c r="C2" s="2" t="s">
        <v>29</v>
      </c>
      <c r="D2" s="14" t="n">
        <v>19.9</v>
      </c>
      <c r="E2" s="7" t="str">
        <f aca="false">IF(INT(ROUND(D2*100,0)/6000)&gt;0,INT(ROUND(D2*100,0)/6000)&amp;":"&amp;RIGHT("0"&amp;INT(MOD(ROUND(D2*100,0),6000)/100),2),INT(MOD(ROUND(D2*100,0),6000)/100))&amp;"."&amp;RIGHT("0"&amp;MOD(ROUND(D2*100,0),100),2)</f>
        <v>19.90</v>
      </c>
    </row>
    <row r="3" customFormat="false" ht="15" hidden="false" customHeight="false" outlineLevel="0" collapsed="false">
      <c r="A3" s="2" t="s">
        <v>3</v>
      </c>
      <c r="B3" s="2" t="s">
        <v>5</v>
      </c>
      <c r="C3" s="2" t="s">
        <v>7</v>
      </c>
      <c r="D3" s="14" t="n">
        <v>44.84</v>
      </c>
      <c r="E3" s="7" t="str">
        <f aca="false">IF(INT(ROUND(D3*100,0)/6000)&gt;0,INT(ROUND(D3*100,0)/6000)&amp;":"&amp;RIGHT("0"&amp;INT(MOD(ROUND(D3*100,0),6000)/100),2),INT(MOD(ROUND(D3*100,0),6000)/100))&amp;"."&amp;RIGHT("0"&amp;MOD(ROUND(D3*100,0),100),2)</f>
        <v>44.84</v>
      </c>
    </row>
    <row r="4" customFormat="false" ht="15" hidden="false" customHeight="false" outlineLevel="0" collapsed="false">
      <c r="A4" s="2" t="s">
        <v>3</v>
      </c>
      <c r="B4" s="2" t="s">
        <v>5</v>
      </c>
      <c r="C4" s="2" t="s">
        <v>30</v>
      </c>
      <c r="D4" s="14" t="n">
        <v>98.61</v>
      </c>
      <c r="E4" s="7" t="str">
        <f aca="false">IF(INT(ROUND(D4*100,0)/6000)&gt;0,INT(ROUND(D4*100,0)/6000)&amp;":"&amp;RIGHT("0"&amp;INT(MOD(ROUND(D4*100,0),6000)/100),2),INT(MOD(ROUND(D4*100,0),6000)/100))&amp;"."&amp;RIGHT("0"&amp;MOD(ROUND(D4*100,0),100),2)</f>
        <v>1:38.61</v>
      </c>
    </row>
    <row r="5" customFormat="false" ht="15" hidden="false" customHeight="false" outlineLevel="0" collapsed="false">
      <c r="A5" s="2" t="s">
        <v>3</v>
      </c>
      <c r="B5" s="2" t="s">
        <v>5</v>
      </c>
      <c r="C5" s="2" t="s">
        <v>31</v>
      </c>
      <c r="D5" s="14" t="n">
        <v>212.25</v>
      </c>
      <c r="E5" s="7" t="str">
        <f aca="false">IF(INT(ROUND(D5*100,0)/6000)&gt;0,INT(ROUND(D5*100,0)/6000)&amp;":"&amp;RIGHT("0"&amp;INT(MOD(ROUND(D5*100,0),6000)/100),2),INT(MOD(ROUND(D5*100,0),6000)/100))&amp;"."&amp;RIGHT("0"&amp;MOD(ROUND(D5*100,0),100),2)</f>
        <v>3:32.25</v>
      </c>
    </row>
    <row r="6" customFormat="false" ht="15" hidden="false" customHeight="false" outlineLevel="0" collapsed="false">
      <c r="A6" s="2" t="s">
        <v>3</v>
      </c>
      <c r="B6" s="2" t="s">
        <v>5</v>
      </c>
      <c r="C6" s="2" t="s">
        <v>32</v>
      </c>
      <c r="D6" s="14" t="n">
        <v>440.46</v>
      </c>
      <c r="E6" s="7" t="str">
        <f aca="false">IF(INT(ROUND(D6*100,0)/6000)&gt;0,INT(ROUND(D6*100,0)/6000)&amp;":"&amp;RIGHT("0"&amp;INT(MOD(ROUND(D6*100,0),6000)/100),2),INT(MOD(ROUND(D6*100,0),6000)/100))&amp;"."&amp;RIGHT("0"&amp;MOD(ROUND(D6*100,0),100),2)</f>
        <v>7:20.46</v>
      </c>
    </row>
    <row r="7" customFormat="false" ht="15" hidden="false" customHeight="false" outlineLevel="0" collapsed="false">
      <c r="A7" s="2" t="s">
        <v>3</v>
      </c>
      <c r="B7" s="2" t="s">
        <v>5</v>
      </c>
      <c r="C7" s="2" t="s">
        <v>33</v>
      </c>
      <c r="D7" s="14" t="n">
        <v>846.88</v>
      </c>
      <c r="E7" s="7" t="str">
        <f aca="false">IF(INT(ROUND(D7*100,0)/6000)&gt;0,INT(ROUND(D7*100,0)/6000)&amp;":"&amp;RIGHT("0"&amp;INT(MOD(ROUND(D7*100,0),6000)/100),2),INT(MOD(ROUND(D7*100,0),6000)/100))&amp;"."&amp;RIGHT("0"&amp;MOD(ROUND(D7*100,0),100),2)</f>
        <v>14:06.88</v>
      </c>
    </row>
    <row r="8" customFormat="false" ht="15" hidden="false" customHeight="false" outlineLevel="0" collapsed="false">
      <c r="A8" s="2" t="s">
        <v>3</v>
      </c>
      <c r="B8" s="2" t="s">
        <v>5</v>
      </c>
      <c r="C8" s="2" t="s">
        <v>34</v>
      </c>
      <c r="D8" s="14" t="n">
        <v>22.11</v>
      </c>
      <c r="E8" s="7" t="str">
        <f aca="false">IF(INT(ROUND(D8*100,0)/6000)&gt;0,INT(ROUND(D8*100,0)/6000)&amp;":"&amp;RIGHT("0"&amp;INT(MOD(ROUND(D8*100,0),6000)/100),2),INT(MOD(ROUND(D8*100,0),6000)/100))&amp;"."&amp;RIGHT("0"&amp;MOD(ROUND(D8*100,0),100),2)</f>
        <v>22.11</v>
      </c>
    </row>
    <row r="9" customFormat="false" ht="15" hidden="false" customHeight="false" outlineLevel="0" collapsed="false">
      <c r="A9" s="2" t="s">
        <v>3</v>
      </c>
      <c r="B9" s="2" t="s">
        <v>5</v>
      </c>
      <c r="C9" s="2" t="s">
        <v>35</v>
      </c>
      <c r="D9" s="14" t="n">
        <v>48.16</v>
      </c>
      <c r="E9" s="7" t="str">
        <f aca="false">IF(INT(ROUND(D9*100,0)/6000)&gt;0,INT(ROUND(D9*100,0)/6000)&amp;":"&amp;RIGHT("0"&amp;INT(MOD(ROUND(D9*100,0),6000)/100),2),INT(MOD(ROUND(D9*100,0),6000)/100))&amp;"."&amp;RIGHT("0"&amp;MOD(ROUND(D9*100,0),100),2)</f>
        <v>48.16</v>
      </c>
    </row>
    <row r="10" customFormat="false" ht="15" hidden="false" customHeight="false" outlineLevel="0" collapsed="false">
      <c r="A10" s="2" t="s">
        <v>3</v>
      </c>
      <c r="B10" s="2" t="s">
        <v>5</v>
      </c>
      <c r="C10" s="2" t="s">
        <v>36</v>
      </c>
      <c r="D10" s="14" t="n">
        <v>105.12</v>
      </c>
      <c r="E10" s="7" t="str">
        <f aca="false">IF(INT(ROUND(D10*100,0)/6000)&gt;0,INT(ROUND(D10*100,0)/6000)&amp;":"&amp;RIGHT("0"&amp;INT(MOD(ROUND(D10*100,0),6000)/100),2),INT(MOD(ROUND(D10*100,0),6000)/100))&amp;"."&amp;RIGHT("0"&amp;MOD(ROUND(D10*100,0),100),2)</f>
        <v>1:45.12</v>
      </c>
    </row>
    <row r="11" customFormat="false" ht="15" hidden="false" customHeight="false" outlineLevel="0" collapsed="false">
      <c r="A11" s="2" t="s">
        <v>3</v>
      </c>
      <c r="B11" s="2" t="s">
        <v>5</v>
      </c>
      <c r="C11" s="2" t="s">
        <v>37</v>
      </c>
      <c r="D11" s="14" t="n">
        <v>24.95</v>
      </c>
      <c r="E11" s="7" t="str">
        <f aca="false">IF(INT(ROUND(D11*100,0)/6000)&gt;0,INT(ROUND(D11*100,0)/6000)&amp;":"&amp;RIGHT("0"&amp;INT(MOD(ROUND(D11*100,0),6000)/100),2),INT(MOD(ROUND(D11*100,0),6000)/100))&amp;"."&amp;RIGHT("0"&amp;MOD(ROUND(D11*100,0),100),2)</f>
        <v>24.95</v>
      </c>
    </row>
    <row r="12" customFormat="false" ht="15" hidden="false" customHeight="false" outlineLevel="0" collapsed="false">
      <c r="A12" s="2" t="s">
        <v>3</v>
      </c>
      <c r="B12" s="2" t="s">
        <v>5</v>
      </c>
      <c r="C12" s="2" t="s">
        <v>38</v>
      </c>
      <c r="D12" s="14" t="n">
        <v>55.28</v>
      </c>
      <c r="E12" s="7" t="str">
        <f aca="false">IF(INT(ROUND(D12*100,0)/6000)&gt;0,INT(ROUND(D12*100,0)/6000)&amp;":"&amp;RIGHT("0"&amp;INT(MOD(ROUND(D12*100,0),6000)/100),2),INT(MOD(ROUND(D12*100,0),6000)/100))&amp;"."&amp;RIGHT("0"&amp;MOD(ROUND(D12*100,0),100),2)</f>
        <v>55.28</v>
      </c>
    </row>
    <row r="13" customFormat="false" ht="15" hidden="false" customHeight="false" outlineLevel="0" collapsed="false">
      <c r="A13" s="2" t="s">
        <v>3</v>
      </c>
      <c r="B13" s="2" t="s">
        <v>5</v>
      </c>
      <c r="C13" s="2" t="s">
        <v>39</v>
      </c>
      <c r="D13" s="14" t="n">
        <v>119.52</v>
      </c>
      <c r="E13" s="7" t="str">
        <f aca="false">IF(INT(ROUND(D13*100,0)/6000)&gt;0,INT(ROUND(D13*100,0)/6000)&amp;":"&amp;RIGHT("0"&amp;INT(MOD(ROUND(D13*100,0),6000)/100),2),INT(MOD(ROUND(D13*100,0),6000)/100))&amp;"."&amp;RIGHT("0"&amp;MOD(ROUND(D13*100,0),100),2)</f>
        <v>1:59.52</v>
      </c>
    </row>
    <row r="14" customFormat="false" ht="15" hidden="false" customHeight="false" outlineLevel="0" collapsed="false">
      <c r="A14" s="2" t="s">
        <v>3</v>
      </c>
      <c r="B14" s="2" t="s">
        <v>5</v>
      </c>
      <c r="C14" s="2" t="s">
        <v>40</v>
      </c>
      <c r="D14" s="14" t="n">
        <v>21.32</v>
      </c>
      <c r="E14" s="7" t="str">
        <f aca="false">IF(INT(ROUND(D14*100,0)/6000)&gt;0,INT(ROUND(D14*100,0)/6000)&amp;":"&amp;RIGHT("0"&amp;INT(MOD(ROUND(D14*100,0),6000)/100),2),INT(MOD(ROUND(D14*100,0),6000)/100))&amp;"."&amp;RIGHT("0"&amp;MOD(ROUND(D14*100,0),100),2)</f>
        <v>21.32</v>
      </c>
    </row>
    <row r="15" customFormat="false" ht="15" hidden="false" customHeight="false" outlineLevel="0" collapsed="false">
      <c r="A15" s="2" t="s">
        <v>3</v>
      </c>
      <c r="B15" s="2" t="s">
        <v>5</v>
      </c>
      <c r="C15" s="2" t="s">
        <v>41</v>
      </c>
      <c r="D15" s="14" t="n">
        <v>47.68</v>
      </c>
      <c r="E15" s="7" t="str">
        <f aca="false">IF(INT(ROUND(D15*100,0)/6000)&gt;0,INT(ROUND(D15*100,0)/6000)&amp;":"&amp;RIGHT("0"&amp;INT(MOD(ROUND(D15*100,0),6000)/100),2),INT(MOD(ROUND(D15*100,0),6000)/100))&amp;"."&amp;RIGHT("0"&amp;MOD(ROUND(D15*100,0),100),2)</f>
        <v>47.68</v>
      </c>
    </row>
    <row r="16" customFormat="false" ht="15" hidden="false" customHeight="false" outlineLevel="0" collapsed="false">
      <c r="A16" s="2" t="s">
        <v>3</v>
      </c>
      <c r="B16" s="2" t="s">
        <v>5</v>
      </c>
      <c r="C16" s="2" t="s">
        <v>42</v>
      </c>
      <c r="D16" s="14" t="n">
        <v>106.85</v>
      </c>
      <c r="E16" s="7" t="str">
        <f aca="false">IF(INT(ROUND(D16*100,0)/6000)&gt;0,INT(ROUND(D16*100,0)/6000)&amp;":"&amp;RIGHT("0"&amp;INT(MOD(ROUND(D16*100,0),6000)/100),2),INT(MOD(ROUND(D16*100,0),6000)/100))&amp;"."&amp;RIGHT("0"&amp;MOD(ROUND(D16*100,0),100),2)</f>
        <v>1:46.85</v>
      </c>
    </row>
    <row r="17" customFormat="false" ht="15" hidden="false" customHeight="false" outlineLevel="0" collapsed="false">
      <c r="A17" s="2" t="s">
        <v>3</v>
      </c>
      <c r="B17" s="2" t="s">
        <v>5</v>
      </c>
      <c r="C17" s="2" t="s">
        <v>43</v>
      </c>
      <c r="D17" s="14" t="n">
        <v>49.28</v>
      </c>
      <c r="E17" s="7" t="str">
        <f aca="false">IF(INT(ROUND(D17*100,0)/6000)&gt;0,INT(ROUND(D17*100,0)/6000)&amp;":"&amp;RIGHT("0"&amp;INT(MOD(ROUND(D17*100,0),6000)/100),2),INT(MOD(ROUND(D17*100,0),6000)/100))&amp;"."&amp;RIGHT("0"&amp;MOD(ROUND(D17*100,0),100),2)</f>
        <v>49.28</v>
      </c>
    </row>
    <row r="18" customFormat="false" ht="15" hidden="false" customHeight="false" outlineLevel="0" collapsed="false">
      <c r="A18" s="2" t="s">
        <v>3</v>
      </c>
      <c r="B18" s="2" t="s">
        <v>5</v>
      </c>
      <c r="C18" s="2" t="s">
        <v>26</v>
      </c>
      <c r="D18" s="14" t="n">
        <v>108.88</v>
      </c>
      <c r="E18" s="7" t="str">
        <f aca="false">IF(INT(ROUND(D18*100,0)/6000)&gt;0,INT(ROUND(D18*100,0)/6000)&amp;":"&amp;RIGHT("0"&amp;INT(MOD(ROUND(D18*100,0),6000)/100),2),INT(MOD(ROUND(D18*100,0),6000)/100))&amp;"."&amp;RIGHT("0"&amp;MOD(ROUND(D18*100,0),100),2)</f>
        <v>1:48.88</v>
      </c>
    </row>
    <row r="19" customFormat="false" ht="15" hidden="false" customHeight="false" outlineLevel="0" collapsed="false">
      <c r="A19" s="2" t="s">
        <v>3</v>
      </c>
      <c r="B19" s="2" t="s">
        <v>5</v>
      </c>
      <c r="C19" s="2" t="s">
        <v>44</v>
      </c>
      <c r="D19" s="14" t="n">
        <v>234.81</v>
      </c>
      <c r="E19" s="7" t="str">
        <f aca="false">IF(INT(ROUND(D19*100,0)/6000)&gt;0,INT(ROUND(D19*100,0)/6000)&amp;":"&amp;RIGHT("0"&amp;INT(MOD(ROUND(D19*100,0),6000)/100),2),INT(MOD(ROUND(D19*100,0),6000)/100))&amp;"."&amp;RIGHT("0"&amp;MOD(ROUND(D19*100,0),100),2)</f>
        <v>3:54.81</v>
      </c>
    </row>
    <row r="20" customFormat="false" ht="15" hidden="false" customHeight="false" outlineLevel="0" collapsed="false">
      <c r="A20" s="2" t="s">
        <v>3</v>
      </c>
      <c r="B20" s="2" t="s">
        <v>25</v>
      </c>
      <c r="C20" s="2" t="s">
        <v>29</v>
      </c>
      <c r="D20" s="14" t="n">
        <v>22.83</v>
      </c>
      <c r="E20" s="7" t="str">
        <f aca="false">IF(INT(ROUND(D20*100,0)/6000)&gt;0,INT(ROUND(D20*100,0)/6000)&amp;":"&amp;RIGHT("0"&amp;INT(MOD(ROUND(D20*100,0),6000)/100),2),INT(MOD(ROUND(D20*100,0),6000)/100))&amp;"."&amp;RIGHT("0"&amp;MOD(ROUND(D20*100,0),100),2)</f>
        <v>22.83</v>
      </c>
    </row>
    <row r="21" customFormat="false" ht="15" hidden="false" customHeight="false" outlineLevel="0" collapsed="false">
      <c r="A21" s="2" t="s">
        <v>3</v>
      </c>
      <c r="B21" s="2" t="s">
        <v>25</v>
      </c>
      <c r="C21" s="2" t="s">
        <v>7</v>
      </c>
      <c r="D21" s="14" t="n">
        <v>49.93</v>
      </c>
      <c r="E21" s="7" t="str">
        <f aca="false">IF(INT(ROUND(D21*100,0)/6000)&gt;0,INT(ROUND(D21*100,0)/6000)&amp;":"&amp;RIGHT("0"&amp;INT(MOD(ROUND(D21*100,0),6000)/100),2),INT(MOD(ROUND(D21*100,0),6000)/100))&amp;"."&amp;RIGHT("0"&amp;MOD(ROUND(D21*100,0),100),2)</f>
        <v>49.93</v>
      </c>
    </row>
    <row r="22" customFormat="false" ht="15" hidden="false" customHeight="false" outlineLevel="0" collapsed="false">
      <c r="A22" s="2" t="s">
        <v>3</v>
      </c>
      <c r="B22" s="2" t="s">
        <v>25</v>
      </c>
      <c r="C22" s="2" t="s">
        <v>30</v>
      </c>
      <c r="D22" s="14" t="n">
        <v>109.36</v>
      </c>
      <c r="E22" s="7" t="str">
        <f aca="false">IF(INT(ROUND(D22*100,0)/6000)&gt;0,INT(ROUND(D22*100,0)/6000)&amp;":"&amp;RIGHT("0"&amp;INT(MOD(ROUND(D22*100,0),6000)/100),2),INT(MOD(ROUND(D22*100,0),6000)/100))&amp;"."&amp;RIGHT("0"&amp;MOD(ROUND(D22*100,0),100),2)</f>
        <v>1:49.36</v>
      </c>
    </row>
    <row r="23" customFormat="false" ht="15" hidden="false" customHeight="false" outlineLevel="0" collapsed="false">
      <c r="A23" s="2" t="s">
        <v>3</v>
      </c>
      <c r="B23" s="2" t="s">
        <v>25</v>
      </c>
      <c r="C23" s="2" t="s">
        <v>31</v>
      </c>
      <c r="D23" s="14" t="n">
        <v>230.25</v>
      </c>
      <c r="E23" s="7" t="str">
        <f aca="false">IF(INT(ROUND(D23*100,0)/6000)&gt;0,INT(ROUND(D23*100,0)/6000)&amp;":"&amp;RIGHT("0"&amp;INT(MOD(ROUND(D23*100,0),6000)/100),2),INT(MOD(ROUND(D23*100,0),6000)/100))&amp;"."&amp;RIGHT("0"&amp;MOD(ROUND(D23*100,0),100),2)</f>
        <v>3:50.25</v>
      </c>
    </row>
    <row r="24" customFormat="false" ht="15" hidden="false" customHeight="false" outlineLevel="0" collapsed="false">
      <c r="A24" s="2" t="s">
        <v>3</v>
      </c>
      <c r="B24" s="2" t="s">
        <v>25</v>
      </c>
      <c r="C24" s="2" t="s">
        <v>32</v>
      </c>
      <c r="D24" s="14" t="n">
        <v>474</v>
      </c>
      <c r="E24" s="7" t="str">
        <f aca="false">IF(INT(ROUND(D24*100,0)/6000)&gt;0,INT(ROUND(D24*100,0)/6000)&amp;":"&amp;RIGHT("0"&amp;INT(MOD(ROUND(D24*100,0),6000)/100),2),INT(MOD(ROUND(D24*100,0),6000)/100))&amp;"."&amp;RIGHT("0"&amp;MOD(ROUND(D24*100,0),100),2)</f>
        <v>7:54.00</v>
      </c>
    </row>
    <row r="25" customFormat="false" ht="15" hidden="false" customHeight="false" outlineLevel="0" collapsed="false">
      <c r="A25" s="2" t="s">
        <v>3</v>
      </c>
      <c r="B25" s="2" t="s">
        <v>25</v>
      </c>
      <c r="C25" s="2" t="s">
        <v>33</v>
      </c>
      <c r="D25" s="14" t="n">
        <v>908.24</v>
      </c>
      <c r="E25" s="7" t="str">
        <f aca="false">IF(INT(ROUND(D25*100,0)/6000)&gt;0,INT(ROUND(D25*100,0)/6000)&amp;":"&amp;RIGHT("0"&amp;INT(MOD(ROUND(D25*100,0),6000)/100),2),INT(MOD(ROUND(D25*100,0),6000)/100))&amp;"."&amp;RIGHT("0"&amp;MOD(ROUND(D25*100,0),100),2)</f>
        <v>15:08.24</v>
      </c>
    </row>
    <row r="26" customFormat="false" ht="15" hidden="false" customHeight="false" outlineLevel="0" collapsed="false">
      <c r="A26" s="2" t="s">
        <v>3</v>
      </c>
      <c r="B26" s="2" t="s">
        <v>25</v>
      </c>
      <c r="C26" s="2" t="s">
        <v>34</v>
      </c>
      <c r="D26" s="14" t="n">
        <v>25.23</v>
      </c>
      <c r="E26" s="7" t="str">
        <f aca="false">IF(INT(ROUND(D26*100,0)/6000)&gt;0,INT(ROUND(D26*100,0)/6000)&amp;":"&amp;RIGHT("0"&amp;INT(MOD(ROUND(D26*100,0),6000)/100),2),INT(MOD(ROUND(D26*100,0),6000)/100))&amp;"."&amp;RIGHT("0"&amp;MOD(ROUND(D26*100,0),100),2)</f>
        <v>25.23</v>
      </c>
    </row>
    <row r="27" customFormat="false" ht="15" hidden="false" customHeight="false" outlineLevel="0" collapsed="false">
      <c r="A27" s="2" t="s">
        <v>3</v>
      </c>
      <c r="B27" s="2" t="s">
        <v>25</v>
      </c>
      <c r="C27" s="2" t="s">
        <v>35</v>
      </c>
      <c r="D27" s="14" t="n">
        <v>54.02</v>
      </c>
      <c r="E27" s="7" t="str">
        <f aca="false">IF(INT(ROUND(D27*100,0)/6000)&gt;0,INT(ROUND(D27*100,0)/6000)&amp;":"&amp;RIGHT("0"&amp;INT(MOD(ROUND(D27*100,0),6000)/100),2),INT(MOD(ROUND(D27*100,0),6000)/100))&amp;"."&amp;RIGHT("0"&amp;MOD(ROUND(D27*100,0),100),2)</f>
        <v>54.02</v>
      </c>
    </row>
    <row r="28" customFormat="false" ht="15" hidden="false" customHeight="false" outlineLevel="0" collapsed="false">
      <c r="A28" s="2" t="s">
        <v>3</v>
      </c>
      <c r="B28" s="2" t="s">
        <v>25</v>
      </c>
      <c r="C28" s="2" t="s">
        <v>36</v>
      </c>
      <c r="D28" s="14" t="n">
        <v>117.33</v>
      </c>
      <c r="E28" s="7" t="str">
        <f aca="false">IF(INT(ROUND(D28*100,0)/6000)&gt;0,INT(ROUND(D28*100,0)/6000)&amp;":"&amp;RIGHT("0"&amp;INT(MOD(ROUND(D28*100,0),6000)/100),2),INT(MOD(ROUND(D28*100,0),6000)/100))&amp;"."&amp;RIGHT("0"&amp;MOD(ROUND(D28*100,0),100),2)</f>
        <v>1:57.33</v>
      </c>
    </row>
    <row r="29" customFormat="false" ht="15" hidden="false" customHeight="false" outlineLevel="0" collapsed="false">
      <c r="A29" s="2" t="s">
        <v>3</v>
      </c>
      <c r="B29" s="2" t="s">
        <v>25</v>
      </c>
      <c r="C29" s="2" t="s">
        <v>37</v>
      </c>
      <c r="D29" s="14" t="n">
        <v>28.37</v>
      </c>
      <c r="E29" s="7" t="str">
        <f aca="false">IF(INT(ROUND(D29*100,0)/6000)&gt;0,INT(ROUND(D29*100,0)/6000)&amp;":"&amp;RIGHT("0"&amp;INT(MOD(ROUND(D29*100,0),6000)/100),2),INT(MOD(ROUND(D29*100,0),6000)/100))&amp;"."&amp;RIGHT("0"&amp;MOD(ROUND(D29*100,0),100),2)</f>
        <v>28.37</v>
      </c>
    </row>
    <row r="30" customFormat="false" ht="15" hidden="false" customHeight="false" outlineLevel="0" collapsed="false">
      <c r="A30" s="2" t="s">
        <v>3</v>
      </c>
      <c r="B30" s="2" t="s">
        <v>25</v>
      </c>
      <c r="C30" s="2" t="s">
        <v>38</v>
      </c>
      <c r="D30" s="14" t="n">
        <v>62.36</v>
      </c>
      <c r="E30" s="7" t="str">
        <f aca="false">IF(INT(ROUND(D30*100,0)/6000)&gt;0,INT(ROUND(D30*100,0)/6000)&amp;":"&amp;RIGHT("0"&amp;INT(MOD(ROUND(D30*100,0),6000)/100),2),INT(MOD(ROUND(D30*100,0),6000)/100))&amp;"."&amp;RIGHT("0"&amp;MOD(ROUND(D30*100,0),100),2)</f>
        <v>1:02.36</v>
      </c>
    </row>
    <row r="31" customFormat="false" ht="15" hidden="false" customHeight="false" outlineLevel="0" collapsed="false">
      <c r="A31" s="2" t="s">
        <v>3</v>
      </c>
      <c r="B31" s="2" t="s">
        <v>25</v>
      </c>
      <c r="C31" s="2" t="s">
        <v>39</v>
      </c>
      <c r="D31" s="14" t="n">
        <v>132.5</v>
      </c>
      <c r="E31" s="7" t="str">
        <f aca="false">IF(INT(ROUND(D31*100,0)/6000)&gt;0,INT(ROUND(D31*100,0)/6000)&amp;":"&amp;RIGHT("0"&amp;INT(MOD(ROUND(D31*100,0),6000)/100),2),INT(MOD(ROUND(D31*100,0),6000)/100))&amp;"."&amp;RIGHT("0"&amp;MOD(ROUND(D31*100,0),100),2)</f>
        <v>2:12.50</v>
      </c>
    </row>
    <row r="32" customFormat="false" ht="15" hidden="false" customHeight="false" outlineLevel="0" collapsed="false">
      <c r="A32" s="2" t="s">
        <v>3</v>
      </c>
      <c r="B32" s="2" t="s">
        <v>25</v>
      </c>
      <c r="C32" s="2" t="s">
        <v>40</v>
      </c>
      <c r="D32" s="14" t="n">
        <v>23.72</v>
      </c>
      <c r="E32" s="7" t="str">
        <f aca="false">IF(INT(ROUND(D32*100,0)/6000)&gt;0,INT(ROUND(D32*100,0)/6000)&amp;":"&amp;RIGHT("0"&amp;INT(MOD(ROUND(D32*100,0),6000)/100),2),INT(MOD(ROUND(D32*100,0),6000)/100))&amp;"."&amp;RIGHT("0"&amp;MOD(ROUND(D32*100,0),100),2)</f>
        <v>23.72</v>
      </c>
    </row>
    <row r="33" customFormat="false" ht="15" hidden="false" customHeight="false" outlineLevel="0" collapsed="false">
      <c r="A33" s="2" t="s">
        <v>3</v>
      </c>
      <c r="B33" s="2" t="s">
        <v>25</v>
      </c>
      <c r="C33" s="2" t="s">
        <v>41</v>
      </c>
      <c r="D33" s="14" t="n">
        <v>52.71</v>
      </c>
      <c r="E33" s="7" t="str">
        <f aca="false">IF(INT(ROUND(D33*100,0)/6000)&gt;0,INT(ROUND(D33*100,0)/6000)&amp;":"&amp;RIGHT("0"&amp;INT(MOD(ROUND(D33*100,0),6000)/100),2),INT(MOD(ROUND(D33*100,0),6000)/100))&amp;"."&amp;RIGHT("0"&amp;MOD(ROUND(D33*100,0),100),2)</f>
        <v>52.71</v>
      </c>
    </row>
    <row r="34" customFormat="false" ht="15" hidden="false" customHeight="false" outlineLevel="0" collapsed="false">
      <c r="A34" s="2" t="s">
        <v>3</v>
      </c>
      <c r="B34" s="2" t="s">
        <v>25</v>
      </c>
      <c r="C34" s="2" t="s">
        <v>42</v>
      </c>
      <c r="D34" s="14" t="n">
        <v>119.32</v>
      </c>
      <c r="E34" s="7" t="str">
        <f aca="false">IF(INT(ROUND(D34*100,0)/6000)&gt;0,INT(ROUND(D34*100,0)/6000)&amp;":"&amp;RIGHT("0"&amp;INT(MOD(ROUND(D34*100,0),6000)/100),2),INT(MOD(ROUND(D34*100,0),6000)/100))&amp;"."&amp;RIGHT("0"&amp;MOD(ROUND(D34*100,0),100),2)</f>
        <v>1:59.32</v>
      </c>
    </row>
    <row r="35" customFormat="false" ht="15" hidden="false" customHeight="false" outlineLevel="0" collapsed="false">
      <c r="A35" s="2" t="s">
        <v>3</v>
      </c>
      <c r="B35" s="2" t="s">
        <v>25</v>
      </c>
      <c r="C35" s="2" t="s">
        <v>43</v>
      </c>
      <c r="D35" s="14" t="n">
        <v>55.11</v>
      </c>
      <c r="E35" s="7" t="str">
        <f aca="false">IF(INT(ROUND(D35*100,0)/6000)&gt;0,INT(ROUND(D35*100,0)/6000)&amp;":"&amp;RIGHT("0"&amp;INT(MOD(ROUND(D35*100,0),6000)/100),2),INT(MOD(ROUND(D35*100,0),6000)/100))&amp;"."&amp;RIGHT("0"&amp;MOD(ROUND(D35*100,0),100),2)</f>
        <v>55.11</v>
      </c>
    </row>
    <row r="36" customFormat="false" ht="15" hidden="false" customHeight="false" outlineLevel="0" collapsed="false">
      <c r="A36" s="2" t="s">
        <v>3</v>
      </c>
      <c r="B36" s="2" t="s">
        <v>25</v>
      </c>
      <c r="C36" s="2" t="s">
        <v>26</v>
      </c>
      <c r="D36" s="14" t="n">
        <v>121.63</v>
      </c>
      <c r="E36" s="7" t="str">
        <f aca="false">IF(INT(ROUND(D36*100,0)/6000)&gt;0,INT(ROUND(D36*100,0)/6000)&amp;":"&amp;RIGHT("0"&amp;INT(MOD(ROUND(D36*100,0),6000)/100),2),INT(MOD(ROUND(D36*100,0),6000)/100))&amp;"."&amp;RIGHT("0"&amp;MOD(ROUND(D36*100,0),100),2)</f>
        <v>2:01.63</v>
      </c>
    </row>
    <row r="37" customFormat="false" ht="15" hidden="false" customHeight="false" outlineLevel="0" collapsed="false">
      <c r="A37" s="2" t="s">
        <v>3</v>
      </c>
      <c r="B37" s="2" t="s">
        <v>25</v>
      </c>
      <c r="C37" s="2" t="s">
        <v>44</v>
      </c>
      <c r="D37" s="14" t="n">
        <v>255.48</v>
      </c>
      <c r="E37" s="7" t="str">
        <f aca="false">IF(INT(ROUND(D37*100,0)/6000)&gt;0,INT(ROUND(D37*100,0)/6000)&amp;":"&amp;RIGHT("0"&amp;INT(MOD(ROUND(D37*100,0),6000)/100),2),INT(MOD(ROUND(D37*100,0),6000)/100))&amp;"."&amp;RIGHT("0"&amp;MOD(ROUND(D37*100,0),100),2)</f>
        <v>4:15.48</v>
      </c>
    </row>
    <row r="38" customFormat="false" ht="15" hidden="false" customHeight="false" outlineLevel="0" collapsed="false">
      <c r="A38" s="2" t="s">
        <v>24</v>
      </c>
      <c r="B38" s="2" t="s">
        <v>5</v>
      </c>
      <c r="C38" s="2" t="s">
        <v>29</v>
      </c>
      <c r="D38" s="14" t="n">
        <v>20.91</v>
      </c>
      <c r="E38" s="7" t="str">
        <f aca="false">IF(INT(ROUND(D38*100,0)/6000)&gt;0,INT(ROUND(D38*100,0)/6000)&amp;":"&amp;RIGHT("0"&amp;INT(MOD(ROUND(D38*100,0),6000)/100),2),INT(MOD(ROUND(D38*100,0),6000)/100))&amp;"."&amp;RIGHT("0"&amp;MOD(ROUND(D38*100,0),100),2)</f>
        <v>20.91</v>
      </c>
    </row>
    <row r="39" customFormat="false" ht="15" hidden="false" customHeight="false" outlineLevel="0" collapsed="false">
      <c r="A39" s="2" t="s">
        <v>24</v>
      </c>
      <c r="B39" s="2" t="s">
        <v>5</v>
      </c>
      <c r="C39" s="2" t="s">
        <v>7</v>
      </c>
      <c r="D39" s="14" t="n">
        <v>46.4</v>
      </c>
      <c r="E39" s="7" t="str">
        <f aca="false">IF(INT(ROUND(D39*100,0)/6000)&gt;0,INT(ROUND(D39*100,0)/6000)&amp;":"&amp;RIGHT("0"&amp;INT(MOD(ROUND(D39*100,0),6000)/100),2),INT(MOD(ROUND(D39*100,0),6000)/100))&amp;"."&amp;RIGHT("0"&amp;MOD(ROUND(D39*100,0),100),2)</f>
        <v>46.40</v>
      </c>
    </row>
    <row r="40" customFormat="false" ht="15" hidden="false" customHeight="false" outlineLevel="0" collapsed="false">
      <c r="A40" s="2" t="s">
        <v>24</v>
      </c>
      <c r="B40" s="2" t="s">
        <v>5</v>
      </c>
      <c r="C40" s="2" t="s">
        <v>30</v>
      </c>
      <c r="D40" s="14" t="n">
        <v>102</v>
      </c>
      <c r="E40" s="7" t="str">
        <f aca="false">IF(INT(ROUND(D40*100,0)/6000)&gt;0,INT(ROUND(D40*100,0)/6000)&amp;":"&amp;RIGHT("0"&amp;INT(MOD(ROUND(D40*100,0),6000)/100),2),INT(MOD(ROUND(D40*100,0),6000)/100))&amp;"."&amp;RIGHT("0"&amp;MOD(ROUND(D40*100,0),100),2)</f>
        <v>1:42.00</v>
      </c>
    </row>
    <row r="41" customFormat="false" ht="15" hidden="false" customHeight="false" outlineLevel="0" collapsed="false">
      <c r="A41" s="2" t="s">
        <v>24</v>
      </c>
      <c r="B41" s="2" t="s">
        <v>5</v>
      </c>
      <c r="C41" s="2" t="s">
        <v>31</v>
      </c>
      <c r="D41" s="14" t="n">
        <v>219.96</v>
      </c>
      <c r="E41" s="7" t="str">
        <f aca="false">IF(INT(ROUND(D41*100,0)/6000)&gt;0,INT(ROUND(D41*100,0)/6000)&amp;":"&amp;RIGHT("0"&amp;INT(MOD(ROUND(D41*100,0),6000)/100),2),INT(MOD(ROUND(D41*100,0),6000)/100))&amp;"."&amp;RIGHT("0"&amp;MOD(ROUND(D41*100,0),100),2)</f>
        <v>3:39.96</v>
      </c>
    </row>
    <row r="42" customFormat="false" ht="15" hidden="false" customHeight="false" outlineLevel="0" collapsed="false">
      <c r="A42" s="2" t="s">
        <v>24</v>
      </c>
      <c r="B42" s="2" t="s">
        <v>5</v>
      </c>
      <c r="C42" s="2" t="s">
        <v>32</v>
      </c>
      <c r="D42" s="14" t="n">
        <v>452.12</v>
      </c>
      <c r="E42" s="7" t="str">
        <f aca="false">IF(INT(ROUND(D42*100,0)/6000)&gt;0,INT(ROUND(D42*100,0)/6000)&amp;":"&amp;RIGHT("0"&amp;INT(MOD(ROUND(D42*100,0),6000)/100),2),INT(MOD(ROUND(D42*100,0),6000)/100))&amp;"."&amp;RIGHT("0"&amp;MOD(ROUND(D42*100,0),100),2)</f>
        <v>7:32.12</v>
      </c>
    </row>
    <row r="43" customFormat="false" ht="15" hidden="false" customHeight="false" outlineLevel="0" collapsed="false">
      <c r="A43" s="2" t="s">
        <v>24</v>
      </c>
      <c r="B43" s="2" t="s">
        <v>5</v>
      </c>
      <c r="C43" s="2" t="s">
        <v>33</v>
      </c>
      <c r="D43" s="14" t="n">
        <v>870.67</v>
      </c>
      <c r="E43" s="7" t="str">
        <f aca="false">IF(INT(ROUND(D43*100,0)/6000)&gt;0,INT(ROUND(D43*100,0)/6000)&amp;":"&amp;RIGHT("0"&amp;INT(MOD(ROUND(D43*100,0),6000)/100),2),INT(MOD(ROUND(D43*100,0),6000)/100))&amp;"."&amp;RIGHT("0"&amp;MOD(ROUND(D43*100,0),100),2)</f>
        <v>14:30.67</v>
      </c>
    </row>
    <row r="44" customFormat="false" ht="15" hidden="false" customHeight="false" outlineLevel="0" collapsed="false">
      <c r="A44" s="2" t="s">
        <v>24</v>
      </c>
      <c r="B44" s="2" t="s">
        <v>5</v>
      </c>
      <c r="C44" s="2" t="s">
        <v>34</v>
      </c>
      <c r="D44" s="14" t="n">
        <v>23.55</v>
      </c>
      <c r="E44" s="7" t="str">
        <f aca="false">IF(INT(ROUND(D44*100,0)/6000)&gt;0,INT(ROUND(D44*100,0)/6000)&amp;":"&amp;RIGHT("0"&amp;INT(MOD(ROUND(D44*100,0),6000)/100),2),INT(MOD(ROUND(D44*100,0),6000)/100))&amp;"."&amp;RIGHT("0"&amp;MOD(ROUND(D44*100,0),100),2)</f>
        <v>23.55</v>
      </c>
    </row>
    <row r="45" customFormat="false" ht="15" hidden="false" customHeight="false" outlineLevel="0" collapsed="false">
      <c r="A45" s="2" t="s">
        <v>24</v>
      </c>
      <c r="B45" s="2" t="s">
        <v>5</v>
      </c>
      <c r="C45" s="2" t="s">
        <v>35</v>
      </c>
      <c r="D45" s="14" t="n">
        <v>51.6</v>
      </c>
      <c r="E45" s="7" t="str">
        <f aca="false">IF(INT(ROUND(D45*100,0)/6000)&gt;0,INT(ROUND(D45*100,0)/6000)&amp;":"&amp;RIGHT("0"&amp;INT(MOD(ROUND(D45*100,0),6000)/100),2),INT(MOD(ROUND(D45*100,0),6000)/100))&amp;"."&amp;RIGHT("0"&amp;MOD(ROUND(D45*100,0),100),2)</f>
        <v>51.60</v>
      </c>
    </row>
    <row r="46" customFormat="false" ht="15" hidden="false" customHeight="false" outlineLevel="0" collapsed="false">
      <c r="A46" s="2" t="s">
        <v>24</v>
      </c>
      <c r="B46" s="2" t="s">
        <v>5</v>
      </c>
      <c r="C46" s="2" t="s">
        <v>36</v>
      </c>
      <c r="D46" s="14" t="n">
        <v>111.92</v>
      </c>
      <c r="E46" s="7" t="str">
        <f aca="false">IF(INT(ROUND(D46*100,0)/6000)&gt;0,INT(ROUND(D46*100,0)/6000)&amp;":"&amp;RIGHT("0"&amp;INT(MOD(ROUND(D46*100,0),6000)/100),2),INT(MOD(ROUND(D46*100,0),6000)/100))&amp;"."&amp;RIGHT("0"&amp;MOD(ROUND(D46*100,0),100),2)</f>
        <v>1:51.92</v>
      </c>
    </row>
    <row r="47" customFormat="false" ht="15" hidden="false" customHeight="false" outlineLevel="0" collapsed="false">
      <c r="A47" s="2" t="s">
        <v>24</v>
      </c>
      <c r="B47" s="2" t="s">
        <v>5</v>
      </c>
      <c r="C47" s="2" t="s">
        <v>37</v>
      </c>
      <c r="D47" s="14" t="n">
        <v>25.95</v>
      </c>
      <c r="E47" s="7" t="str">
        <f aca="false">IF(INT(ROUND(D47*100,0)/6000)&gt;0,INT(ROUND(D47*100,0)/6000)&amp;":"&amp;RIGHT("0"&amp;INT(MOD(ROUND(D47*100,0),6000)/100),2),INT(MOD(ROUND(D47*100,0),6000)/100))&amp;"."&amp;RIGHT("0"&amp;MOD(ROUND(D47*100,0),100),2)</f>
        <v>25.95</v>
      </c>
    </row>
    <row r="48" customFormat="false" ht="15" hidden="false" customHeight="false" outlineLevel="0" collapsed="false">
      <c r="A48" s="2" t="s">
        <v>24</v>
      </c>
      <c r="B48" s="2" t="s">
        <v>5</v>
      </c>
      <c r="C48" s="2" t="s">
        <v>38</v>
      </c>
      <c r="D48" s="14" t="n">
        <v>56.88</v>
      </c>
      <c r="E48" s="7" t="str">
        <f aca="false">IF(INT(ROUND(D48*100,0)/6000)&gt;0,INT(ROUND(D48*100,0)/6000)&amp;":"&amp;RIGHT("0"&amp;INT(MOD(ROUND(D48*100,0),6000)/100),2),INT(MOD(ROUND(D48*100,0),6000)/100))&amp;"."&amp;RIGHT("0"&amp;MOD(ROUND(D48*100,0),100),2)</f>
        <v>56.88</v>
      </c>
    </row>
    <row r="49" customFormat="false" ht="15" hidden="false" customHeight="false" outlineLevel="0" collapsed="false">
      <c r="A49" s="2" t="s">
        <v>24</v>
      </c>
      <c r="B49" s="2" t="s">
        <v>5</v>
      </c>
      <c r="C49" s="2" t="s">
        <v>39</v>
      </c>
      <c r="D49" s="14" t="n">
        <v>125.48</v>
      </c>
      <c r="E49" s="7" t="str">
        <f aca="false">IF(INT(ROUND(D49*100,0)/6000)&gt;0,INT(ROUND(D49*100,0)/6000)&amp;":"&amp;RIGHT("0"&amp;INT(MOD(ROUND(D49*100,0),6000)/100),2),INT(MOD(ROUND(D49*100,0),6000)/100))&amp;"."&amp;RIGHT("0"&amp;MOD(ROUND(D49*100,0),100),2)</f>
        <v>2:05.48</v>
      </c>
    </row>
    <row r="50" customFormat="false" ht="15" hidden="false" customHeight="false" outlineLevel="0" collapsed="false">
      <c r="A50" s="2" t="s">
        <v>24</v>
      </c>
      <c r="B50" s="2" t="s">
        <v>5</v>
      </c>
      <c r="C50" s="2" t="s">
        <v>40</v>
      </c>
      <c r="D50" s="14" t="n">
        <v>22.27</v>
      </c>
      <c r="E50" s="7" t="str">
        <f aca="false">IF(INT(ROUND(D50*100,0)/6000)&gt;0,INT(ROUND(D50*100,0)/6000)&amp;":"&amp;RIGHT("0"&amp;INT(MOD(ROUND(D50*100,0),6000)/100),2),INT(MOD(ROUND(D50*100,0),6000)/100))&amp;"."&amp;RIGHT("0"&amp;MOD(ROUND(D50*100,0),100),2)</f>
        <v>22.27</v>
      </c>
    </row>
    <row r="51" customFormat="false" ht="15" hidden="false" customHeight="false" outlineLevel="0" collapsed="false">
      <c r="A51" s="2" t="s">
        <v>24</v>
      </c>
      <c r="B51" s="2" t="s">
        <v>5</v>
      </c>
      <c r="C51" s="2" t="s">
        <v>41</v>
      </c>
      <c r="D51" s="14" t="n">
        <v>49.45</v>
      </c>
      <c r="E51" s="7" t="str">
        <f aca="false">IF(INT(ROUND(D51*100,0)/6000)&gt;0,INT(ROUND(D51*100,0)/6000)&amp;":"&amp;RIGHT("0"&amp;INT(MOD(ROUND(D51*100,0),6000)/100),2),INT(MOD(ROUND(D51*100,0),6000)/100))&amp;"."&amp;RIGHT("0"&amp;MOD(ROUND(D51*100,0),100),2)</f>
        <v>49.45</v>
      </c>
    </row>
    <row r="52" customFormat="false" ht="15" hidden="false" customHeight="false" outlineLevel="0" collapsed="false">
      <c r="A52" s="2" t="s">
        <v>24</v>
      </c>
      <c r="B52" s="2" t="s">
        <v>5</v>
      </c>
      <c r="C52" s="2" t="s">
        <v>42</v>
      </c>
      <c r="D52" s="14" t="n">
        <v>110.34</v>
      </c>
      <c r="E52" s="7" t="str">
        <f aca="false">IF(INT(ROUND(D52*100,0)/6000)&gt;0,INT(ROUND(D52*100,0)/6000)&amp;":"&amp;RIGHT("0"&amp;INT(MOD(ROUND(D52*100,0),6000)/100),2),INT(MOD(ROUND(D52*100,0),6000)/100))&amp;"."&amp;RIGHT("0"&amp;MOD(ROUND(D52*100,0),100),2)</f>
        <v>1:50.34</v>
      </c>
    </row>
    <row r="53" customFormat="false" ht="15" hidden="false" customHeight="false" outlineLevel="0" collapsed="false">
      <c r="A53" s="2" t="s">
        <v>24</v>
      </c>
      <c r="B53" s="2" t="s">
        <v>5</v>
      </c>
      <c r="C53" s="2" t="s">
        <v>26</v>
      </c>
      <c r="D53" s="14" t="n">
        <v>112.69</v>
      </c>
      <c r="E53" s="7" t="str">
        <f aca="false">IF(INT(ROUND(D53*100,0)/6000)&gt;0,INT(ROUND(D53*100,0)/6000)&amp;":"&amp;RIGHT("0"&amp;INT(MOD(ROUND(D53*100,0),6000)/100),2),INT(MOD(ROUND(D53*100,0),6000)/100))&amp;"."&amp;RIGHT("0"&amp;MOD(ROUND(D53*100,0),100),2)</f>
        <v>1:52.69</v>
      </c>
    </row>
    <row r="54" customFormat="false" ht="15" hidden="false" customHeight="false" outlineLevel="0" collapsed="false">
      <c r="A54" s="2" t="s">
        <v>24</v>
      </c>
      <c r="B54" s="2" t="s">
        <v>5</v>
      </c>
      <c r="C54" s="2" t="s">
        <v>44</v>
      </c>
      <c r="D54" s="14" t="n">
        <v>242.5</v>
      </c>
      <c r="E54" s="7" t="str">
        <f aca="false">IF(INT(ROUND(D54*100,0)/6000)&gt;0,INT(ROUND(D54*100,0)/6000)&amp;":"&amp;RIGHT("0"&amp;INT(MOD(ROUND(D54*100,0),6000)/100),2),INT(MOD(ROUND(D54*100,0),6000)/100))&amp;"."&amp;RIGHT("0"&amp;MOD(ROUND(D54*100,0),100),2)</f>
        <v>4:02.50</v>
      </c>
    </row>
    <row r="55" customFormat="false" ht="15" hidden="false" customHeight="false" outlineLevel="0" collapsed="false">
      <c r="A55" s="2" t="s">
        <v>24</v>
      </c>
      <c r="B55" s="2" t="s">
        <v>25</v>
      </c>
      <c r="C55" s="2" t="s">
        <v>29</v>
      </c>
      <c r="D55" s="14" t="n">
        <v>23.61</v>
      </c>
      <c r="E55" s="7" t="str">
        <f aca="false">IF(INT(ROUND(D55*100,0)/6000)&gt;0,INT(ROUND(D55*100,0)/6000)&amp;":"&amp;RIGHT("0"&amp;INT(MOD(ROUND(D55*100,0),6000)/100),2),INT(MOD(ROUND(D55*100,0),6000)/100))&amp;"."&amp;RIGHT("0"&amp;MOD(ROUND(D55*100,0),100),2)</f>
        <v>23.61</v>
      </c>
    </row>
    <row r="56" customFormat="false" ht="15" hidden="false" customHeight="false" outlineLevel="0" collapsed="false">
      <c r="A56" s="2" t="s">
        <v>24</v>
      </c>
      <c r="B56" s="2" t="s">
        <v>25</v>
      </c>
      <c r="C56" s="2" t="s">
        <v>7</v>
      </c>
      <c r="D56" s="14" t="n">
        <v>51.71</v>
      </c>
      <c r="E56" s="7" t="str">
        <f aca="false">IF(INT(ROUND(D56*100,0)/6000)&gt;0,INT(ROUND(D56*100,0)/6000)&amp;":"&amp;RIGHT("0"&amp;INT(MOD(ROUND(D56*100,0),6000)/100),2),INT(MOD(ROUND(D56*100,0),6000)/100))&amp;"."&amp;RIGHT("0"&amp;MOD(ROUND(D56*100,0),100),2)</f>
        <v>51.71</v>
      </c>
    </row>
    <row r="57" customFormat="false" ht="15" hidden="false" customHeight="false" outlineLevel="0" collapsed="false">
      <c r="A57" s="2" t="s">
        <v>24</v>
      </c>
      <c r="B57" s="2" t="s">
        <v>25</v>
      </c>
      <c r="C57" s="2" t="s">
        <v>30</v>
      </c>
      <c r="D57" s="14" t="n">
        <v>112.23</v>
      </c>
      <c r="E57" s="7" t="str">
        <f aca="false">IF(INT(ROUND(D57*100,0)/6000)&gt;0,INT(ROUND(D57*100,0)/6000)&amp;":"&amp;RIGHT("0"&amp;INT(MOD(ROUND(D57*100,0),6000)/100),2),INT(MOD(ROUND(D57*100,0),6000)/100))&amp;"."&amp;RIGHT("0"&amp;MOD(ROUND(D57*100,0),100),2)</f>
        <v>1:52.23</v>
      </c>
    </row>
    <row r="58" customFormat="false" ht="15" hidden="false" customHeight="false" outlineLevel="0" collapsed="false">
      <c r="A58" s="2" t="s">
        <v>24</v>
      </c>
      <c r="B58" s="2" t="s">
        <v>25</v>
      </c>
      <c r="C58" s="2" t="s">
        <v>31</v>
      </c>
      <c r="D58" s="14" t="n">
        <v>234.18</v>
      </c>
      <c r="E58" s="7" t="str">
        <f aca="false">IF(INT(ROUND(D58*100,0)/6000)&gt;0,INT(ROUND(D58*100,0)/6000)&amp;":"&amp;RIGHT("0"&amp;INT(MOD(ROUND(D58*100,0),6000)/100),2),INT(MOD(ROUND(D58*100,0),6000)/100))&amp;"."&amp;RIGHT("0"&amp;MOD(ROUND(D58*100,0),100),2)</f>
        <v>3:54.18</v>
      </c>
    </row>
    <row r="59" customFormat="false" ht="15" hidden="false" customHeight="false" outlineLevel="0" collapsed="false">
      <c r="A59" s="2" t="s">
        <v>24</v>
      </c>
      <c r="B59" s="2" t="s">
        <v>25</v>
      </c>
      <c r="C59" s="2" t="s">
        <v>32</v>
      </c>
      <c r="D59" s="14" t="n">
        <v>484.12</v>
      </c>
      <c r="E59" s="7" t="str">
        <f aca="false">IF(INT(ROUND(D59*100,0)/6000)&gt;0,INT(ROUND(D59*100,0)/6000)&amp;":"&amp;RIGHT("0"&amp;INT(MOD(ROUND(D59*100,0),6000)/100),2),INT(MOD(ROUND(D59*100,0),6000)/100))&amp;"."&amp;RIGHT("0"&amp;MOD(ROUND(D59*100,0),100),2)</f>
        <v>8:04.12</v>
      </c>
    </row>
    <row r="60" customFormat="false" ht="15" hidden="false" customHeight="false" outlineLevel="0" collapsed="false">
      <c r="A60" s="2" t="s">
        <v>24</v>
      </c>
      <c r="B60" s="2" t="s">
        <v>25</v>
      </c>
      <c r="C60" s="2" t="s">
        <v>33</v>
      </c>
      <c r="D60" s="14" t="n">
        <v>920.48</v>
      </c>
      <c r="E60" s="7" t="str">
        <f aca="false">IF(INT(ROUND(D60*100,0)/6000)&gt;0,INT(ROUND(D60*100,0)/6000)&amp;":"&amp;RIGHT("0"&amp;INT(MOD(ROUND(D60*100,0),6000)/100),2),INT(MOD(ROUND(D60*100,0),6000)/100))&amp;"."&amp;RIGHT("0"&amp;MOD(ROUND(D60*100,0),100),2)</f>
        <v>15:20.48</v>
      </c>
    </row>
    <row r="61" customFormat="false" ht="15" hidden="false" customHeight="false" outlineLevel="0" collapsed="false">
      <c r="A61" s="2" t="s">
        <v>24</v>
      </c>
      <c r="B61" s="2" t="s">
        <v>25</v>
      </c>
      <c r="C61" s="2" t="s">
        <v>34</v>
      </c>
      <c r="D61" s="14" t="n">
        <v>26.86</v>
      </c>
      <c r="E61" s="7" t="str">
        <f aca="false">IF(INT(ROUND(D61*100,0)/6000)&gt;0,INT(ROUND(D61*100,0)/6000)&amp;":"&amp;RIGHT("0"&amp;INT(MOD(ROUND(D61*100,0),6000)/100),2),INT(MOD(ROUND(D61*100,0),6000)/100))&amp;"."&amp;RIGHT("0"&amp;MOD(ROUND(D61*100,0),100),2)</f>
        <v>26.86</v>
      </c>
    </row>
    <row r="62" customFormat="false" ht="15" hidden="false" customHeight="false" outlineLevel="0" collapsed="false">
      <c r="A62" s="2" t="s">
        <v>24</v>
      </c>
      <c r="B62" s="2" t="s">
        <v>25</v>
      </c>
      <c r="C62" s="2" t="s">
        <v>35</v>
      </c>
      <c r="D62" s="14" t="n">
        <v>57.13</v>
      </c>
      <c r="E62" s="7" t="str">
        <f aca="false">IF(INT(ROUND(D62*100,0)/6000)&gt;0,INT(ROUND(D62*100,0)/6000)&amp;":"&amp;RIGHT("0"&amp;INT(MOD(ROUND(D62*100,0),6000)/100),2),INT(MOD(ROUND(D62*100,0),6000)/100))&amp;"."&amp;RIGHT("0"&amp;MOD(ROUND(D62*100,0),100),2)</f>
        <v>57.13</v>
      </c>
    </row>
    <row r="63" customFormat="false" ht="15" hidden="false" customHeight="false" outlineLevel="0" collapsed="false">
      <c r="A63" s="2" t="s">
        <v>24</v>
      </c>
      <c r="B63" s="2" t="s">
        <v>25</v>
      </c>
      <c r="C63" s="2" t="s">
        <v>36</v>
      </c>
      <c r="D63" s="14" t="n">
        <v>123.14</v>
      </c>
      <c r="E63" s="7" t="str">
        <f aca="false">IF(INT(ROUND(D63*100,0)/6000)&gt;0,INT(ROUND(D63*100,0)/6000)&amp;":"&amp;RIGHT("0"&amp;INT(MOD(ROUND(D63*100,0),6000)/100),2),INT(MOD(ROUND(D63*100,0),6000)/100))&amp;"."&amp;RIGHT("0"&amp;MOD(ROUND(D63*100,0),100),2)</f>
        <v>2:03.14</v>
      </c>
    </row>
    <row r="64" customFormat="false" ht="15" hidden="false" customHeight="false" outlineLevel="0" collapsed="false">
      <c r="A64" s="2" t="s">
        <v>24</v>
      </c>
      <c r="B64" s="2" t="s">
        <v>25</v>
      </c>
      <c r="C64" s="2" t="s">
        <v>37</v>
      </c>
      <c r="D64" s="14" t="n">
        <v>29.16</v>
      </c>
      <c r="E64" s="7" t="str">
        <f aca="false">IF(INT(ROUND(D64*100,0)/6000)&gt;0,INT(ROUND(D64*100,0)/6000)&amp;":"&amp;RIGHT("0"&amp;INT(MOD(ROUND(D64*100,0),6000)/100),2),INT(MOD(ROUND(D64*100,0),6000)/100))&amp;"."&amp;RIGHT("0"&amp;MOD(ROUND(D64*100,0),100),2)</f>
        <v>29.16</v>
      </c>
    </row>
    <row r="65" customFormat="false" ht="15" hidden="false" customHeight="false" outlineLevel="0" collapsed="false">
      <c r="A65" s="2" t="s">
        <v>24</v>
      </c>
      <c r="B65" s="2" t="s">
        <v>25</v>
      </c>
      <c r="C65" s="2" t="s">
        <v>38</v>
      </c>
      <c r="D65" s="14" t="n">
        <v>64.13</v>
      </c>
      <c r="E65" s="7" t="str">
        <f aca="false">IF(INT(ROUND(D65*100,0)/6000)&gt;0,INT(ROUND(D65*100,0)/6000)&amp;":"&amp;RIGHT("0"&amp;INT(MOD(ROUND(D65*100,0),6000)/100),2),INT(MOD(ROUND(D65*100,0),6000)/100))&amp;"."&amp;RIGHT("0"&amp;MOD(ROUND(D65*100,0),100),2)</f>
        <v>1:04.13</v>
      </c>
    </row>
    <row r="66" customFormat="false" ht="15" hidden="false" customHeight="false" outlineLevel="0" collapsed="false">
      <c r="A66" s="2" t="s">
        <v>24</v>
      </c>
      <c r="B66" s="2" t="s">
        <v>25</v>
      </c>
      <c r="C66" s="2" t="s">
        <v>39</v>
      </c>
      <c r="D66" s="14" t="n">
        <v>137.55</v>
      </c>
      <c r="E66" s="7" t="str">
        <f aca="false">IF(INT(ROUND(D66*100,0)/6000)&gt;0,INT(ROUND(D66*100,0)/6000)&amp;":"&amp;RIGHT("0"&amp;INT(MOD(ROUND(D66*100,0),6000)/100),2),INT(MOD(ROUND(D66*100,0),6000)/100))&amp;"."&amp;RIGHT("0"&amp;MOD(ROUND(D66*100,0),100),2)</f>
        <v>2:17.55</v>
      </c>
    </row>
    <row r="67" customFormat="false" ht="15" hidden="false" customHeight="false" outlineLevel="0" collapsed="false">
      <c r="A67" s="2" t="s">
        <v>24</v>
      </c>
      <c r="B67" s="2" t="s">
        <v>25</v>
      </c>
      <c r="C67" s="2" t="s">
        <v>40</v>
      </c>
      <c r="D67" s="14" t="n">
        <v>24.43</v>
      </c>
      <c r="E67" s="7" t="str">
        <f aca="false">IF(INT(ROUND(D67*100,0)/6000)&gt;0,INT(ROUND(D67*100,0)/6000)&amp;":"&amp;RIGHT("0"&amp;INT(MOD(ROUND(D67*100,0),6000)/100),2),INT(MOD(ROUND(D67*100,0),6000)/100))&amp;"."&amp;RIGHT("0"&amp;MOD(ROUND(D67*100,0),100),2)</f>
        <v>24.43</v>
      </c>
    </row>
    <row r="68" customFormat="false" ht="15" hidden="false" customHeight="false" outlineLevel="0" collapsed="false">
      <c r="A68" s="2" t="s">
        <v>24</v>
      </c>
      <c r="B68" s="2" t="s">
        <v>25</v>
      </c>
      <c r="C68" s="2" t="s">
        <v>41</v>
      </c>
      <c r="D68" s="14" t="n">
        <v>54.6</v>
      </c>
      <c r="E68" s="7" t="str">
        <f aca="false">IF(INT(ROUND(D68*100,0)/6000)&gt;0,INT(ROUND(D68*100,0)/6000)&amp;":"&amp;RIGHT("0"&amp;INT(MOD(ROUND(D68*100,0),6000)/100),2),INT(MOD(ROUND(D68*100,0),6000)/100))&amp;"."&amp;RIGHT("0"&amp;MOD(ROUND(D68*100,0),100),2)</f>
        <v>54.60</v>
      </c>
    </row>
    <row r="69" customFormat="false" ht="15" hidden="false" customHeight="false" outlineLevel="0" collapsed="false">
      <c r="A69" s="2" t="s">
        <v>24</v>
      </c>
      <c r="B69" s="2" t="s">
        <v>25</v>
      </c>
      <c r="C69" s="2" t="s">
        <v>42</v>
      </c>
      <c r="D69" s="14" t="n">
        <v>121.81</v>
      </c>
      <c r="E69" s="7" t="str">
        <f aca="false">IF(INT(ROUND(D69*100,0)/6000)&gt;0,INT(ROUND(D69*100,0)/6000)&amp;":"&amp;RIGHT("0"&amp;INT(MOD(ROUND(D69*100,0),6000)/100),2),INT(MOD(ROUND(D69*100,0),6000)/100))&amp;"."&amp;RIGHT("0"&amp;MOD(ROUND(D69*100,0),100),2)</f>
        <v>2:01.81</v>
      </c>
    </row>
    <row r="70" customFormat="false" ht="15" hidden="false" customHeight="false" outlineLevel="0" collapsed="false">
      <c r="A70" s="2" t="s">
        <v>24</v>
      </c>
      <c r="B70" s="2" t="s">
        <v>25</v>
      </c>
      <c r="C70" s="2" t="s">
        <v>26</v>
      </c>
      <c r="D70" s="14" t="n">
        <v>125.7</v>
      </c>
      <c r="E70" s="7" t="str">
        <f aca="false">IF(INT(ROUND(D70*100,0)/6000)&gt;0,INT(ROUND(D70*100,0)/6000)&amp;":"&amp;RIGHT("0"&amp;INT(MOD(ROUND(D70*100,0),6000)/100),2),INT(MOD(ROUND(D70*100,0),6000)/100))&amp;"."&amp;RIGHT("0"&amp;MOD(ROUND(D70*100,0),100),2)</f>
        <v>2:05.70</v>
      </c>
    </row>
    <row r="71" customFormat="false" ht="15" hidden="false" customHeight="false" outlineLevel="0" collapsed="false">
      <c r="A71" s="2" t="s">
        <v>24</v>
      </c>
      <c r="B71" s="2" t="s">
        <v>25</v>
      </c>
      <c r="C71" s="2" t="s">
        <v>44</v>
      </c>
      <c r="D71" s="14" t="n">
        <v>263.65</v>
      </c>
      <c r="E71" s="7" t="str">
        <f aca="false">IF(INT(ROUND(D71*100,0)/6000)&gt;0,INT(ROUND(D71*100,0)/6000)&amp;":"&amp;RIGHT("0"&amp;INT(MOD(ROUND(D71*100,0),6000)/100),2),INT(MOD(ROUND(D71*100,0),6000)/100))&amp;"."&amp;RIGHT("0"&amp;MOD(ROUND(D71*100,0),100),2)</f>
        <v>4:23.65</v>
      </c>
    </row>
    <row r="72" customFormat="false" ht="15" hidden="false" customHeight="false" outlineLevel="0" collapsed="false">
      <c r="A72" s="2"/>
      <c r="B72" s="2"/>
      <c r="C72" s="2"/>
      <c r="D72" s="2"/>
      <c r="E72" s="2"/>
    </row>
    <row r="73" customFormat="false" ht="15" hidden="false" customHeight="false" outlineLevel="0" collapsed="false">
      <c r="A73" s="3" t="s">
        <v>45</v>
      </c>
      <c r="B73" s="2"/>
      <c r="C73" s="2"/>
      <c r="D73" s="2"/>
      <c r="E73" s="2"/>
    </row>
    <row r="74" customFormat="false" ht="15" hidden="false" customHeight="false" outlineLevel="0" collapsed="false">
      <c r="A74" s="3" t="s">
        <v>46</v>
      </c>
      <c r="B74" s="2"/>
      <c r="C74" s="2"/>
      <c r="D74" s="2"/>
      <c r="E74" s="2"/>
    </row>
    <row r="75" customFormat="false" ht="15" hidden="false" customHeight="false" outlineLevel="0" collapsed="false">
      <c r="A75" s="3" t="s">
        <v>47</v>
      </c>
      <c r="B75" s="2"/>
      <c r="C75" s="2"/>
      <c r="D75" s="2"/>
      <c r="E7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</v>
      </c>
      <c r="B1" s="0" t="s">
        <v>4</v>
      </c>
      <c r="C1" s="0" t="s">
        <v>6</v>
      </c>
      <c r="D1" s="0" t="s">
        <v>8</v>
      </c>
      <c r="E1" s="0" t="s">
        <v>9</v>
      </c>
      <c r="F1" s="0" t="s">
        <v>10</v>
      </c>
      <c r="G1" s="0" t="s">
        <v>48</v>
      </c>
    </row>
    <row r="2" customFormat="false" ht="15" hidden="false" customHeight="false" outlineLevel="0" collapsed="false">
      <c r="A2" s="0" t="s">
        <v>3</v>
      </c>
      <c r="B2" s="0" t="s">
        <v>5</v>
      </c>
      <c r="C2" s="0" t="s">
        <v>29</v>
      </c>
      <c r="D2" s="0" t="n">
        <v>0</v>
      </c>
      <c r="E2" s="0" t="n">
        <v>0</v>
      </c>
      <c r="F2" s="0" t="n">
        <v>0</v>
      </c>
      <c r="G2" s="0" t="n">
        <v>1000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7</v>
      </c>
      <c r="D3" s="0" t="n">
        <v>1</v>
      </c>
      <c r="E3" s="0" t="n">
        <v>1</v>
      </c>
      <c r="F3" s="0" t="n">
        <v>1</v>
      </c>
      <c r="G3" s="0" t="n">
        <v>990</v>
      </c>
    </row>
    <row r="4" customFormat="false" ht="15" hidden="false" customHeight="false" outlineLevel="0" collapsed="false">
      <c r="C4" s="0" t="s">
        <v>30</v>
      </c>
      <c r="D4" s="0" t="n">
        <v>2</v>
      </c>
      <c r="E4" s="0" t="n">
        <v>2</v>
      </c>
      <c r="F4" s="0" t="n">
        <v>2</v>
      </c>
      <c r="G4" s="0" t="n">
        <v>980</v>
      </c>
    </row>
    <row r="5" customFormat="false" ht="15" hidden="false" customHeight="false" outlineLevel="0" collapsed="false">
      <c r="C5" s="0" t="s">
        <v>31</v>
      </c>
      <c r="D5" s="0" t="n">
        <v>3</v>
      </c>
      <c r="E5" s="0" t="n">
        <v>3</v>
      </c>
      <c r="F5" s="0" t="n">
        <v>3</v>
      </c>
      <c r="G5" s="0" t="n">
        <v>970</v>
      </c>
    </row>
    <row r="6" customFormat="false" ht="15" hidden="false" customHeight="false" outlineLevel="0" collapsed="false">
      <c r="C6" s="0" t="s">
        <v>32</v>
      </c>
      <c r="D6" s="0" t="n">
        <v>4</v>
      </c>
      <c r="E6" s="0" t="n">
        <v>4</v>
      </c>
      <c r="F6" s="0" t="n">
        <v>4</v>
      </c>
      <c r="G6" s="0" t="n">
        <v>960</v>
      </c>
    </row>
    <row r="7" customFormat="false" ht="15" hidden="false" customHeight="false" outlineLevel="0" collapsed="false">
      <c r="C7" s="0" t="s">
        <v>33</v>
      </c>
      <c r="D7" s="0" t="n">
        <v>5</v>
      </c>
      <c r="E7" s="0" t="n">
        <v>5</v>
      </c>
      <c r="F7" s="0" t="n">
        <v>5</v>
      </c>
      <c r="G7" s="0" t="n">
        <v>950</v>
      </c>
    </row>
    <row r="8" customFormat="false" ht="15" hidden="false" customHeight="false" outlineLevel="0" collapsed="false">
      <c r="C8" s="0" t="s">
        <v>34</v>
      </c>
      <c r="D8" s="0" t="n">
        <v>6</v>
      </c>
      <c r="E8" s="0" t="n">
        <v>6</v>
      </c>
      <c r="F8" s="0" t="n">
        <v>6</v>
      </c>
      <c r="G8" s="0" t="n">
        <v>940</v>
      </c>
    </row>
    <row r="9" customFormat="false" ht="15" hidden="false" customHeight="false" outlineLevel="0" collapsed="false">
      <c r="C9" s="0" t="s">
        <v>35</v>
      </c>
      <c r="D9" s="0" t="n">
        <v>7</v>
      </c>
      <c r="E9" s="0" t="n">
        <v>7</v>
      </c>
      <c r="F9" s="0" t="n">
        <v>7</v>
      </c>
      <c r="G9" s="0" t="n">
        <v>930</v>
      </c>
    </row>
    <row r="10" customFormat="false" ht="15" hidden="false" customHeight="false" outlineLevel="0" collapsed="false">
      <c r="C10" s="0" t="s">
        <v>36</v>
      </c>
      <c r="D10" s="0" t="n">
        <v>8</v>
      </c>
      <c r="E10" s="0" t="n">
        <v>8</v>
      </c>
      <c r="F10" s="0" t="n">
        <v>8</v>
      </c>
      <c r="G10" s="0" t="n">
        <v>920</v>
      </c>
    </row>
    <row r="11" customFormat="false" ht="15" hidden="false" customHeight="false" outlineLevel="0" collapsed="false">
      <c r="C11" s="0" t="s">
        <v>37</v>
      </c>
      <c r="D11" s="0" t="n">
        <v>9</v>
      </c>
      <c r="E11" s="0" t="n">
        <v>9</v>
      </c>
      <c r="F11" s="0" t="n">
        <v>9</v>
      </c>
      <c r="G11" s="0" t="n">
        <v>910</v>
      </c>
    </row>
    <row r="12" customFormat="false" ht="15" hidden="false" customHeight="false" outlineLevel="0" collapsed="false">
      <c r="C12" s="0" t="s">
        <v>38</v>
      </c>
      <c r="D12" s="0" t="n">
        <v>10</v>
      </c>
      <c r="E12" s="0" t="n">
        <v>10</v>
      </c>
      <c r="F12" s="0" t="n">
        <v>10</v>
      </c>
      <c r="G12" s="0" t="n">
        <v>900</v>
      </c>
    </row>
    <row r="13" customFormat="false" ht="15" hidden="false" customHeight="false" outlineLevel="0" collapsed="false">
      <c r="C13" s="0" t="s">
        <v>39</v>
      </c>
      <c r="D13" s="0" t="n">
        <v>11</v>
      </c>
      <c r="E13" s="0" t="n">
        <v>11</v>
      </c>
      <c r="F13" s="0" t="n">
        <v>11</v>
      </c>
      <c r="G13" s="0" t="n">
        <v>890</v>
      </c>
    </row>
    <row r="14" customFormat="false" ht="15" hidden="false" customHeight="false" outlineLevel="0" collapsed="false">
      <c r="C14" s="0" t="s">
        <v>40</v>
      </c>
      <c r="D14" s="0" t="n">
        <v>12</v>
      </c>
      <c r="E14" s="0" t="n">
        <v>12</v>
      </c>
      <c r="F14" s="0" t="n">
        <v>12</v>
      </c>
      <c r="G14" s="0" t="n">
        <v>880</v>
      </c>
    </row>
    <row r="15" customFormat="false" ht="15" hidden="false" customHeight="false" outlineLevel="0" collapsed="false">
      <c r="C15" s="0" t="s">
        <v>41</v>
      </c>
      <c r="D15" s="0" t="n">
        <v>13</v>
      </c>
      <c r="E15" s="0" t="n">
        <v>13</v>
      </c>
      <c r="F15" s="0" t="n">
        <v>13</v>
      </c>
      <c r="G15" s="0" t="n">
        <v>870</v>
      </c>
    </row>
    <row r="16" customFormat="false" ht="15" hidden="false" customHeight="false" outlineLevel="0" collapsed="false">
      <c r="C16" s="0" t="s">
        <v>42</v>
      </c>
      <c r="D16" s="0" t="n">
        <v>14</v>
      </c>
      <c r="E16" s="0" t="n">
        <v>14</v>
      </c>
      <c r="F16" s="0" t="n">
        <v>14</v>
      </c>
      <c r="G16" s="0" t="n">
        <v>860</v>
      </c>
    </row>
    <row r="17" customFormat="false" ht="15" hidden="false" customHeight="false" outlineLevel="0" collapsed="false">
      <c r="C17" s="0" t="s">
        <v>43</v>
      </c>
      <c r="D17" s="0" t="n">
        <v>15</v>
      </c>
      <c r="E17" s="0" t="n">
        <v>15</v>
      </c>
      <c r="F17" s="0" t="n">
        <v>15</v>
      </c>
      <c r="G17" s="0" t="n">
        <v>850</v>
      </c>
    </row>
    <row r="18" customFormat="false" ht="15" hidden="false" customHeight="false" outlineLevel="0" collapsed="false">
      <c r="C18" s="0" t="s">
        <v>26</v>
      </c>
      <c r="D18" s="0" t="n">
        <v>16</v>
      </c>
      <c r="E18" s="0" t="n">
        <v>16</v>
      </c>
      <c r="F18" s="0" t="n">
        <v>16</v>
      </c>
      <c r="G18" s="0" t="n">
        <v>840</v>
      </c>
    </row>
    <row r="19" customFormat="false" ht="15" hidden="false" customHeight="false" outlineLevel="0" collapsed="false">
      <c r="C19" s="0" t="s">
        <v>44</v>
      </c>
      <c r="D19" s="0" t="n">
        <v>17</v>
      </c>
      <c r="E19" s="0" t="n">
        <v>17</v>
      </c>
      <c r="F19" s="0" t="n">
        <v>17</v>
      </c>
      <c r="G19" s="0" t="n">
        <v>830</v>
      </c>
    </row>
    <row r="20" customFormat="false" ht="15" hidden="false" customHeight="false" outlineLevel="0" collapsed="false">
      <c r="D20" s="0" t="n">
        <v>18</v>
      </c>
      <c r="E20" s="0" t="n">
        <v>18</v>
      </c>
      <c r="F20" s="0" t="n">
        <v>18</v>
      </c>
      <c r="G20" s="0" t="n">
        <v>820</v>
      </c>
    </row>
    <row r="21" customFormat="false" ht="15" hidden="false" customHeight="false" outlineLevel="0" collapsed="false">
      <c r="D21" s="0" t="n">
        <v>19</v>
      </c>
      <c r="E21" s="0" t="n">
        <v>19</v>
      </c>
      <c r="F21" s="0" t="n">
        <v>19</v>
      </c>
      <c r="G21" s="0" t="n">
        <v>810</v>
      </c>
    </row>
    <row r="22" customFormat="false" ht="15" hidden="false" customHeight="false" outlineLevel="0" collapsed="false">
      <c r="D22" s="0" t="n">
        <v>20</v>
      </c>
      <c r="E22" s="0" t="n">
        <v>20</v>
      </c>
      <c r="F22" s="0" t="n">
        <v>20</v>
      </c>
      <c r="G22" s="0" t="n">
        <v>800</v>
      </c>
    </row>
    <row r="23" customFormat="false" ht="15" hidden="false" customHeight="false" outlineLevel="0" collapsed="false">
      <c r="D23" s="0" t="n">
        <v>21</v>
      </c>
      <c r="E23" s="0" t="n">
        <v>21</v>
      </c>
      <c r="F23" s="0" t="n">
        <v>21</v>
      </c>
      <c r="G23" s="0" t="n">
        <v>790</v>
      </c>
    </row>
    <row r="24" customFormat="false" ht="15" hidden="false" customHeight="false" outlineLevel="0" collapsed="false">
      <c r="D24" s="0" t="n">
        <v>22</v>
      </c>
      <c r="E24" s="0" t="n">
        <v>22</v>
      </c>
      <c r="F24" s="0" t="n">
        <v>22</v>
      </c>
      <c r="G24" s="0" t="n">
        <v>780</v>
      </c>
    </row>
    <row r="25" customFormat="false" ht="15" hidden="false" customHeight="false" outlineLevel="0" collapsed="false">
      <c r="D25" s="0" t="n">
        <v>23</v>
      </c>
      <c r="E25" s="0" t="n">
        <v>23</v>
      </c>
      <c r="F25" s="0" t="n">
        <v>23</v>
      </c>
      <c r="G25" s="0" t="n">
        <v>770</v>
      </c>
    </row>
    <row r="26" customFormat="false" ht="15" hidden="false" customHeight="false" outlineLevel="0" collapsed="false">
      <c r="D26" s="0" t="n">
        <v>24</v>
      </c>
      <c r="E26" s="0" t="n">
        <v>24</v>
      </c>
      <c r="F26" s="0" t="n">
        <v>24</v>
      </c>
      <c r="G26" s="0" t="n">
        <v>760</v>
      </c>
    </row>
    <row r="27" customFormat="false" ht="15" hidden="false" customHeight="false" outlineLevel="0" collapsed="false">
      <c r="D27" s="0" t="n">
        <v>25</v>
      </c>
      <c r="E27" s="0" t="n">
        <v>25</v>
      </c>
      <c r="F27" s="0" t="n">
        <v>25</v>
      </c>
      <c r="G27" s="0" t="n">
        <v>750</v>
      </c>
    </row>
    <row r="28" customFormat="false" ht="15" hidden="false" customHeight="false" outlineLevel="0" collapsed="false">
      <c r="D28" s="0" t="n">
        <v>26</v>
      </c>
      <c r="E28" s="0" t="n">
        <v>26</v>
      </c>
      <c r="F28" s="0" t="n">
        <v>26</v>
      </c>
      <c r="G28" s="0" t="n">
        <v>740</v>
      </c>
    </row>
    <row r="29" customFormat="false" ht="15" hidden="false" customHeight="false" outlineLevel="0" collapsed="false">
      <c r="D29" s="0" t="n">
        <v>27</v>
      </c>
      <c r="E29" s="0" t="n">
        <v>27</v>
      </c>
      <c r="F29" s="0" t="n">
        <v>27</v>
      </c>
      <c r="G29" s="0" t="n">
        <v>730</v>
      </c>
    </row>
    <row r="30" customFormat="false" ht="15" hidden="false" customHeight="false" outlineLevel="0" collapsed="false">
      <c r="D30" s="0" t="n">
        <v>28</v>
      </c>
      <c r="E30" s="0" t="n">
        <v>28</v>
      </c>
      <c r="F30" s="0" t="n">
        <v>28</v>
      </c>
      <c r="G30" s="0" t="n">
        <v>720</v>
      </c>
    </row>
    <row r="31" customFormat="false" ht="15" hidden="false" customHeight="false" outlineLevel="0" collapsed="false">
      <c r="D31" s="0" t="n">
        <v>29</v>
      </c>
      <c r="E31" s="0" t="n">
        <v>29</v>
      </c>
      <c r="F31" s="0" t="n">
        <v>29</v>
      </c>
      <c r="G31" s="0" t="n">
        <v>710</v>
      </c>
    </row>
    <row r="32" customFormat="false" ht="15" hidden="false" customHeight="false" outlineLevel="0" collapsed="false">
      <c r="D32" s="0" t="n">
        <v>30</v>
      </c>
      <c r="E32" s="0" t="n">
        <v>30</v>
      </c>
      <c r="F32" s="0" t="n">
        <v>30</v>
      </c>
      <c r="G32" s="0" t="n">
        <v>700</v>
      </c>
    </row>
    <row r="33" customFormat="false" ht="15" hidden="false" customHeight="false" outlineLevel="0" collapsed="false">
      <c r="E33" s="0" t="n">
        <v>31</v>
      </c>
      <c r="F33" s="0" t="n">
        <v>31</v>
      </c>
      <c r="G33" s="0" t="n">
        <v>690</v>
      </c>
    </row>
    <row r="34" customFormat="false" ht="15" hidden="false" customHeight="false" outlineLevel="0" collapsed="false">
      <c r="E34" s="0" t="n">
        <v>32</v>
      </c>
      <c r="F34" s="0" t="n">
        <v>32</v>
      </c>
      <c r="G34" s="0" t="n">
        <v>680</v>
      </c>
    </row>
    <row r="35" customFormat="false" ht="15" hidden="false" customHeight="false" outlineLevel="0" collapsed="false">
      <c r="E35" s="0" t="n">
        <v>33</v>
      </c>
      <c r="F35" s="0" t="n">
        <v>33</v>
      </c>
      <c r="G35" s="0" t="n">
        <v>670</v>
      </c>
    </row>
    <row r="36" customFormat="false" ht="15" hidden="false" customHeight="false" outlineLevel="0" collapsed="false">
      <c r="E36" s="0" t="n">
        <v>34</v>
      </c>
      <c r="F36" s="0" t="n">
        <v>34</v>
      </c>
      <c r="G36" s="0" t="n">
        <v>660</v>
      </c>
    </row>
    <row r="37" customFormat="false" ht="15" hidden="false" customHeight="false" outlineLevel="0" collapsed="false">
      <c r="E37" s="0" t="n">
        <v>35</v>
      </c>
      <c r="F37" s="0" t="n">
        <v>35</v>
      </c>
      <c r="G37" s="0" t="n">
        <v>650</v>
      </c>
    </row>
    <row r="38" customFormat="false" ht="15" hidden="false" customHeight="false" outlineLevel="0" collapsed="false">
      <c r="E38" s="0" t="n">
        <v>36</v>
      </c>
      <c r="F38" s="0" t="n">
        <v>36</v>
      </c>
      <c r="G38" s="0" t="n">
        <v>640</v>
      </c>
    </row>
    <row r="39" customFormat="false" ht="15" hidden="false" customHeight="false" outlineLevel="0" collapsed="false">
      <c r="E39" s="0" t="n">
        <v>37</v>
      </c>
      <c r="F39" s="0" t="n">
        <v>37</v>
      </c>
      <c r="G39" s="0" t="n">
        <v>630</v>
      </c>
    </row>
    <row r="40" customFormat="false" ht="15" hidden="false" customHeight="false" outlineLevel="0" collapsed="false">
      <c r="E40" s="0" t="n">
        <v>38</v>
      </c>
      <c r="F40" s="0" t="n">
        <v>38</v>
      </c>
      <c r="G40" s="0" t="n">
        <v>620</v>
      </c>
    </row>
    <row r="41" customFormat="false" ht="15" hidden="false" customHeight="false" outlineLevel="0" collapsed="false">
      <c r="E41" s="0" t="n">
        <v>39</v>
      </c>
      <c r="F41" s="0" t="n">
        <v>39</v>
      </c>
      <c r="G41" s="0" t="n">
        <v>610</v>
      </c>
    </row>
    <row r="42" customFormat="false" ht="15" hidden="false" customHeight="false" outlineLevel="0" collapsed="false">
      <c r="E42" s="0" t="n">
        <v>40</v>
      </c>
      <c r="F42" s="0" t="n">
        <v>40</v>
      </c>
      <c r="G42" s="0" t="n">
        <v>600</v>
      </c>
    </row>
    <row r="43" customFormat="false" ht="15" hidden="false" customHeight="false" outlineLevel="0" collapsed="false">
      <c r="E43" s="0" t="n">
        <v>41</v>
      </c>
      <c r="F43" s="0" t="n">
        <v>41</v>
      </c>
      <c r="G43" s="0" t="n">
        <v>590</v>
      </c>
    </row>
    <row r="44" customFormat="false" ht="15" hidden="false" customHeight="false" outlineLevel="0" collapsed="false">
      <c r="E44" s="0" t="n">
        <v>42</v>
      </c>
      <c r="F44" s="0" t="n">
        <v>42</v>
      </c>
      <c r="G44" s="0" t="n">
        <v>580</v>
      </c>
    </row>
    <row r="45" customFormat="false" ht="15" hidden="false" customHeight="false" outlineLevel="0" collapsed="false">
      <c r="E45" s="0" t="n">
        <v>43</v>
      </c>
      <c r="F45" s="0" t="n">
        <v>43</v>
      </c>
      <c r="G45" s="0" t="n">
        <v>570</v>
      </c>
    </row>
    <row r="46" customFormat="false" ht="15" hidden="false" customHeight="false" outlineLevel="0" collapsed="false">
      <c r="E46" s="0" t="n">
        <v>44</v>
      </c>
      <c r="F46" s="0" t="n">
        <v>44</v>
      </c>
      <c r="G46" s="0" t="n">
        <v>560</v>
      </c>
    </row>
    <row r="47" customFormat="false" ht="15" hidden="false" customHeight="false" outlineLevel="0" collapsed="false">
      <c r="E47" s="0" t="n">
        <v>45</v>
      </c>
      <c r="F47" s="0" t="n">
        <v>45</v>
      </c>
      <c r="G47" s="0" t="n">
        <v>550</v>
      </c>
    </row>
    <row r="48" customFormat="false" ht="15" hidden="false" customHeight="false" outlineLevel="0" collapsed="false">
      <c r="E48" s="0" t="n">
        <v>46</v>
      </c>
      <c r="F48" s="0" t="n">
        <v>46</v>
      </c>
      <c r="G48" s="0" t="n">
        <v>540</v>
      </c>
    </row>
    <row r="49" customFormat="false" ht="15" hidden="false" customHeight="false" outlineLevel="0" collapsed="false">
      <c r="E49" s="0" t="n">
        <v>47</v>
      </c>
      <c r="F49" s="0" t="n">
        <v>47</v>
      </c>
      <c r="G49" s="0" t="n">
        <v>530</v>
      </c>
    </row>
    <row r="50" customFormat="false" ht="15" hidden="false" customHeight="false" outlineLevel="0" collapsed="false">
      <c r="E50" s="0" t="n">
        <v>48</v>
      </c>
      <c r="F50" s="0" t="n">
        <v>48</v>
      </c>
      <c r="G50" s="0" t="n">
        <v>520</v>
      </c>
    </row>
    <row r="51" customFormat="false" ht="15" hidden="false" customHeight="false" outlineLevel="0" collapsed="false">
      <c r="E51" s="0" t="n">
        <v>49</v>
      </c>
      <c r="F51" s="0" t="n">
        <v>49</v>
      </c>
      <c r="G51" s="0" t="n">
        <v>510</v>
      </c>
    </row>
    <row r="52" customFormat="false" ht="15" hidden="false" customHeight="false" outlineLevel="0" collapsed="false">
      <c r="E52" s="0" t="n">
        <v>50</v>
      </c>
      <c r="F52" s="0" t="n">
        <v>50</v>
      </c>
      <c r="G52" s="0" t="n">
        <v>500</v>
      </c>
    </row>
    <row r="53" customFormat="false" ht="15" hidden="false" customHeight="false" outlineLevel="0" collapsed="false">
      <c r="E53" s="0" t="n">
        <v>51</v>
      </c>
      <c r="F53" s="0" t="n">
        <v>51</v>
      </c>
      <c r="G53" s="0" t="n">
        <v>490</v>
      </c>
    </row>
    <row r="54" customFormat="false" ht="15" hidden="false" customHeight="false" outlineLevel="0" collapsed="false">
      <c r="E54" s="0" t="n">
        <v>52</v>
      </c>
      <c r="F54" s="0" t="n">
        <v>52</v>
      </c>
      <c r="G54" s="0" t="n">
        <v>480</v>
      </c>
    </row>
    <row r="55" customFormat="false" ht="15" hidden="false" customHeight="false" outlineLevel="0" collapsed="false">
      <c r="E55" s="0" t="n">
        <v>53</v>
      </c>
      <c r="F55" s="0" t="n">
        <v>53</v>
      </c>
      <c r="G55" s="0" t="n">
        <v>470</v>
      </c>
    </row>
    <row r="56" customFormat="false" ht="15" hidden="false" customHeight="false" outlineLevel="0" collapsed="false">
      <c r="E56" s="0" t="n">
        <v>54</v>
      </c>
      <c r="F56" s="0" t="n">
        <v>54</v>
      </c>
      <c r="G56" s="0" t="n">
        <v>460</v>
      </c>
    </row>
    <row r="57" customFormat="false" ht="15" hidden="false" customHeight="false" outlineLevel="0" collapsed="false">
      <c r="E57" s="0" t="n">
        <v>55</v>
      </c>
      <c r="F57" s="0" t="n">
        <v>55</v>
      </c>
      <c r="G57" s="0" t="n">
        <v>450</v>
      </c>
    </row>
    <row r="58" customFormat="false" ht="15" hidden="false" customHeight="false" outlineLevel="0" collapsed="false">
      <c r="E58" s="0" t="n">
        <v>56</v>
      </c>
      <c r="F58" s="0" t="n">
        <v>56</v>
      </c>
      <c r="G58" s="0" t="n">
        <v>440</v>
      </c>
    </row>
    <row r="59" customFormat="false" ht="15" hidden="false" customHeight="false" outlineLevel="0" collapsed="false">
      <c r="E59" s="0" t="n">
        <v>57</v>
      </c>
      <c r="F59" s="0" t="n">
        <v>57</v>
      </c>
      <c r="G59" s="0" t="n">
        <v>430</v>
      </c>
    </row>
    <row r="60" customFormat="false" ht="15" hidden="false" customHeight="false" outlineLevel="0" collapsed="false">
      <c r="E60" s="0" t="n">
        <v>58</v>
      </c>
      <c r="F60" s="0" t="n">
        <v>58</v>
      </c>
      <c r="G60" s="0" t="n">
        <v>420</v>
      </c>
    </row>
    <row r="61" customFormat="false" ht="15" hidden="false" customHeight="false" outlineLevel="0" collapsed="false">
      <c r="E61" s="0" t="n">
        <v>59</v>
      </c>
      <c r="F61" s="0" t="n">
        <v>59</v>
      </c>
      <c r="G61" s="0" t="n">
        <v>410</v>
      </c>
    </row>
    <row r="62" customFormat="false" ht="15" hidden="false" customHeight="false" outlineLevel="0" collapsed="false">
      <c r="F62" s="0" t="n">
        <v>60</v>
      </c>
      <c r="G62" s="0" t="n">
        <v>400</v>
      </c>
    </row>
    <row r="63" customFormat="false" ht="15" hidden="false" customHeight="false" outlineLevel="0" collapsed="false">
      <c r="F63" s="0" t="n">
        <v>61</v>
      </c>
      <c r="G63" s="0" t="n">
        <v>390</v>
      </c>
    </row>
    <row r="64" customFormat="false" ht="15" hidden="false" customHeight="false" outlineLevel="0" collapsed="false">
      <c r="F64" s="0" t="n">
        <v>62</v>
      </c>
      <c r="G64" s="0" t="n">
        <v>380</v>
      </c>
    </row>
    <row r="65" customFormat="false" ht="15" hidden="false" customHeight="false" outlineLevel="0" collapsed="false">
      <c r="F65" s="0" t="n">
        <v>63</v>
      </c>
      <c r="G65" s="0" t="n">
        <v>370</v>
      </c>
    </row>
    <row r="66" customFormat="false" ht="15" hidden="false" customHeight="false" outlineLevel="0" collapsed="false">
      <c r="F66" s="0" t="n">
        <v>64</v>
      </c>
      <c r="G66" s="0" t="n">
        <v>360</v>
      </c>
    </row>
    <row r="67" customFormat="false" ht="15" hidden="false" customHeight="false" outlineLevel="0" collapsed="false">
      <c r="F67" s="0" t="n">
        <v>65</v>
      </c>
      <c r="G67" s="0" t="n">
        <v>350</v>
      </c>
    </row>
    <row r="68" customFormat="false" ht="15" hidden="false" customHeight="false" outlineLevel="0" collapsed="false">
      <c r="F68" s="0" t="n">
        <v>66</v>
      </c>
      <c r="G68" s="0" t="n">
        <v>340</v>
      </c>
    </row>
    <row r="69" customFormat="false" ht="15" hidden="false" customHeight="false" outlineLevel="0" collapsed="false">
      <c r="F69" s="0" t="n">
        <v>67</v>
      </c>
      <c r="G69" s="0" t="n">
        <v>330</v>
      </c>
    </row>
    <row r="70" customFormat="false" ht="15" hidden="false" customHeight="false" outlineLevel="0" collapsed="false">
      <c r="F70" s="0" t="n">
        <v>68</v>
      </c>
      <c r="G70" s="0" t="n">
        <v>320</v>
      </c>
    </row>
    <row r="71" customFormat="false" ht="15" hidden="false" customHeight="false" outlineLevel="0" collapsed="false">
      <c r="F71" s="0" t="n">
        <v>69</v>
      </c>
      <c r="G71" s="0" t="n">
        <v>310</v>
      </c>
    </row>
    <row r="72" customFormat="false" ht="15" hidden="false" customHeight="false" outlineLevel="0" collapsed="false">
      <c r="F72" s="0" t="n">
        <v>70</v>
      </c>
      <c r="G72" s="0" t="n">
        <v>300</v>
      </c>
    </row>
    <row r="73" customFormat="false" ht="15" hidden="false" customHeight="false" outlineLevel="0" collapsed="false">
      <c r="F73" s="0" t="n">
        <v>71</v>
      </c>
      <c r="G73" s="0" t="n">
        <v>290</v>
      </c>
    </row>
    <row r="74" customFormat="false" ht="15" hidden="false" customHeight="false" outlineLevel="0" collapsed="false">
      <c r="F74" s="0" t="n">
        <v>72</v>
      </c>
      <c r="G74" s="0" t="n">
        <v>280</v>
      </c>
    </row>
    <row r="75" customFormat="false" ht="15" hidden="false" customHeight="false" outlineLevel="0" collapsed="false">
      <c r="F75" s="0" t="n">
        <v>73</v>
      </c>
      <c r="G75" s="0" t="n">
        <v>270</v>
      </c>
    </row>
    <row r="76" customFormat="false" ht="15" hidden="false" customHeight="false" outlineLevel="0" collapsed="false">
      <c r="F76" s="0" t="n">
        <v>74</v>
      </c>
      <c r="G76" s="0" t="n">
        <v>260</v>
      </c>
    </row>
    <row r="77" customFormat="false" ht="15" hidden="false" customHeight="false" outlineLevel="0" collapsed="false">
      <c r="F77" s="0" t="n">
        <v>75</v>
      </c>
      <c r="G77" s="0" t="n">
        <v>250</v>
      </c>
    </row>
    <row r="78" customFormat="false" ht="15" hidden="false" customHeight="false" outlineLevel="0" collapsed="false">
      <c r="F78" s="0" t="n">
        <v>76</v>
      </c>
      <c r="G78" s="0" t="n">
        <v>240</v>
      </c>
    </row>
    <row r="79" customFormat="false" ht="15" hidden="false" customHeight="false" outlineLevel="0" collapsed="false">
      <c r="F79" s="0" t="n">
        <v>77</v>
      </c>
      <c r="G79" s="0" t="n">
        <v>230</v>
      </c>
    </row>
    <row r="80" customFormat="false" ht="15" hidden="false" customHeight="false" outlineLevel="0" collapsed="false">
      <c r="F80" s="0" t="n">
        <v>78</v>
      </c>
      <c r="G80" s="0" t="n">
        <v>220</v>
      </c>
    </row>
    <row r="81" customFormat="false" ht="15" hidden="false" customHeight="false" outlineLevel="0" collapsed="false">
      <c r="F81" s="0" t="n">
        <v>79</v>
      </c>
      <c r="G81" s="0" t="n">
        <v>210</v>
      </c>
    </row>
    <row r="82" customFormat="false" ht="15" hidden="false" customHeight="false" outlineLevel="0" collapsed="false">
      <c r="F82" s="0" t="n">
        <v>80</v>
      </c>
      <c r="G82" s="0" t="n">
        <v>200</v>
      </c>
    </row>
    <row r="83" customFormat="false" ht="15" hidden="false" customHeight="false" outlineLevel="0" collapsed="false">
      <c r="F83" s="0" t="n">
        <v>81</v>
      </c>
      <c r="G83" s="0" t="n">
        <v>190</v>
      </c>
    </row>
    <row r="84" customFormat="false" ht="15" hidden="false" customHeight="false" outlineLevel="0" collapsed="false">
      <c r="F84" s="0" t="n">
        <v>82</v>
      </c>
      <c r="G84" s="0" t="n">
        <v>180</v>
      </c>
    </row>
    <row r="85" customFormat="false" ht="15" hidden="false" customHeight="false" outlineLevel="0" collapsed="false">
      <c r="F85" s="0" t="n">
        <v>83</v>
      </c>
      <c r="G85" s="0" t="n">
        <v>170</v>
      </c>
    </row>
    <row r="86" customFormat="false" ht="15" hidden="false" customHeight="false" outlineLevel="0" collapsed="false">
      <c r="F86" s="0" t="n">
        <v>84</v>
      </c>
      <c r="G86" s="0" t="n">
        <v>160</v>
      </c>
    </row>
    <row r="87" customFormat="false" ht="15" hidden="false" customHeight="false" outlineLevel="0" collapsed="false">
      <c r="F87" s="0" t="n">
        <v>85</v>
      </c>
      <c r="G87" s="0" t="n">
        <v>150</v>
      </c>
    </row>
    <row r="88" customFormat="false" ht="15" hidden="false" customHeight="false" outlineLevel="0" collapsed="false">
      <c r="F88" s="0" t="n">
        <v>86</v>
      </c>
      <c r="G88" s="0" t="n">
        <v>140</v>
      </c>
    </row>
    <row r="89" customFormat="false" ht="15" hidden="false" customHeight="false" outlineLevel="0" collapsed="false">
      <c r="F89" s="0" t="n">
        <v>87</v>
      </c>
      <c r="G89" s="0" t="n">
        <v>130</v>
      </c>
    </row>
    <row r="90" customFormat="false" ht="15" hidden="false" customHeight="false" outlineLevel="0" collapsed="false">
      <c r="F90" s="0" t="n">
        <v>88</v>
      </c>
      <c r="G90" s="0" t="n">
        <v>120</v>
      </c>
    </row>
    <row r="91" customFormat="false" ht="15" hidden="false" customHeight="false" outlineLevel="0" collapsed="false">
      <c r="F91" s="0" t="n">
        <v>89</v>
      </c>
      <c r="G91" s="0" t="n">
        <v>110</v>
      </c>
    </row>
    <row r="92" customFormat="false" ht="15" hidden="false" customHeight="false" outlineLevel="0" collapsed="false">
      <c r="F92" s="0" t="n">
        <v>90</v>
      </c>
      <c r="G92" s="0" t="n">
        <v>100</v>
      </c>
    </row>
    <row r="93" customFormat="false" ht="15" hidden="false" customHeight="false" outlineLevel="0" collapsed="false">
      <c r="F93" s="0" t="n">
        <v>91</v>
      </c>
    </row>
    <row r="94" customFormat="false" ht="15" hidden="false" customHeight="false" outlineLevel="0" collapsed="false">
      <c r="F94" s="0" t="n">
        <v>92</v>
      </c>
    </row>
    <row r="95" customFormat="false" ht="15" hidden="false" customHeight="false" outlineLevel="0" collapsed="false">
      <c r="F95" s="0" t="n">
        <v>93</v>
      </c>
    </row>
    <row r="96" customFormat="false" ht="15" hidden="false" customHeight="false" outlineLevel="0" collapsed="false">
      <c r="F96" s="0" t="n">
        <v>94</v>
      </c>
    </row>
    <row r="97" customFormat="false" ht="15" hidden="false" customHeight="false" outlineLevel="0" collapsed="false">
      <c r="F97" s="0" t="n">
        <v>95</v>
      </c>
    </row>
    <row r="98" customFormat="false" ht="15" hidden="false" customHeight="false" outlineLevel="0" collapsed="false">
      <c r="F98" s="0" t="n">
        <v>96</v>
      </c>
    </row>
    <row r="99" customFormat="false" ht="15" hidden="false" customHeight="false" outlineLevel="0" collapsed="false">
      <c r="F99" s="0" t="n">
        <v>97</v>
      </c>
    </row>
    <row r="100" customFormat="false" ht="15" hidden="false" customHeight="false" outlineLevel="0" collapsed="false">
      <c r="F100" s="0" t="n">
        <v>98</v>
      </c>
    </row>
    <row r="101" customFormat="false" ht="15" hidden="false" customHeight="false" outlineLevel="0" collapsed="false">
      <c r="F101" s="0" t="n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2026-10-25T14:04:14Z</dcterms:created>
  <dc:creator>openpyxl</dc:creator>
  <dc:description/>
  <dc:language>ru-RU</dc:language>
  <cp:lastModifiedBy/>
  <dcterms:modified xsi:type="dcterms:W3CDTF">2026-10-25T14:04:14Z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